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 activeTab="7"/>
  </bookViews>
  <sheets>
    <sheet name="Sheet2 (2)" sheetId="9" r:id="rId1"/>
    <sheet name="ITEM TREE" sheetId="6" r:id="rId2"/>
    <sheet name="Item_Tree_Stock" sheetId="1" r:id="rId3"/>
    <sheet name="Sheet1" sheetId="2" r:id="rId4"/>
    <sheet name="ITEM TREE TEST " sheetId="3" r:id="rId5"/>
    <sheet name="ITEM GROUP LIST " sheetId="4" r:id="rId6"/>
    <sheet name="ITEM GROUP LIST  (2)" sheetId="7" r:id="rId7"/>
    <sheet name="Sheet2" sheetId="8" r:id="rId8"/>
  </sheets>
  <definedNames>
    <definedName name="_xlnm._FilterDatabase" localSheetId="0" hidden="1">'Sheet2 (2)'!$A$2:$E$1007</definedName>
    <definedName name="_xlnm._FilterDatabase" localSheetId="1" hidden="1">'ITEM TREE'!$A$1:$E$2308</definedName>
    <definedName name="_xlnm._FilterDatabase" localSheetId="2" hidden="1">Item_Tree_Stock!$A$1:$E$1081</definedName>
    <definedName name="_xlnm._FilterDatabase" localSheetId="7" hidden="1">Sheet2!$A$2:$E$1065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<sst xmlns="http://schemas.openxmlformats.org/spreadsheetml/2006/main" count="27825" uniqueCount="3363">
  <si>
    <t>PU FOAM</t>
  </si>
  <si>
    <t>Item Group</t>
  </si>
  <si>
    <t>Description</t>
  </si>
  <si>
    <t>Supplier</t>
  </si>
  <si>
    <t>Unit</t>
  </si>
  <si>
    <t>Rates</t>
  </si>
  <si>
    <t>Allocation</t>
  </si>
  <si>
    <t>ASMACO PUF 4040 (220KG DRUM)</t>
  </si>
  <si>
    <t xml:space="preserve">ANCHOR ALLIED FACTORY L.L.C	</t>
  </si>
  <si>
    <t>Nos.</t>
  </si>
  <si>
    <t xml:space="preserve"> Material in Stock </t>
  </si>
  <si>
    <t>ASMACO PUF MDI (250KG DRUM)</t>
  </si>
  <si>
    <t>AWAZEL PU 111 ISOCYNATE (250KG DRUM)</t>
  </si>
  <si>
    <t>AWAZEL INTERNATIONAL CO LLC</t>
  </si>
  <si>
    <t>AWAZEL PU 4040 POLYOL (220KG DRUM)</t>
  </si>
  <si>
    <t>AWAZEL PU 4045 POLYOL (220KG DRUM)</t>
  </si>
  <si>
    <t>AWAZEL PU 4048 POLYOL (220KG DRUM)</t>
  </si>
  <si>
    <t>BETOFLEX PU-ISO BETOL (250KG DRUM)</t>
  </si>
  <si>
    <t>GEOBIT INDUSTRIES L.L.C</t>
  </si>
  <si>
    <t>BETOFLEX PU-PPLY BETOL 220KG DRUM)</t>
  </si>
  <si>
    <t>CRESFOAM MDI (250KG DRUM)</t>
  </si>
  <si>
    <t>Kanz Chemical Ind LLC</t>
  </si>
  <si>
    <t>CRESFOAM SF-45 (220KG DRUM)</t>
  </si>
  <si>
    <t>DALTAFOAM TS (220KG DRUM)</t>
  </si>
  <si>
    <t>HUNTSMAN UAE FZE</t>
  </si>
  <si>
    <t>HUNTSMAN 200 (250KG DRUM)</t>
  </si>
  <si>
    <t>HUNTSMAN SP 40 (220KG DRUM)</t>
  </si>
  <si>
    <t>HUNTSMAN SP 45 (220KG DRUM)</t>
  </si>
  <si>
    <t>JK PROFIX PU MDI-B (250KG DRUM)</t>
  </si>
  <si>
    <t>JK CEMENT WORK  ( FUJAIRAH ) FZC</t>
  </si>
  <si>
    <t>JK PROFIX PU SPRAY 45-A (220KG DRUM)</t>
  </si>
  <si>
    <t>NEONATE MDI (250KG DRUM)</t>
  </si>
  <si>
    <t>SHERIDAN SPECIALIZED BUILDING PRODUCTS  L.L.C</t>
  </si>
  <si>
    <t>NEOPOL SRS 40 (220KG DRUM)</t>
  </si>
  <si>
    <t>NEOPOL SRS 45  (220KG DRUM)</t>
  </si>
  <si>
    <t>POLYFOAM MDI PART B (250KG DRUM)</t>
  </si>
  <si>
    <t>S.R.R. Building Material Trading LLC</t>
  </si>
  <si>
    <t>POLYFOAM SS45 PART A (220KG DRUM)</t>
  </si>
  <si>
    <t>WEBERDRY SPF 45B -PART A (250KG DRUM)</t>
  </si>
  <si>
    <t>SODAMCO S.A.L-Abu Dhabi</t>
  </si>
  <si>
    <t>WEBERDRY SPF 45B -PART B (220KG DRUM)</t>
  </si>
  <si>
    <t>WEBERDRY SPF 45W -PART A (250KG DRUM)</t>
  </si>
  <si>
    <t>WEBERDRY SPF 45W -PART B (220KG DRUM)</t>
  </si>
  <si>
    <t xml:space="preserve">GEOTEXTILE    </t>
  </si>
  <si>
    <t>GEOTEXTILE</t>
  </si>
  <si>
    <t>AWAZEL TEX 100 GSM  (3 M *100 M)</t>
  </si>
  <si>
    <t>AWAZEL TEX 120 GSM  (2.9 M*100 M)</t>
  </si>
  <si>
    <t>AWAZEL TEX 150 GSM  (3 M *100 M)</t>
  </si>
  <si>
    <t>CRESGEO PET -100 GSM  (3M *100 M)</t>
  </si>
  <si>
    <t>CRESGEO PET -120 GSM   (3 M *100 M)</t>
  </si>
  <si>
    <t>GEOTEC -100 GSM GEOTEXTILE (3 M *100 M)</t>
  </si>
  <si>
    <t>GEOTEC -120 GSM GEOTEXTILE  (3 M *100 M)</t>
  </si>
  <si>
    <t>GEOTEC 250 GSM GEOTEXTILE  (6 M *100 M)</t>
  </si>
  <si>
    <t>GEOTEXTILE WHITE PP 120 (3 M *100 M)</t>
  </si>
  <si>
    <t>NW 100 GSM PET -WHITE (3 M *100 M)</t>
  </si>
  <si>
    <t>GS ENTERPRISES FZ LLC</t>
  </si>
  <si>
    <t>NW 120 GSM PET -WHITE (3 M *100 M)</t>
  </si>
  <si>
    <t>NW 250 GSM PET -WHITE (3 M *100 M)</t>
  </si>
  <si>
    <t>RHEOTEC GEOTEXTILE  120 GSM (3 M *100 M)</t>
  </si>
  <si>
    <t>Petrozo Energy L.L.C</t>
  </si>
  <si>
    <t xml:space="preserve">MEMBRANE </t>
  </si>
  <si>
    <t>MEMBRANE</t>
  </si>
  <si>
    <t>4MM NEOFLEX S4180 180GSM (1M*10M ROLL)</t>
  </si>
  <si>
    <t>AWAZEL DS 40 250 High Performance APP (1M*10M ROLL)</t>
  </si>
  <si>
    <t>AWAZEL DS 40 250 MINERAL APP (1M*10M ROLL)</t>
  </si>
  <si>
    <t>AWAZELBOND BS 1000 (1M*10M ROLL)</t>
  </si>
  <si>
    <t>BETOFLEX 4P (1*10 MTR ROLL)</t>
  </si>
  <si>
    <t>BIFLEX PL 4MM /180 GSM (1M*10M ROLL)</t>
  </si>
  <si>
    <t>BIFLEX PL 4MM /200 GSM (1*10 MTR ROLL)</t>
  </si>
  <si>
    <t>COLPHENE BSW H 3.5  (1*10 MTR ROLL)</t>
  </si>
  <si>
    <t>SOPREMA FOR MANUFACTURING MATERIALS-SOLE PROPRIETORSHIP LLC</t>
  </si>
  <si>
    <t>DIEN 40 4MM SBS MEMBRANE 200gsm  (1M*10M ROLL)</t>
  </si>
  <si>
    <t>DIEN 40 4mm SBS MEMBRANE 180gsm (1M*10M ROLL)</t>
  </si>
  <si>
    <t>Dulas P 180 4MM SBS MEMBRANE   (1M*10M ROLL)</t>
  </si>
  <si>
    <t>Duproof L.L.C</t>
  </si>
  <si>
    <t>Dulas P 180 5MM  SBS MEMBRANE (1M*10M ROLL)</t>
  </si>
  <si>
    <t>Dulas P 200 4MM  SBS MEMBRANE   (1M*10M ROLL)</t>
  </si>
  <si>
    <t>Dulas P 200 5MM  SBS MEMBRANE   (1M*10M ROLL)</t>
  </si>
  <si>
    <t>DUPLAST P 270 4MM APP MEMBRANE (1M*10M ROLL)</t>
  </si>
  <si>
    <t>DUPLAST P-MEMBRANE 4MM   (1M*10M ROLL)</t>
  </si>
  <si>
    <t>FG -RHEOSEAL 5S 180 -20 DEG   (1M*10M ROLL)</t>
  </si>
  <si>
    <t>MEMBRANE SELF ADHESIVE 1.6MM 60 M2 ALUMINUM (1M*10M ROLL)</t>
  </si>
  <si>
    <t>MONOGUM FLAM 270 4P10  (1*10 MTR ROLL)</t>
  </si>
  <si>
    <t>NEOFLEX ANTI-ROOT WATERPROOFING MEMBRANE 4MM  (1M*10M ROLL)</t>
  </si>
  <si>
    <t>NEOFLEX MINERAL 4MM  (1M*10M ROLL)</t>
  </si>
  <si>
    <t>PLASIFLEX FLAM 180 4F   (1M*10M ROLL)</t>
  </si>
  <si>
    <t>POLYFLEX GN MINERAL 180   (1M*10M ROLL)</t>
  </si>
  <si>
    <t>BITUMAT COMPANY LIMITED DUBAI BRANCH</t>
  </si>
  <si>
    <t>POLYFLEX MS 270 APP MEMBRTANE    (1M*10M ROLL)</t>
  </si>
  <si>
    <t>PY 40L 5mm  SBS MEMBRANE  180gsm  (1M*10M ROLL)</t>
  </si>
  <si>
    <t>PY 40L 5mm  SBS MEMBRANE   200gsm   (1M*10M ROLL)</t>
  </si>
  <si>
    <t>PY G40250E BSP 10M MEMBRANE SBS MODIFIED 200G  (1M*10M ROLL)</t>
  </si>
  <si>
    <t>PY40200L BSP 10 M MEMBRANE SBS MODIFIED 200G   (1M*10M ROLL)</t>
  </si>
  <si>
    <t>PY40L BSP 10 M MEMBRANE SBS MODIFIED POLYES 180G   (1M*10M ROLL)</t>
  </si>
  <si>
    <t>RHEOSEAL  SBS 4S 200 -5   ( (1M*10M ROLL)</t>
  </si>
  <si>
    <t>RHEOSEAL 4S -200 GSM SL APP  (1M*10M ROLL)</t>
  </si>
  <si>
    <t>RHEOSEAL SBS 4S 180 ( -5 )  (1M*10M ROLL)</t>
  </si>
  <si>
    <t>SBS MEMBRANE  SOPRALENE  FLAME 270 4P10  (1M*10M ROLL)</t>
  </si>
  <si>
    <t>SIKA SHIELD E36 PE SA 4MM   (1M*10M ROLL)</t>
  </si>
  <si>
    <t>SIKA UAE LLC</t>
  </si>
  <si>
    <t>Sikashield E65 PE SA 4MM   (1M*10M ROLL)</t>
  </si>
  <si>
    <t>SOPRALENE FLAM 200 4P20 (1M*10M ROLL)</t>
  </si>
  <si>
    <t>SOPRALENE FLAM 200 4P5  (1M*10M ROLL)</t>
  </si>
  <si>
    <t>SOPRALENE FLAM JARDIN 200 4P20   (1M*10M ROLL)</t>
  </si>
  <si>
    <t>SOPRALENE FLAME 180 4P10   (1M*10M ROLL)</t>
  </si>
  <si>
    <t>SIKA SHIELD E35 PE SA 4MM  (1M*10M ROLL)</t>
  </si>
  <si>
    <t>SIKA SHIELD P26 MG SA 4MM   (1M*10M ROLL)</t>
  </si>
  <si>
    <t>COLPHENE SP LAP  (1M*10M ROLL)</t>
  </si>
  <si>
    <t>CORROPRUFE SBS 4180  (1M*10M ROLL)</t>
  </si>
  <si>
    <t>CORROTECH CONSTRUCTION CHEMICALS  L.L.C</t>
  </si>
  <si>
    <t>PROOFEX TORCHSEAL 4P APP  (1M*10M ROLL)</t>
  </si>
  <si>
    <t>Al Gurg Fosroc LLC</t>
  </si>
  <si>
    <t>PROOFEX TORCHSEAL 4S 180 -20  (1M*10M ROLL)</t>
  </si>
  <si>
    <t>PROOFEX TORCHSEAL 4S 180 -5 (1M*10M ROLL)</t>
  </si>
  <si>
    <t>PROOFEX TORCHSEAL 4S 200 S -20 (1M*10M ROLL)</t>
  </si>
  <si>
    <t>PROOFEX TORCHSEAL 4S ANTI ROOT  (1M*10M ROLL)</t>
  </si>
  <si>
    <t>PROOFEX TORCHSEAL 4S PLAIN (1M*10M ROLL)</t>
  </si>
  <si>
    <t>PROOFEX TORCHSEAL 5S PLAIN  (1M*10M ROLL)</t>
  </si>
  <si>
    <t>SOPRALENE FLAM  180 5P20  (1M*10M ROLL)</t>
  </si>
  <si>
    <t>BITUPLUS E4270  (1M*10M ROLL)</t>
  </si>
  <si>
    <t>BITUPLUS E4200GSM (1M*10M ROLL)</t>
  </si>
  <si>
    <t>BITUPLUS E4180  (1M*10M ROLL)</t>
  </si>
  <si>
    <t>PROTECTION BOARD</t>
  </si>
  <si>
    <t>MS 60 6MM PROTECTION BOARD (1M*2M )</t>
  </si>
  <si>
    <t>Nos</t>
  </si>
  <si>
    <t>NEOBOARD BITUMENIOUS PROTECTION BOARD  6MM (1M*2M )</t>
  </si>
  <si>
    <t xml:space="preserve"> PROBOARD BITUMINIOUS PROTECTION BOARD  6MM    (1M*2M )</t>
  </si>
  <si>
    <t>PROTECTION BOARD  3.2mm (1M*2M )</t>
  </si>
  <si>
    <t>PROTECTION BOARD 6MM (1M*2M )</t>
  </si>
  <si>
    <t>SIKASHIELD PB P15 PE 6MM BOARD (1M*2M )</t>
  </si>
  <si>
    <t>SIKASHIELD PB P15 PE SA 3MM BOARD (1M*2M )</t>
  </si>
  <si>
    <t>SOPRABOARD SF 3.2MM  (1M*2M )</t>
  </si>
  <si>
    <t>SOPRABOARD SF 6MM (1M*2M )</t>
  </si>
  <si>
    <t>RHEOBOARD  3.2MM (1M*2M )</t>
  </si>
  <si>
    <t>RHEOBOARD 6MM  (1M*2M )</t>
  </si>
  <si>
    <t>SOPRABOARD SF 3.0MM  (1M*2M )</t>
  </si>
  <si>
    <t>MS60 PROTECTION BOARD 6MM  (1M*2M )</t>
  </si>
  <si>
    <t>CORROBOARD 3.2 MM  (1M*2M )</t>
  </si>
  <si>
    <t>BITUBOARD 3.2 MM (1M*2M )</t>
  </si>
  <si>
    <t>6MM BITUBOARD (1M*2M )</t>
  </si>
  <si>
    <t>4MM BITUBOARD (1M*2M )</t>
  </si>
  <si>
    <t>SEALANT</t>
  </si>
  <si>
    <t>AWAZEL PU FLEX  (600 ML SAUSAGE)</t>
  </si>
  <si>
    <t xml:space="preserve">DUMASTIC (20KG PAIL) </t>
  </si>
  <si>
    <t xml:space="preserve">NEOSULPHIDE SEALANT-PG PART A+PART B (4LTR/PACK) </t>
  </si>
  <si>
    <t xml:space="preserve">RHEO MASTIC SEALANT (20KG PAIL) </t>
  </si>
  <si>
    <t xml:space="preserve">SOPRAMASTIC LM (20KG PAIL) </t>
  </si>
  <si>
    <t>WEBER JOINTSEAL PU 300 GREY (600 ML SAUSAGE)</t>
  </si>
  <si>
    <t xml:space="preserve">SIKAFLEX-428 PRECAST CONCRETE GREY (600 ML SAUSAGE)  </t>
  </si>
  <si>
    <t>NEOFLEX PU 25 LM GREY (600 ML SAUSAGE)</t>
  </si>
  <si>
    <t xml:space="preserve">NEOSULPHIDE SEALANT GG PART A+PART B  ( 2.5LTR/PACK ) </t>
  </si>
  <si>
    <t>STAR SEAL PU -600 GREY (600 ML SAUSAGE)</t>
  </si>
  <si>
    <t>STAR ADHESIVE &amp; RESIN IND. FACTORY</t>
  </si>
  <si>
    <t xml:space="preserve">WEBER JOINTSEAL PU 300 WHITE  (600 ML SAUSAGE)  </t>
  </si>
  <si>
    <t>WEBERSEAL PS  1000 GG/PG (4 Ltr/PACK)</t>
  </si>
  <si>
    <t xml:space="preserve">WEBER SEAL MASTIC  (20KG PAIL) </t>
  </si>
  <si>
    <t>PU COATING</t>
  </si>
  <si>
    <t>AWAZEL PU 670  (20LTR PAIL)</t>
  </si>
  <si>
    <t>CRESTHANE PU 100  GREY (20LTR PAIL)</t>
  </si>
  <si>
    <t>NEOSEAL PUD 560  WHITE (20LTR PAIL)</t>
  </si>
  <si>
    <t>NEOSEAL WP 509 -BLACK (24LTR PAIL)</t>
  </si>
  <si>
    <t>POLYTHANE P (20LTR PAIL)</t>
  </si>
  <si>
    <t>STAR PUD 337 (20LTR PAIL)</t>
  </si>
  <si>
    <t>Netoproof 600 (20LTR)</t>
  </si>
  <si>
    <t>CEMENTITIOUS COATING</t>
  </si>
  <si>
    <t>AWAZEL CEMENT ACRYLIC COAT WHITE ( PART A 15KG+ PART B 5KG)</t>
  </si>
  <si>
    <t>AWAZEL CEMENT ACRYLIC COAT GREY ( PART A 15KG+ PART B 5KG)</t>
  </si>
  <si>
    <t>COATLOK HARD 40 GREY( PART A 15KG+ PART B 5KG)</t>
  </si>
  <si>
    <t>CRESPROOF 301 DARK GREY ( PART A 15KG+ PART B 5KG)</t>
  </si>
  <si>
    <t>CRESPROOF 301 PURE WHITE( PART A 15KG+ PART B 5KG)</t>
  </si>
  <si>
    <t>HARD 60 ( PART A 15KG+ PART B 5KG)</t>
  </si>
  <si>
    <t>JK PROFIX -WPC 11 ( PART A 20KG+ PART B 10KG)</t>
  </si>
  <si>
    <t>MIXGUARD AC WHITE ( PART A 15KG+ PART B 5KG)</t>
  </si>
  <si>
    <t>PYCHEM CO. L.L.C.</t>
  </si>
  <si>
    <t>NEOSEAL FLEX 550 - WHITE  ( PART A 15KG+ PART B 5KG)</t>
  </si>
  <si>
    <t>NEOSEAL FLEX 550 -LIGHT GREY (PART A 15KG+PART B 5KG)</t>
  </si>
  <si>
    <t>NEOSEAL FLEX 550-DARK GREY (PART A 15KG+PART B 5KG)</t>
  </si>
  <si>
    <t>NEOSEAL FLEX 588 - LIGHT GREY (PART A 25KG+PART B 10KG)</t>
  </si>
  <si>
    <t>NEOSEAL FLEX 588 -GREY (PART A 25KG+PART B 10KG)</t>
  </si>
  <si>
    <t>NEOSEAL FLEX 588 -WHITE (PART A 26.25 KG+PART B 8.75 KG)</t>
  </si>
  <si>
    <t>NITOCOTE CM210 GREY ( PART A 15KG+ PART B 5KG)</t>
  </si>
  <si>
    <t xml:space="preserve">NITOCOTE CM210 WHITE ( PART A 15KG+ PART B 5KG) </t>
  </si>
  <si>
    <t>Polyflex grey( PART A 15KG+ PART B 5KG)</t>
  </si>
  <si>
    <t>Polyflex white ( PART A 15KG+ PART B 5KG)</t>
  </si>
  <si>
    <t>SIKA TOP 588 SEAL GREY ( PART A 25KG+ PART B 10KG)</t>
  </si>
  <si>
    <t>SIKA TOP 550 SEAL H( PART A 15KG+ PART B 5KG)</t>
  </si>
  <si>
    <t>SIKA TOP 550 SEAL J  ( PART A 15KG+ PART B 5KG)</t>
  </si>
  <si>
    <t>SIKA TOP 550 SEAL K ( PART A 15KG+ PART B 5KG)</t>
  </si>
  <si>
    <t>SIKALASTIC -152 AE( PART A 8KG+ PART B 25KG)</t>
  </si>
  <si>
    <t>STARCHEM 2K ( PART A 15KG+ PART B 5KG)</t>
  </si>
  <si>
    <t xml:space="preserve">WEBERDRY 116 FX GREY   18 KG  ( PART A 13.63 KG+ PART B 4.67 KG) </t>
  </si>
  <si>
    <t xml:space="preserve">WEBERDRY 116 FX SP  GREY    ( PART A 13.63 KG+ PART B 4.67 KG) </t>
  </si>
  <si>
    <t xml:space="preserve">WEBERDRY 116 FX SP  WHITE   ( PART A 13.63 KG+ PART B 4.67 KG) </t>
  </si>
  <si>
    <t xml:space="preserve">WEBERDRY 116 FX WHITE  ( PART A 13.63 KG+ PART B 4.67 KG) </t>
  </si>
  <si>
    <t xml:space="preserve">WEBERDRY 136 FX GREY KIT  ( PART A 15 KG+ PART B 7.5 KG) </t>
  </si>
  <si>
    <t>POLYSTYRENE SHEET</t>
  </si>
  <si>
    <t xml:space="preserve">ROOFMATE  70MM ( 1.25 X 0.60M ) DENSITY 32-35 KG </t>
  </si>
  <si>
    <t xml:space="preserve">ROOFMATE  75MM ( 1.25 X 0.60M ) DENSITY 32-35 KG </t>
  </si>
  <si>
    <t xml:space="preserve">E-FOAM  50MM ( 1.25 X 0.60M ) DENSITY 32-35 KG </t>
  </si>
  <si>
    <t>EMIRATES EXTRUDED POLYSTRENE L.L.C</t>
  </si>
  <si>
    <t xml:space="preserve">EXTRUDED INSULATION BOARD  50MM ( 1.25 X 0.60M ) DENSITY 32-35 KG </t>
  </si>
  <si>
    <t xml:space="preserve">ROOFMATE   100MM ( 1.25 X 0.60M ) DENSITY 32-35 KG </t>
  </si>
  <si>
    <t xml:space="preserve">ROOFMATE   500MM ( 1.25 X 0.60M ) DENSITY 32-35 KG </t>
  </si>
  <si>
    <t xml:space="preserve">E-FOAM  60MM ( 1.25 X 0.60M ) DENSITY 32-35 KG </t>
  </si>
  <si>
    <t xml:space="preserve">ROOFMATE 60MM ( 1.25 X 0.60M ) DENSITY 32-35 KG </t>
  </si>
  <si>
    <t xml:space="preserve">BITUTHERM ND  100MM ( 1.25 X 0.60M ) DENSITY 32-35 KG  </t>
  </si>
  <si>
    <t xml:space="preserve">BITUTHERM ND  60MM ( 1.25 X 0.60M ) DENSITY 32-35 KG </t>
  </si>
  <si>
    <t xml:space="preserve">BITUTHERM ND  70MM ( 1.25 X 0.60M ) DENSITY 32-35 KG </t>
  </si>
  <si>
    <t>FABRIC MESH</t>
  </si>
  <si>
    <t xml:space="preserve">BETOFLEX BETOTECH MESH  65 GSM  (0.8M*100M) </t>
  </si>
  <si>
    <t>NEOFAB COATING FABRIC  (0.30M * 50M)</t>
  </si>
  <si>
    <t>AWAZEL FABRIC (1M*50M)</t>
  </si>
  <si>
    <t>FOAM CONCRETE</t>
  </si>
  <si>
    <t xml:space="preserve">FOAM CONCRETE </t>
  </si>
  <si>
    <t>AWAZEFOAM CFA 1000</t>
  </si>
  <si>
    <t xml:space="preserve">ADVAFAMCRETE 200 KG </t>
  </si>
  <si>
    <t>AIM INDUSTRIES</t>
  </si>
  <si>
    <t>BITUMEN</t>
  </si>
  <si>
    <t xml:space="preserve">AQUADERE HT  (200LTR /DRUM) </t>
  </si>
  <si>
    <t xml:space="preserve">CONCRETE PRIMER D41 (200LTR /DRUM) </t>
  </si>
  <si>
    <t xml:space="preserve">CRESPRIME SB  (200LTR /DRUM) </t>
  </si>
  <si>
    <t xml:space="preserve">DUPRIME (200LTR /DRUM) </t>
  </si>
  <si>
    <t xml:space="preserve">POLYPRIME SB BITUMEN PRIMER (200LTR /DRUM) </t>
  </si>
  <si>
    <t xml:space="preserve">PRIMER  SOPRADERE HT (200LTR /DRUM) </t>
  </si>
  <si>
    <t xml:space="preserve">PRIMER D41  (200LTR /DRUM) </t>
  </si>
  <si>
    <t>PRIMER D41 (16 KG) CAN</t>
  </si>
  <si>
    <t xml:space="preserve">PROOFEX TORCHSEAL PRIMER(200LTR /DRUM) </t>
  </si>
  <si>
    <t xml:space="preserve">RHEOPRIME SB  (200LTR /DRUM) </t>
  </si>
  <si>
    <t xml:space="preserve">SIKA LGOLFLEX-620 (200LTR /DRUM) </t>
  </si>
  <si>
    <t xml:space="preserve">SIKABIT P -12 AE BITUMENIOUS PRIMER  (200LTR /DRUM) </t>
  </si>
  <si>
    <t xml:space="preserve">SOPRADERE HT (200LTR /DRUM) </t>
  </si>
  <si>
    <t xml:space="preserve"> WEBER DRY PRIMER SB(200LTR /DRUM) </t>
  </si>
  <si>
    <t xml:space="preserve">NEOCOAT RBE -3510  (200LTR /DRUM) </t>
  </si>
  <si>
    <t xml:space="preserve">RHEOSEAL RBE350(200LTR /DRUM) </t>
  </si>
  <si>
    <t xml:space="preserve">BETOCOAT RBE 10  (200LTR /DRUM) </t>
  </si>
  <si>
    <t xml:space="preserve">AWAZEL AWATEX RBE 6500  (200LTR /DRUM) </t>
  </si>
  <si>
    <t xml:space="preserve">CRESCOAT RBE 10  (200LTR /DRUM) </t>
  </si>
  <si>
    <t xml:space="preserve">NEOCOAT RBE -4010 (200LTR /DRUM) </t>
  </si>
  <si>
    <t xml:space="preserve">NEOCOAT RBE -6010 (200LTR /DRUM) </t>
  </si>
  <si>
    <t xml:space="preserve">WEBER RBE (200LTR /DRUM) </t>
  </si>
  <si>
    <t>CORROPRIME SB(200LTR /DRUM)</t>
  </si>
  <si>
    <t>ACRYLIC COATING</t>
  </si>
  <si>
    <t xml:space="preserve">ACRYLIC COATING </t>
  </si>
  <si>
    <t xml:space="preserve">AWAZEL ACRYLIC COAT  (15KG/ PAIL) </t>
  </si>
  <si>
    <t xml:space="preserve">NEOTEX SP-LIGHT GREY (20KG/PAIL) </t>
  </si>
  <si>
    <t xml:space="preserve">NEOTEX SP-WHITE (20KG/PAIL) </t>
  </si>
  <si>
    <t xml:space="preserve">NEOTEX SP-DARK GREY (20KG/PAIL) </t>
  </si>
  <si>
    <t>INJECTION ITEMS</t>
  </si>
  <si>
    <t xml:space="preserve"> X-102-lV HYDROPHILIC POLYURETHEN (  4 LTR TIN )</t>
  </si>
  <si>
    <t>Al Qasr Al Shami Workshop Equipments Trading LLC</t>
  </si>
  <si>
    <t>NOS</t>
  </si>
  <si>
    <t xml:space="preserve"> X-103-lV HYDROPHILIC POLYURETHEN  ( 4 LTR  PER TIN ) </t>
  </si>
  <si>
    <t xml:space="preserve">NIPPLE GRIPPER  </t>
  </si>
  <si>
    <t xml:space="preserve">INJECTION PACKERS ALLUMINIUM </t>
  </si>
  <si>
    <t>MULTI-DIRECTIONAL REINJECTIBLE HOSE-AN INTEGRATED INJECTION SYSTEM 100LM/box</t>
  </si>
  <si>
    <t>BOX</t>
  </si>
  <si>
    <t>AWAZEL WATER INJECTION  ( FOAM PLUS CATALYSET 5 KG SET  )</t>
  </si>
  <si>
    <t>INJECTION PUMP WITH 5 MTR PIPE MOX-BRAND</t>
  </si>
  <si>
    <t>Al Qasar Al Shami Workshop Equipments Trading LLC</t>
  </si>
  <si>
    <t>Asset</t>
  </si>
  <si>
    <t>BONDING AGENT</t>
  </si>
  <si>
    <t>NEOBOND SBR 250 ( 20LTR / PAIL )</t>
  </si>
  <si>
    <t>WEBERAD 225 MB ( 20LTR / PAIL )</t>
  </si>
  <si>
    <t>BACKING ROD</t>
  </si>
  <si>
    <t>BACKING ROD 15MM (360 LM X 15MM)</t>
  </si>
  <si>
    <t>Consumable</t>
  </si>
  <si>
    <t>BACKING ROD 20MM (200 LM X 20MM)</t>
  </si>
  <si>
    <t>CRESROD -WHITE (200 LM X 20MM)</t>
  </si>
  <si>
    <t>CRESROD -WHITE (360 LM X 15MM)</t>
  </si>
  <si>
    <t>BAKING ROD 15 MM (360 LM X 15MM)</t>
  </si>
  <si>
    <t>MMT TRADING LLC</t>
  </si>
  <si>
    <t>BAKING ROD 20MM  (200 LM X 20MM)</t>
  </si>
  <si>
    <t>STEEL</t>
  </si>
  <si>
    <t>DEFORMED STEEL  BARS 16 MM</t>
  </si>
  <si>
    <t xml:space="preserve">EMIRATES REBAR LIMITED </t>
  </si>
  <si>
    <t>TON</t>
  </si>
  <si>
    <t>DEFORMED STEEL BARS 10 MM</t>
  </si>
  <si>
    <t>DEFORMED STEEL BARS 12 MM</t>
  </si>
  <si>
    <t>DEFORMED STEEL BARS 20 MM</t>
  </si>
  <si>
    <t>DEFORMED STEEL BARS 25 MM</t>
  </si>
  <si>
    <t>DEFORMED STEEL BARS 32 MM</t>
  </si>
  <si>
    <t>DEFORMED STEEL BARS 8   MM</t>
  </si>
  <si>
    <t>THREADED COUPLER 32MM</t>
  </si>
  <si>
    <t>CUT &amp; BEND DEFORMED STEEL BARS - 10MM TO 32 MM</t>
  </si>
  <si>
    <t>SCAFFOLDING &amp; FORMWORK</t>
  </si>
  <si>
    <t>HIRE FORMWORK ( SCAFFOLDING )</t>
  </si>
  <si>
    <t>MIDDLE EAST CORNER SCAFFOLDING LLC SOLE PROPRIETORSHIP</t>
  </si>
  <si>
    <t>LS</t>
  </si>
  <si>
    <t>Service</t>
  </si>
  <si>
    <t>HIRE SCAFFOLDING ( EXTERNAL )</t>
  </si>
  <si>
    <t>MARINE PLYWOOD ( 8' X 4' X 12MM )</t>
  </si>
  <si>
    <t>SULITER INTERNATIONAL BUILDING MATERIALS TRADING L.L.C</t>
  </si>
  <si>
    <t>SHEET</t>
  </si>
  <si>
    <t>MARINE PLYWOOD  ( 8' X 4' X 18MM )</t>
  </si>
  <si>
    <t>WHITE WOOD (1" X 4" X 13')</t>
  </si>
  <si>
    <t>RIKA TRADING LLC</t>
  </si>
  <si>
    <t>WHITE WOOD (3" X 3" X 13')</t>
  </si>
  <si>
    <t>COMMERCIAL PLYWOOD 12MM ( 8' X 4' X 12MM )</t>
  </si>
  <si>
    <t>COMMERCIAL PLYWOOD 6MM ( 8' X 4' X  6 MM )</t>
  </si>
  <si>
    <t>COMMERCIAL PLYWOOD 4MM ( 8' X 4' X  4 MM )</t>
  </si>
  <si>
    <t xml:space="preserve">TIE ROD 16MM*6MTR </t>
  </si>
  <si>
    <t>ROYAL TOOLS TRADING  L.L.C</t>
  </si>
  <si>
    <t>PVC CONDUIT PIPE 25MM HD</t>
  </si>
  <si>
    <t>WING NUT HD</t>
  </si>
  <si>
    <t>SUPER PLATE</t>
  </si>
  <si>
    <t>SAND, CEMENT &amp; PLASTER ITEMS</t>
  </si>
  <si>
    <t xml:space="preserve">SS PLASTER STOPPER  (13MM X 13 MTR ) </t>
  </si>
  <si>
    <t>ALI BABA STEEL TRADING FZCO</t>
  </si>
  <si>
    <t xml:space="preserve">BONDCRETE RAK FIX 012 ( 50KG / BAG ) </t>
  </si>
  <si>
    <t>RAK FIX LLC</t>
  </si>
  <si>
    <t>BAGS</t>
  </si>
  <si>
    <t xml:space="preserve">CORROPLAST AB  ( 40KG / BAG ) </t>
  </si>
  <si>
    <t xml:space="preserve">CCC DRYMIX </t>
  </si>
  <si>
    <t xml:space="preserve">CORROPLAST KEY COAT N ( 40KG / BAG ) </t>
  </si>
  <si>
    <t>DAR AL KHAN BLDG MAT TR</t>
  </si>
  <si>
    <t>WHITE WASH SAND</t>
  </si>
  <si>
    <t>CUM</t>
  </si>
  <si>
    <t>G.I ANGLE BEAD ( 50MM X 50MM X 13MM )</t>
  </si>
  <si>
    <t xml:space="preserve">OPC CEMENT ( 50KG / BAG ) </t>
  </si>
  <si>
    <t xml:space="preserve">JK PLAST PP22 ( 50KG / BAG ) </t>
  </si>
  <si>
    <t xml:space="preserve">JK PLAST COAT-RS11 ( 50KG / BAG ) </t>
  </si>
  <si>
    <t>ROTOR &amp; STARTOR</t>
  </si>
  <si>
    <t>S.S ANGLE BEAD  ( 50MM X 50MM X 13MM )</t>
  </si>
  <si>
    <t xml:space="preserve">FILLING SAND </t>
  </si>
  <si>
    <t>SHAHEEN AL BADAR TRANSPORT L.L.C</t>
  </si>
  <si>
    <t xml:space="preserve">BLACK WASH SAND </t>
  </si>
  <si>
    <t xml:space="preserve">ROAD BASE </t>
  </si>
  <si>
    <t>BLOCK ITEMS</t>
  </si>
  <si>
    <t>G.I BLOCK MESH   (200MM X 50M/ ROLL)</t>
  </si>
  <si>
    <t>ROLL</t>
  </si>
  <si>
    <t>G.I BLOCK MESH  (100MM X 50M/ ROLL)</t>
  </si>
  <si>
    <t>G.I BLOCK MESH  (250MM X 50M/ ROLL)</t>
  </si>
  <si>
    <t>DAMP PC 100 MM (10 LM)</t>
  </si>
  <si>
    <t>DAMP PC 200MM ( 10 LM )</t>
  </si>
  <si>
    <t>G.I BLOCK WALL TIES</t>
  </si>
  <si>
    <t>HOLLOW BLOCK 4"</t>
  </si>
  <si>
    <t>PHOENIX CONCRETE PRODUCTS</t>
  </si>
  <si>
    <t>HOLLOW BLOCK 6"</t>
  </si>
  <si>
    <t>HOLLOW BLOCK 8"</t>
  </si>
  <si>
    <t>SOLID BLOCK 10"</t>
  </si>
  <si>
    <t>SOLID BLOCK 4"</t>
  </si>
  <si>
    <t>SOLID BLOCK 6"</t>
  </si>
  <si>
    <t>SOLID BLOCK 8"</t>
  </si>
  <si>
    <t>THERMAL INSULATED BLOCK 10"</t>
  </si>
  <si>
    <t>THERMAL INSULATED BLOCK 12"</t>
  </si>
  <si>
    <t>THERMAL INSULATED BLOCK 8"</t>
  </si>
  <si>
    <t xml:space="preserve">G.I LINTEL 200MM </t>
  </si>
  <si>
    <t>G.I LINTEL 100MM</t>
  </si>
  <si>
    <t>CONCRETE</t>
  </si>
  <si>
    <t>CONCRETE C50/20 ( 180KG OPC + 200KG GGBS +20KG MS +SIKA FERROGUARD C1222+4KG SIKA CONTROL 3760 WT</t>
  </si>
  <si>
    <t>EMIRATES BEETON READYMIX L.L.C</t>
  </si>
  <si>
    <t>CONCRETE BLINDING C20/20 ( OPC 36% GGBS )</t>
  </si>
  <si>
    <t>CONCRETE 50/20 180KG OPC +200KG GGBS+20KG MS + SIKA FERROGUARD C1222</t>
  </si>
  <si>
    <t>CONCRETE C50/20 ( 236KG OPC + 144KG GGBS + 20 KG MS</t>
  </si>
  <si>
    <t>CONCRETE C50/20 ( 236KG OPC + 144KG GGBS +20 KG MS +SIKAFERROGUARD C1222</t>
  </si>
  <si>
    <t>CONCRETE MOBILE PUMP CHARGES ABOVE 56 MTR</t>
  </si>
  <si>
    <t>CONCRETE MOBILE PUMP CHARGES UP TO 45 MTR</t>
  </si>
  <si>
    <t>STATIC PUMP CHARHES MOBILE PUMP CHARGES</t>
  </si>
  <si>
    <t>STATIC PUMP CHARGES ABOVE 40 MTR</t>
  </si>
  <si>
    <t>CONCRETE -TECHNICIAN CHARGES FOR QTY LESS THAN 30 CUM</t>
  </si>
  <si>
    <t>CONCRETE EXTRA PIPE LINE FOR PUMP &amp; BOOM</t>
  </si>
  <si>
    <t>CONCRETE MOBILIZATION SHIFTING CHARGES FOR PUMP</t>
  </si>
  <si>
    <t>CONCRETE -OFFLOADING CHARGES USING CRANES / JCB / BOBCAT ETC</t>
  </si>
  <si>
    <t>TRIP</t>
  </si>
  <si>
    <t>CONCRETE -MOBILE PUMPING SHIFTING ABOVE 45 MTR</t>
  </si>
  <si>
    <t>CONCRETE  MOBILE PUMPING SHIFTING ABOVE 56 MTR</t>
  </si>
  <si>
    <t>CONCRETE MOBILIZATION CHARGES FOR  PUMP ABOVE 56 MTR</t>
  </si>
  <si>
    <t>CONCRETE SLURRY MIX</t>
  </si>
  <si>
    <t>CONCRETE- EXCESS CONCRETE CHARGES ( PARTIAL LOAD )</t>
  </si>
  <si>
    <t>CONCRETE - EXCESS CONCRETE CHARGES ( FULL LOAD )</t>
  </si>
  <si>
    <t>CONCRETE -CORROSION INHIBITOR</t>
  </si>
  <si>
    <t>CONCRETE -STATIC LINE</t>
  </si>
  <si>
    <t>TEMPERATURE CONTROL 32C</t>
  </si>
  <si>
    <t>TEMPERATURE CONTROL 30C</t>
  </si>
  <si>
    <t>CONCRETE TEMPERATURE CONTROL 25C</t>
  </si>
  <si>
    <t>CONCRETE TEMPERATURE CONTROL 28C</t>
  </si>
  <si>
    <t>PLACING BOOM RENTAL CHARGES- EMIRATES BETON</t>
  </si>
  <si>
    <t>Months</t>
  </si>
  <si>
    <t>CONCRETE PUMP CHARGES ABOVE 46 MTR LESS THAN 100 CUM</t>
  </si>
  <si>
    <t>CONCRETE PUMP CHARGES 56 MTR LESS THAN 100 CUM</t>
  </si>
  <si>
    <t>CONCRETE SPACER 25MM</t>
  </si>
  <si>
    <t>CONCRETE SPACER 40MM</t>
  </si>
  <si>
    <t>ELECTRICAL ITEMS</t>
  </si>
  <si>
    <t>32 MM PPR SOCKET</t>
  </si>
  <si>
    <t>HARVEST ELECTRICAL EQUIPMENT &amp; BLDG MATERIAL TRADING LLC</t>
  </si>
  <si>
    <t>RUBBER CLAMP</t>
  </si>
  <si>
    <t>UNIFIX</t>
  </si>
  <si>
    <t>2.5MM X 3C FLEXIBLE CABLE</t>
  </si>
  <si>
    <t>4 FT LED TUBE LIGHT</t>
  </si>
  <si>
    <t>13AMP DOUBLE SWITCH SOCKET</t>
  </si>
  <si>
    <t>SINGLE SWITCH SOCKET 13 AMP</t>
  </si>
  <si>
    <t>SINGLE SWITCH SOCKET 15 AMP</t>
  </si>
  <si>
    <t>1 GANG 1 WAY SWITCH</t>
  </si>
  <si>
    <t>35 AMP POLE ISOLATOR</t>
  </si>
  <si>
    <t>35 AMP 3 POLE ISOLATOR</t>
  </si>
  <si>
    <t>16 AMP 3 PIN WALL MOUNTED FEMALE SOCKET</t>
  </si>
  <si>
    <t>32 AMP 5 PIN WALL MOUNTED FEMALE SOCKET</t>
  </si>
  <si>
    <t>INSULATION TAPE 1"</t>
  </si>
  <si>
    <t>CABLE TIE 3.6 X 300MM</t>
  </si>
  <si>
    <t>PKT</t>
  </si>
  <si>
    <t>CABLE TIE 2.5 X 200MM</t>
  </si>
  <si>
    <t>CABLE CONNECTOR 16MM</t>
  </si>
  <si>
    <t>PVC BOX 3" X 6"</t>
  </si>
  <si>
    <t>PVC BOX 3" X 3"</t>
  </si>
  <si>
    <t>RR FLEXIBLE WIRE 3CX2.5MM ( 100 YRD )</t>
  </si>
  <si>
    <t>4MM X 4C FLEXIBLE WIRE (100YARD)</t>
  </si>
  <si>
    <t>FLEXIBLE CABLE 6MM X 4 C ( 100 YARD )</t>
  </si>
  <si>
    <t>ARMOUR CABLE 150MM</t>
  </si>
  <si>
    <t>MTR</t>
  </si>
  <si>
    <t>YELLOW GREEN WIRE 95MM</t>
  </si>
  <si>
    <t>ARMOURED CABLE 10MM</t>
  </si>
  <si>
    <t>YELLOW GREEN WIRE 16MM</t>
  </si>
  <si>
    <t>ARMOURED CABLE 25MM</t>
  </si>
  <si>
    <t>ARMOURED CABLE 35MM</t>
  </si>
  <si>
    <t>CABLE GLAND BW 50L</t>
  </si>
  <si>
    <t>CABLE GLAND 25MM</t>
  </si>
  <si>
    <t>CABLE GLAND 25 MM BW</t>
  </si>
  <si>
    <t>CABLE LUGS 150MM</t>
  </si>
  <si>
    <t>CABLE LUGS 95MM</t>
  </si>
  <si>
    <t>CABLE LUGS 10MM</t>
  </si>
  <si>
    <t>CABLE LUGS 25MM</t>
  </si>
  <si>
    <t>CABLE LUGS 16MM</t>
  </si>
  <si>
    <t>CABLE GLAND 40 MM BW</t>
  </si>
  <si>
    <t>CABLE LUGS 35MM</t>
  </si>
  <si>
    <t>100 AMP TP ISOLATOR WITH ENCLOSER BOX 400 X 300 X 200</t>
  </si>
  <si>
    <t>ELCB 100MA 63AMP 4 POLE</t>
  </si>
  <si>
    <t>MCB SP 32A</t>
  </si>
  <si>
    <t>FLEXIBLE WIRE 2.5MM X  1 CORE (100 YRD)</t>
  </si>
  <si>
    <t>END CUTTER 6 1/4"</t>
  </si>
  <si>
    <t>FISHER PLUG 6MM</t>
  </si>
  <si>
    <t>10MM X 2 CORE ARMOUD CABLE</t>
  </si>
  <si>
    <t>6MM X 5C FLEXIBLE CABLE ( 100 YRD )</t>
  </si>
  <si>
    <t>2.5MM X 3C FLEXIBLE CABLE ( 100 YRD )</t>
  </si>
  <si>
    <t>6 MM CABLE LUGS</t>
  </si>
  <si>
    <t>CABLE LUGS 2.5MM</t>
  </si>
  <si>
    <t>ALLEN KEY SET</t>
  </si>
  <si>
    <t>150 MM HEAT SHRINK WIRE</t>
  </si>
  <si>
    <t>10 MM HEAT SHRINK WIRE</t>
  </si>
  <si>
    <t>6 MM HEAT SHRINK WIRE</t>
  </si>
  <si>
    <t>2.5 MM HEAT SHRINK WIRE</t>
  </si>
  <si>
    <t>CABLE GLAND 20 L BW</t>
  </si>
  <si>
    <t>FIX BOLT 10MM</t>
  </si>
  <si>
    <t>ISOLATOR 63 AMP</t>
  </si>
  <si>
    <t>10 WAY PVC DB BOX</t>
  </si>
  <si>
    <t>40AMP 4POLE MCB ANDELI</t>
  </si>
  <si>
    <t>7 WAY NUTERLINK</t>
  </si>
  <si>
    <t>32AMP 5-PIN INDUSTRIAL SOCKET MALE</t>
  </si>
  <si>
    <t>32AMP 5-PIN INDUSTRIAL SOCKET FEMALE</t>
  </si>
  <si>
    <t>MALE SOCKET 16 AMP</t>
  </si>
  <si>
    <t>FEMALE SOCKET 16+ AMP</t>
  </si>
  <si>
    <t>LIGHT LED 400W</t>
  </si>
  <si>
    <t>WALL MOUNTED SOCKET 16AMP 3P</t>
  </si>
  <si>
    <t>PLUMBING ITEMS</t>
  </si>
  <si>
    <t>TP ISOLATOR IS CONSIDER WITH DOOR HANDLE , FORM-11 ENCLOSER IS CONSIDERED WITH
IP-54, RAL-7032 FRONT ACCESS</t>
  </si>
  <si>
    <t>K B B ELECTRICAL SWITCHGEAR INDUSTRIES  L.L.C</t>
  </si>
  <si>
    <t>TP ISOLATOR WITH DOOR HANDLE , 36KA FIXED THERMAL TYPE TP MCCB , RYB INDICATOR</t>
  </si>
  <si>
    <t>TP ISOLATOR ( MODULER TYPE ) , 4P ELCB, 6KA MCB COMBO BAS BAR , STANDARD ELCUSER
IP-54, RAL-7032 FRON ACCESS ONLY</t>
  </si>
  <si>
    <t>SOCKET PANEL</t>
  </si>
  <si>
    <t>ASSET</t>
  </si>
  <si>
    <t>SPLIT  A/C 2 TON</t>
  </si>
  <si>
    <t>RIAZ &amp; TARIQ TRADING CO.LLC.</t>
  </si>
  <si>
    <t>SET</t>
  </si>
  <si>
    <t>SPLIT  A/C 1.5 TON</t>
  </si>
  <si>
    <t>4" FLOOR DRAIN JALI</t>
  </si>
  <si>
    <t>FLEXIBLE PIPE 50CM 1/2"</t>
  </si>
  <si>
    <t>GYPSUM SCREW BLACK 6MM X  1MM</t>
  </si>
  <si>
    <t>GYPSUM SCREW BLACK 6MM X  1.5MM</t>
  </si>
  <si>
    <t>TOWER BOLT</t>
  </si>
  <si>
    <t>ANGLE VALVE 1/2"</t>
  </si>
  <si>
    <t>SHATTAF</t>
  </si>
  <si>
    <t>PVC GLUE</t>
  </si>
  <si>
    <t>32MM PPR TEE</t>
  </si>
  <si>
    <t>PPR SOCKET 20MM</t>
  </si>
  <si>
    <t>PPR REDUCER SOCKET 32MM X  20MM</t>
  </si>
  <si>
    <t>ASIAN WC WITH FLASH</t>
  </si>
  <si>
    <t>Set</t>
  </si>
  <si>
    <t>UPVC PIPES 4" X 6 MTR</t>
  </si>
  <si>
    <t>UPVC ELBOW 2" X 90 DEG</t>
  </si>
  <si>
    <t>UPVC ELBOW 4" X 45 DEGREE</t>
  </si>
  <si>
    <t>PPR PIPE 32MM X  4MTR</t>
  </si>
  <si>
    <t>PPR 32MM SOCKET</t>
  </si>
  <si>
    <t>PPR 32MM 90D ELBOW</t>
  </si>
  <si>
    <t>4" UPVC SOCKET</t>
  </si>
  <si>
    <t>UPVC 4" Y BRANCH</t>
  </si>
  <si>
    <t>4" Y BRANCH</t>
  </si>
  <si>
    <t>UPVC PIPES 2" X  4 MTR</t>
  </si>
  <si>
    <t>UPVC ELBOW 3"X45 DEG</t>
  </si>
  <si>
    <t>UPVC TEE 2"</t>
  </si>
  <si>
    <t>UPVC TEE 4"</t>
  </si>
  <si>
    <t>TEFLON TAPE</t>
  </si>
  <si>
    <t>WASH BASIN 40 X  30 CM</t>
  </si>
  <si>
    <t>WEST JALI 1 1/4"</t>
  </si>
  <si>
    <t>WEST PIPE 1 1/4"</t>
  </si>
  <si>
    <t>HINGES MS 3"</t>
  </si>
  <si>
    <t>TUBE FOR WASH BASIN 1/2" SINGLE CENTER HOLE</t>
  </si>
  <si>
    <t>ALDROPS 10"</t>
  </si>
  <si>
    <t>PPR SOCKET 32MM</t>
  </si>
  <si>
    <t>PAD LOCK 50MM</t>
  </si>
  <si>
    <t>ELCB 40A 4P 100MA</t>
  </si>
  <si>
    <t>PVC WIRE CLIP 10MM</t>
  </si>
  <si>
    <t>MCB 10A SP</t>
  </si>
  <si>
    <t>20 AMP S POLE MCB</t>
  </si>
  <si>
    <t>32 AMP SP MCB</t>
  </si>
  <si>
    <t>WATER PUMP 2HP</t>
  </si>
  <si>
    <t>PRESSURE KIT</t>
  </si>
  <si>
    <t>PPR PIPE 1"</t>
  </si>
  <si>
    <t>PPR SOCKET 1"</t>
  </si>
  <si>
    <t>1" PPR GATE VALVE</t>
  </si>
  <si>
    <t>PPR FEMALE ADAPTOR 1" X  1/2"</t>
  </si>
  <si>
    <t>UPVC PIPES 4" X  4 MTR</t>
  </si>
  <si>
    <t>PVC END CAP 2"</t>
  </si>
  <si>
    <t>ASIAN WC</t>
  </si>
  <si>
    <t>PPR ELBOW 32MM X  90 DEG</t>
  </si>
  <si>
    <t>PPR TEE</t>
  </si>
  <si>
    <t>BRASS HANDLE BALL VALVE 1"</t>
  </si>
  <si>
    <t>PRINTING &amp; STATIONERY</t>
  </si>
  <si>
    <t>MOUSE PAD</t>
  </si>
  <si>
    <t>IRSHAD KASHIM AND MOHAMMED AMEER STATIONERY  LLC</t>
  </si>
  <si>
    <t>STICKY NOTES 3x3(12 PCS/PKT)</t>
  </si>
  <si>
    <t>Correction Pen (12pcs/box)</t>
  </si>
  <si>
    <t>Rubber Band</t>
  </si>
  <si>
    <t>Box File -PVC (Green)</t>
  </si>
  <si>
    <t>CTN</t>
  </si>
  <si>
    <t>Marker pen round tip black</t>
  </si>
  <si>
    <t>Box</t>
  </si>
  <si>
    <t>STAMP</t>
  </si>
  <si>
    <t>STAPLER PIN 20 PKT / BOX</t>
  </si>
  <si>
    <t>RIGID BOX FILE</t>
  </si>
  <si>
    <t>LETTER HEAD PAPER</t>
  </si>
  <si>
    <t>PAPER TRAY</t>
  </si>
  <si>
    <t>SHORT HAND NOTE BOOK</t>
  </si>
  <si>
    <t>FLAG STICKY NOT-INDEX FLAG</t>
  </si>
  <si>
    <t>PACK</t>
  </si>
  <si>
    <t>Krish Ball Pen Red (50PCS/PKT)</t>
  </si>
  <si>
    <t>A4 Paper80 GSM (5 Ream/Box) (2500 Sheets)</t>
  </si>
  <si>
    <t>REGISTER BOOK</t>
  </si>
  <si>
    <t>PEN CELLO SOFT TIP</t>
  </si>
  <si>
    <t>PENCIL</t>
  </si>
  <si>
    <t>Marker pen round tip Red</t>
  </si>
  <si>
    <t>BINDER CLIP 19MM</t>
  </si>
  <si>
    <t>BINDER CLIP 51MM</t>
  </si>
  <si>
    <t>DIVIDER A5 CUTTING</t>
  </si>
  <si>
    <t>STAMP INK</t>
  </si>
  <si>
    <t>Highlighter Assorted Color(5 Pcs/Pkt)</t>
  </si>
  <si>
    <t>ERASER</t>
  </si>
  <si>
    <t>STAPLER</t>
  </si>
  <si>
    <t>PUNCH</t>
  </si>
  <si>
    <t>PCS</t>
  </si>
  <si>
    <t>BINDER CLIP 32MM</t>
  </si>
  <si>
    <t>PAPER A3  (5 Ream/Box) (2500 Sheets)</t>
  </si>
  <si>
    <t>PLASTIC ENVELOPE CLEAR</t>
  </si>
  <si>
    <t xml:space="preserve">STAPLER  MEDIUM SIZE </t>
  </si>
  <si>
    <t>GLUE</t>
  </si>
  <si>
    <t>Envelope A4 Brown (50 Pcs/pkt)</t>
  </si>
  <si>
    <t>Envelope A5 brown (50 PCS/PKT)</t>
  </si>
  <si>
    <t>Krish Ball Pen Black (50PCS/PKT)</t>
  </si>
  <si>
    <t>Krish Ball Pen Blue(50 Pcs/Box)</t>
  </si>
  <si>
    <t>LAMINATION POUCH A3</t>
  </si>
  <si>
    <t>LAMINATION POUCH A4</t>
  </si>
  <si>
    <t>UNI BALL EYE FINE PEN</t>
  </si>
  <si>
    <t>STICKY NOTES 1.5x2 (12 PCS/PKT)</t>
  </si>
  <si>
    <t>STICKER 36  X  20 CM</t>
  </si>
  <si>
    <t>Al Nawras Printing Press Services</t>
  </si>
  <si>
    <t>STICKER 10 X 5 CM</t>
  </si>
  <si>
    <t>STICKER 29 X 21 CM</t>
  </si>
  <si>
    <t>STICKER  30 X  21 CM</t>
  </si>
  <si>
    <t>STICKER 20 X 15 CM</t>
  </si>
  <si>
    <t>STICKERS 15 X  10 CM</t>
  </si>
  <si>
    <t>LETTER HEAD KLNNARI OFFWHITE FULL COLOR PRINTING</t>
  </si>
  <si>
    <t>BUSINESS CARD PRINTING</t>
  </si>
  <si>
    <t>FIXED ASSET</t>
  </si>
  <si>
    <t>LAMINATION MACHINE</t>
  </si>
  <si>
    <t>CITY RANGERS TRADING  LLC</t>
  </si>
  <si>
    <t>FUEL</t>
  </si>
  <si>
    <t xml:space="preserve">DIESEL 10 PPM </t>
  </si>
  <si>
    <t>ABDUL GAFOOR DIESEL TRADING   LLC</t>
  </si>
  <si>
    <t>GALLON</t>
  </si>
  <si>
    <t>GROUT AND TILES</t>
  </si>
  <si>
    <t>TILE LEVELING SYSTEM CLIP  1.5MM</t>
  </si>
  <si>
    <t>TILE LEVELING WEDGES 1.5MM</t>
  </si>
  <si>
    <t>POLYPROPELENE SHEET 4MM  ( SIZE : 0.9M X  2M )</t>
  </si>
  <si>
    <t xml:space="preserve">WEBERCOL PRO GREY  (25KG/ BAG ) </t>
  </si>
  <si>
    <t>WEBERJOINT 112 BONE WHITE (5 KG / BAG )</t>
  </si>
  <si>
    <t>WEBERJOINT 120 IVORY  (5 KG / BAG )</t>
  </si>
  <si>
    <t xml:space="preserve">TILE SPACER 1.5MM </t>
  </si>
  <si>
    <t>TILE SPACER 1 MM</t>
  </si>
  <si>
    <t>TILE SPACER 2MM</t>
  </si>
  <si>
    <t>TILE SPACER 3MM</t>
  </si>
  <si>
    <t>NEOGROUT NS (20KG/BAG)</t>
  </si>
  <si>
    <t>MATERX LAVACHEM FLOWABLE ( 25KG/BAG)</t>
  </si>
  <si>
    <t>DANUBE BUILDING MATERIAL TRADING CO. LLC</t>
  </si>
  <si>
    <t>MIXBUILD MC GREY( 25KG/BAG)</t>
  </si>
  <si>
    <t>MIX GROUT NS ( 25KG/BAG)</t>
  </si>
  <si>
    <t>RENDEROC FC (20KG/BAG )</t>
  </si>
  <si>
    <t>Material In Stock</t>
  </si>
  <si>
    <t>RENDEROC HS  (20KG/BAG )</t>
  </si>
  <si>
    <t>HARDWARE ITEMS</t>
  </si>
  <si>
    <t>WIRE NAILS 2"</t>
  </si>
  <si>
    <t>Kg</t>
  </si>
  <si>
    <t>WIRE NAILS 2.5"</t>
  </si>
  <si>
    <t>WIRE NAILS 3"</t>
  </si>
  <si>
    <t>STEEL NAILS 1 1/2"</t>
  </si>
  <si>
    <t xml:space="preserve"> STEEL NAILS 2"  </t>
  </si>
  <si>
    <t>BINDING WIRE 1.0 KG</t>
  </si>
  <si>
    <t>MEASURING TAPE 5 MTR</t>
  </si>
  <si>
    <t>WIRE NAILS 4"</t>
  </si>
  <si>
    <t>MASON HAMMER</t>
  </si>
  <si>
    <t>HAND SHOVEL ( CONCRETE WORK</t>
  </si>
  <si>
    <t>DUCT TAPE 2"X 25YRD</t>
  </si>
  <si>
    <t>WHITE CHALK</t>
  </si>
  <si>
    <t>PAINT BRUSH 4"</t>
  </si>
  <si>
    <t>MASKING TAPE 2''X 25 YRD</t>
  </si>
  <si>
    <t>STEEL CUTTING BLADE 4''</t>
  </si>
  <si>
    <t>WOOD CUTTING BLADE 9"</t>
  </si>
  <si>
    <t>SAFETY GOGGLES BLACK</t>
  </si>
  <si>
    <t>LEATHER HAND GLOVES</t>
  </si>
  <si>
    <t>DOZ</t>
  </si>
  <si>
    <t xml:space="preserve">SAFETY GOGGLES </t>
  </si>
  <si>
    <t>CONCRETE DRILL BIT 6MM</t>
  </si>
  <si>
    <t>CONCRETE DRILL BIT 10MM</t>
  </si>
  <si>
    <t>SOFT BRUSH WITH STICK</t>
  </si>
  <si>
    <t>GARBAGE BAG</t>
  </si>
  <si>
    <t>BUNDLE</t>
  </si>
  <si>
    <t>JIGSAW BLADE</t>
  </si>
  <si>
    <t>TARPAULIN COVER 40' X 40'</t>
  </si>
  <si>
    <t>SDS MAX FLAT CHISEL 400 MM (HILTI BIT</t>
  </si>
  <si>
    <t>SDS MAX POINTED CHISEL 400 MM (HILTI BIT</t>
  </si>
  <si>
    <t>STEEL FLOAT TROWEL 11/4''</t>
  </si>
  <si>
    <t>MASON TROWEL 4''</t>
  </si>
  <si>
    <t>MASON TROWEL 5'' ( KARANDI</t>
  </si>
  <si>
    <t>TIGHNER STAR 2.5"</t>
  </si>
  <si>
    <t>CHALCK LINE WITH POWDER</t>
  </si>
  <si>
    <t>STEEL CUTTING DISC 4"</t>
  </si>
  <si>
    <t>STEEL CUTTING DISC 9"</t>
  </si>
  <si>
    <t>DIAMOND CONCRETE GRINDING DISC 4.5</t>
  </si>
  <si>
    <t>DIAMOND CONCRETE GRINDING DISC9''</t>
  </si>
  <si>
    <t>METAL BINDING STRIP 3/4"</t>
  </si>
  <si>
    <t>METAL BINDING CLIP</t>
  </si>
  <si>
    <t>TILE CUTTING DISC 4 1/2''</t>
  </si>
  <si>
    <t>CONCRETE CUTTING BLADE 4.5"</t>
  </si>
  <si>
    <t>WOODEN DRILL BIT 25MM</t>
  </si>
  <si>
    <t>TESTER</t>
  </si>
  <si>
    <t>W.P.PAPER NO.60; 80</t>
  </si>
  <si>
    <t>SPONGE</t>
  </si>
  <si>
    <t>WIRE NAILS 1"</t>
  </si>
  <si>
    <t>PLUMBOB ( OLMBA 500 GRM</t>
  </si>
  <si>
    <t>PVC BUCKET HD</t>
  </si>
  <si>
    <t>LEVEL PIPE 50 MTR</t>
  </si>
  <si>
    <t>CONCRETE DRILL BIT 12MM</t>
  </si>
  <si>
    <t>DUST BIN MEDIUM - 80LTR</t>
  </si>
  <si>
    <t>DUST BIN BIG - 120LTR</t>
  </si>
  <si>
    <t>LINE DORI</t>
  </si>
  <si>
    <t>PVC BUCKET</t>
  </si>
  <si>
    <t>CHIPPING HAMMER ( TANCHA</t>
  </si>
  <si>
    <t>CONCRETE BLOCK COVER 50MM</t>
  </si>
  <si>
    <t>HOSE PIPE 3/4 " YELLOW</t>
  </si>
  <si>
    <t>WATER COOLER FILTER</t>
  </si>
  <si>
    <t>SAFETY MASK</t>
  </si>
  <si>
    <t>HESSIAN CLOTH</t>
  </si>
  <si>
    <t>REINFORCE HOSE PIPE 3/4"</t>
  </si>
  <si>
    <t>BINDING WIRE 10 KG</t>
  </si>
  <si>
    <t>WIRE CUTTER KNIPEX 6"</t>
  </si>
  <si>
    <t xml:space="preserve">DIAMOND CONCRETE CUTTING BLADE 4" </t>
  </si>
  <si>
    <t>DIAMOND CONCRETE  CUTTING BLADE 9"</t>
  </si>
  <si>
    <t>CONCRETE DRILL BIT 22 MM X 310 MM</t>
  </si>
  <si>
    <t>CONCRETE DRILL BIT 25 MM X 310 MM</t>
  </si>
  <si>
    <t>GYPSUM SCREW 1.5</t>
  </si>
  <si>
    <t>GYPSUM SCREW 2''</t>
  </si>
  <si>
    <t>CONCRETE DRILL BIT 16 MM X 210 MM</t>
  </si>
  <si>
    <t>PALLET JACK TROLLEY 3.0 TON</t>
  </si>
  <si>
    <t>ALLUMINIUM LADDER A TYPE 2.0MTR</t>
  </si>
  <si>
    <t>ALLUMINIUM LADDER A TYPE 3.0MTR</t>
  </si>
  <si>
    <t>Fabric FX Mesh  50 LM</t>
  </si>
  <si>
    <t>SPIRIT LEVEL 50 CM</t>
  </si>
  <si>
    <t>MASKING TAPE 2'' X 25 YRD</t>
  </si>
  <si>
    <t>WATER THURMOS 20 LTR</t>
  </si>
  <si>
    <t>GUMBOOT ALL SIZE</t>
  </si>
  <si>
    <t>Pair</t>
  </si>
  <si>
    <t>SHUTTERING CLAIMP 90 CM</t>
  </si>
  <si>
    <t>WOODEN DRILL BIT 16MM</t>
  </si>
  <si>
    <t>CONCRETE DRILL BIT 14MM</t>
  </si>
  <si>
    <t>CONCRETE DRILL BIT 20MM</t>
  </si>
  <si>
    <t>WOODEN DRILL BIT 20MM</t>
  </si>
  <si>
    <t>SDS MAX POINTED CHISEL 600 MM ( HILTI BIT</t>
  </si>
  <si>
    <t>G.I PIPE 25MM</t>
  </si>
  <si>
    <t>CONCRETE BLOCK COVER 25MM</t>
  </si>
  <si>
    <t>STEEL CUTTING DISC 4.5"</t>
  </si>
  <si>
    <t>SCAFF SPANNER</t>
  </si>
  <si>
    <t>HAND GLOVES DOTTED</t>
  </si>
  <si>
    <t>GREEN SHADE NET 4M X  50 MTR</t>
  </si>
  <si>
    <t>COTTON WASTE CLOTH ( WHITE</t>
  </si>
  <si>
    <t>MASON TROWEL 6''</t>
  </si>
  <si>
    <t>SAFETY GOGGLES CLEAR</t>
  </si>
  <si>
    <t>4 SCAFF TAGS 10 PCS PER PKT</t>
  </si>
  <si>
    <t>WARNING TAPE</t>
  </si>
  <si>
    <t>PLUMBOB ( OLMBA 500 GRM )</t>
  </si>
  <si>
    <t>MASION TROWEL 4''</t>
  </si>
  <si>
    <t>POLYTHENE SHEET 1000 GUAGE 4M X 25 MTR</t>
  </si>
  <si>
    <t>DIAMOND CUP WHEEL 7"</t>
  </si>
  <si>
    <t>FIRE RATED PAINT</t>
  </si>
  <si>
    <t>DRUM</t>
  </si>
  <si>
    <t>COTTON HAND GLOVES (12PCS) DZN</t>
  </si>
  <si>
    <t>DZN</t>
  </si>
  <si>
    <t>PAINT ROLLER WITH  REFILL 9"</t>
  </si>
  <si>
    <t>PAINT REFILL 9"</t>
  </si>
  <si>
    <t>PAINT ROLLER 4''</t>
  </si>
  <si>
    <t>ROLLER REFILL 4"</t>
  </si>
  <si>
    <t>COCO BROOM WITH STICK</t>
  </si>
  <si>
    <t>POLYTHENE SHEET 100G</t>
  </si>
  <si>
    <t>CARPENTER AARI 18'' ( HAND SAW CUTTER )</t>
  </si>
  <si>
    <t>FIRE BLANKET</t>
  </si>
  <si>
    <t>KNIFE BLADE HOOK TYPE</t>
  </si>
  <si>
    <t>KNIFE</t>
  </si>
  <si>
    <t>H DRIVE PIN</t>
  </si>
  <si>
    <t>PISTON TOOLS CHARGES</t>
  </si>
  <si>
    <t>PVC GURMALA</t>
  </si>
  <si>
    <t>HOLD FAST GUN</t>
  </si>
  <si>
    <t>LEVEL PIPE 1M</t>
  </si>
  <si>
    <t>BAR BENDING KEY 10MM</t>
  </si>
  <si>
    <t>BAR BENDING KEY 12MM</t>
  </si>
  <si>
    <t>BAR BENDING KEY 16MM</t>
  </si>
  <si>
    <t>BAR BENDING KEY 25MM</t>
  </si>
  <si>
    <t>MESH CUTTER SCISSOR 7"</t>
  </si>
  <si>
    <t>CHIPPING HAMMER ( TANCHA )</t>
  </si>
  <si>
    <t>SCAFFOLDING WHEEL</t>
  </si>
  <si>
    <t>DIESEL PUMP</t>
  </si>
  <si>
    <t>CARPENTER HAMMER</t>
  </si>
  <si>
    <t>BIG HAMMER</t>
  </si>
  <si>
    <t>WHEEL BARROW</t>
  </si>
  <si>
    <t>CARPENTER BARI 3 FEET</t>
  </si>
  <si>
    <t>SPIRIT LEVEL 30 CM</t>
  </si>
  <si>
    <t>SPIRIT LEVEL 60 CM</t>
  </si>
  <si>
    <t>MEASURING TAPE 30 MTR</t>
  </si>
  <si>
    <t>DEEP TRAY ( 4DRUM  IN 1TRAY )</t>
  </si>
  <si>
    <t>SHAHERA STEEL &amp; WELDING W/SHOP</t>
  </si>
  <si>
    <t>DEEP TRAY ( 2DRUM  IN 1 TRAY )</t>
  </si>
  <si>
    <t>LOADING PLATFORM (SIZE :  2.40M X 2.40M )</t>
  </si>
  <si>
    <t xml:space="preserve">BUNK BED HEAVY DUTY 32 TO 33 KG - BROAD SQUARE TUBE SILVER  (SIZE : 1.90 X 0.9M ) </t>
  </si>
  <si>
    <t>RUKN AL MAJAJ TRADING</t>
  </si>
  <si>
    <t>METAL SHOE RACK HD ( SIZE : 90X40X60CM)</t>
  </si>
  <si>
    <t xml:space="preserve">TOTAL STATION - THEODOSTATION </t>
  </si>
  <si>
    <t>AL FAJER TRADING L.L.C</t>
  </si>
  <si>
    <t>SAND SHIFTING BUCKET</t>
  </si>
  <si>
    <t xml:space="preserve">WATER COOLER 4 TAP METAL BODY </t>
  </si>
  <si>
    <t>RUKN AL GHUWAIR TRADING</t>
  </si>
  <si>
    <t xml:space="preserve">PALLET TROLLEY 3.0 TON CAPACITY </t>
  </si>
  <si>
    <t xml:space="preserve">BLOCK BUCKET 2.5 TON CAPACITY </t>
  </si>
  <si>
    <t>ELMECHANA TECHNICAL EQUIPMENTCO. LLC</t>
  </si>
  <si>
    <t xml:space="preserve">UNIT NOVAG-III “HYDRAULIC UNIT” [3500 psi] Includes: Machine , Tool Box , Operating Manual
</t>
  </si>
  <si>
    <t xml:space="preserve">DUMPY LEVEL -TOPCON AUTOMATIC LEVEL </t>
  </si>
  <si>
    <t xml:space="preserve">SAFETY ITEMS </t>
  </si>
  <si>
    <t>NYLON SLING BELT</t>
  </si>
  <si>
    <t>VAULTEX SAFETY HELMET YELLOW</t>
  </si>
  <si>
    <t>SAFETY JACKET</t>
  </si>
  <si>
    <t>SAFETY HELMET WHITE COLOUR REMART</t>
  </si>
  <si>
    <t>DOUBLE SIDE TAPE</t>
  </si>
  <si>
    <t>SCAFFOLDING TAG HOLDER WITH MARKER (GREEN)</t>
  </si>
  <si>
    <t>EAR PLUG 1X100 PAIRS</t>
  </si>
  <si>
    <t>FACE MASK  (50 PCS / PKT )</t>
  </si>
  <si>
    <t>NYLON ROPE 6MM</t>
  </si>
  <si>
    <t>Safety barrication Net orrange 50MTR</t>
  </si>
  <si>
    <t>INDUCTION STICKER 500</t>
  </si>
  <si>
    <t>HAND GLOVES (TANGWANG)</t>
  </si>
  <si>
    <t>HAND GLOVES ( CLEANING) PLR 16"</t>
  </si>
  <si>
    <t>SPLIT KIT 20 LTR</t>
  </si>
  <si>
    <t>FACE SHIELD</t>
  </si>
  <si>
    <t>COVERALL PREMIUM COTTON 100% WITH ONE COLOUR PRINTING AS PER SAMPLE</t>
  </si>
  <si>
    <t>SAFETY JACKET FOR ENG FORMAN</t>
  </si>
  <si>
    <t>SAFETY SHOES</t>
  </si>
  <si>
    <t>SPILL KIT 5 GLN</t>
  </si>
  <si>
    <t>SAFETY CONES</t>
  </si>
  <si>
    <t>WATER BARRIER</t>
  </si>
  <si>
    <t>FULL BODY HARNESS</t>
  </si>
  <si>
    <t>14 MM LIFELINE ROPE 50 METER</t>
  </si>
  <si>
    <t>FIRE EXTINGUISHER CO2  5KG</t>
  </si>
  <si>
    <t>FIRE EXTINGUISHER DCP 6KG</t>
  </si>
  <si>
    <t>FIRST AID KIT</t>
  </si>
  <si>
    <t>SMOKE DETECTOR</t>
  </si>
  <si>
    <t>BATON LIGHT RED WITH BATTERY</t>
  </si>
  <si>
    <t>BATON LIGHT GREEN WITH BATTERY</t>
  </si>
  <si>
    <t>FLASH LIGHT WITH SOLAR</t>
  </si>
  <si>
    <t>LIFTING CHAIN</t>
  </si>
  <si>
    <t>WALKIE-TALKIE</t>
  </si>
  <si>
    <t>FIRE EXTINGUSHERS DRY POWDER</t>
  </si>
  <si>
    <t>EQUIPMENT, TRANSPORT &amp; MACHINERY</t>
  </si>
  <si>
    <t>HIRE OF 150 KVA GENERATOR</t>
  </si>
  <si>
    <t>AL TAMAM CONSTRUCTION EQUIPMENT RENTAL LLC</t>
  </si>
  <si>
    <t xml:space="preserve">Monthly </t>
  </si>
  <si>
    <t>HIRE OF 250 KVA GENERATOR</t>
  </si>
  <si>
    <t>HIRE OF 45 KVA GENERATOR</t>
  </si>
  <si>
    <t xml:space="preserve">HIRE OF BOOM LOADER 17MTR </t>
  </si>
  <si>
    <t>ASHIF ABDUL RASHID TRANSPORT LLC</t>
  </si>
  <si>
    <t>HRS</t>
  </si>
  <si>
    <t>HIRE OF SKID LOADER ( BOBCAT )</t>
  </si>
  <si>
    <t xml:space="preserve">HIRE OF JCB BACK HOLE </t>
  </si>
  <si>
    <t xml:space="preserve">HIRE OF TOWER CRANE </t>
  </si>
  <si>
    <t>AL BALQA GENERAL TRADING CO.L.L.C</t>
  </si>
  <si>
    <t>HIRE RUBBISH REMOVAL 20 CUM TRUCK</t>
  </si>
  <si>
    <t xml:space="preserve">ABDUL GAFOOR &amp; HAMID TRANSPORT </t>
  </si>
  <si>
    <t>HIRE WASTE WATER TANKER 5,000 GALLON</t>
  </si>
  <si>
    <t>ALAM KHAN TRANSPORT L.L.C</t>
  </si>
  <si>
    <t xml:space="preserve">HIRE OF MOBILE CRANE 50 TON </t>
  </si>
  <si>
    <t>AL SALAMA TRANSPORT  L.L.C</t>
  </si>
  <si>
    <t>Day</t>
  </si>
  <si>
    <t>HIRE OF MOBILE CRANE 160 TON</t>
  </si>
  <si>
    <t>Hour</t>
  </si>
  <si>
    <t>HIRE OF 100 TON MOBILE  CRANE</t>
  </si>
  <si>
    <t>HIRE OF 50 TON MOBILE CRANE</t>
  </si>
  <si>
    <t xml:space="preserve">HIRE OF ROLLER COMPACTOR 2 TON </t>
  </si>
  <si>
    <t>WARQA STAR MACHINERY &amp; EQUIPMENT RENTAL L.L.C</t>
  </si>
  <si>
    <t>DAY</t>
  </si>
  <si>
    <t>HIRE OF PASSENGER HOIST ( DOUBLE CABIN )</t>
  </si>
  <si>
    <t xml:space="preserve">HIRE OF POWER FLOAT </t>
  </si>
  <si>
    <t xml:space="preserve">AL YASIN EQUIPMENT RENTAL LLC </t>
  </si>
  <si>
    <t>HIRE OF OVERHANG BEAM (MODEL-LIBRO 800)</t>
  </si>
  <si>
    <t>SPIDER PLUS CONSTRUCTION EQUIPMENT TRADING LLC</t>
  </si>
  <si>
    <t>HIRE BLOWER FAN FLEXIBLE 16"</t>
  </si>
  <si>
    <t>THREE STAR EQUIPMET RENTAL  L.L.C</t>
  </si>
  <si>
    <t>HIRE OF PETROL VIBRATOR WITH NEEDLE ( RENTAL )</t>
  </si>
  <si>
    <t xml:space="preserve">HIRE OF ROLLER COMPACTOR 1.5 TON </t>
  </si>
  <si>
    <t>HIRE OF HILTY DRILL</t>
  </si>
  <si>
    <t>HIRE OF PLYWOOD CUTTER</t>
  </si>
  <si>
    <t>HIRE OF JACK HAMMER MEDIUM</t>
  </si>
  <si>
    <t>HIRE OF GRINDER 4.5"</t>
  </si>
  <si>
    <t>HIRE OF GRINDER 9"</t>
  </si>
  <si>
    <t>HIRE OF ROLLER COMPACTOR</t>
  </si>
  <si>
    <t xml:space="preserve">HIRE OF PLATE COMPACTOR </t>
  </si>
  <si>
    <t xml:space="preserve">HIRE OF FLAT TRAILER </t>
  </si>
  <si>
    <t xml:space="preserve">DST CARGO TRANSPORT </t>
  </si>
  <si>
    <t>HIRE OF SKIP 10 CBM</t>
  </si>
  <si>
    <t>MR SKIPS WASTE SERVICES L.L.C</t>
  </si>
  <si>
    <t>TEEPING FEE CHARGES</t>
  </si>
  <si>
    <t>GATE FEE CHARGES</t>
  </si>
  <si>
    <t>HIRE OF SKIP 5 CUM</t>
  </si>
  <si>
    <t>VEOLLA MIDDLE EAST RECYCLING L.L.C</t>
  </si>
  <si>
    <t xml:space="preserve">MINIMUM SKIP CHARGES </t>
  </si>
  <si>
    <t xml:space="preserve">ADDITIONAL DISPOSAL FEE </t>
  </si>
  <si>
    <t xml:space="preserve">HIRE OF 34 SEATER BUS WITH DRIVER WITHOUT FUEL </t>
  </si>
  <si>
    <t>LIFE LINE BUS RENTAL L.L.C</t>
  </si>
  <si>
    <t xml:space="preserve">HIRE OF 34 SEATER BUS WITHOUT DRIVER WITHOUT FUEL </t>
  </si>
  <si>
    <t>HIRE 66 SEATER BUS WITH DRIVER WITH FUEL</t>
  </si>
  <si>
    <t>SHINGAK PASSENGERS TRANSPORT BY RENTED BUSES LLC</t>
  </si>
  <si>
    <t>DEWALT JACK HAMMER D25810K 5KG</t>
  </si>
  <si>
    <t>Smooth Solution Building Materials Trading LLC</t>
  </si>
  <si>
    <t>DEWALT DWD024 750W 15-13MM DRILL</t>
  </si>
  <si>
    <t>22MM 3 MODE SDS PLUS HAMMER DEWALT 220V D 25033C-B5</t>
  </si>
  <si>
    <t>CIRULER SAW MACHINE DEWALT 9" D23700</t>
  </si>
  <si>
    <t>JIGSAW MACHINE DEWALT DWE349 B5</t>
  </si>
  <si>
    <t>GRINDER DEWALT 9" DWE492</t>
  </si>
  <si>
    <t>ANGLE GRINDER 4.5" DEWALT 730W</t>
  </si>
  <si>
    <t>BLOWER FAN FLEXIBLE 16"</t>
  </si>
  <si>
    <t>PORTABLE BLOWER FAN 16"</t>
  </si>
  <si>
    <t>INDUSTRIAL STAND FAN PAK 24"</t>
  </si>
  <si>
    <t>STANDLY AIR BLOWER 600W STP 600</t>
  </si>
  <si>
    <t>ANGLR GRINDER 4.5" DWE4212 1200W 220V</t>
  </si>
  <si>
    <t>POWERTREK GROOVE CUTTER 6'' 220 V</t>
  </si>
  <si>
    <t>STANLEY MUD MIXER</t>
  </si>
  <si>
    <t xml:space="preserve">CONCRETE VIBRATOR -MODEL MPV MAXITO- ITALY </t>
  </si>
  <si>
    <t>CONCRETE POURING BUCKET  1M3, MODEL No. Pct-99 P, SQUARE SHAPE, CENTRAL DISCHARGE WITH PLATFORM</t>
  </si>
  <si>
    <t>PROMIDE TRADING C. L.L.C</t>
  </si>
  <si>
    <t>CONCRETE POURING BUCKET MAXLIFT  HEAVY DUTY  MODEL QP CAPACITY 1M3 1000 LTR WITH PLATFORM</t>
  </si>
  <si>
    <t xml:space="preserve">PLYWOOD CUTTER MACHINE </t>
  </si>
  <si>
    <t>42MM BAR BENDING MACHINE  380V GW42</t>
  </si>
  <si>
    <t>FAISAL MAHMOOD BUILDING HARDWARE &amp; TOOLS TRADING L.L.</t>
  </si>
  <si>
    <t>25MM STEEL BENDING MACHINE  380V  GF25</t>
  </si>
  <si>
    <t>45MM BAR CUTTER MACHINE  380V  GQ45</t>
  </si>
  <si>
    <t xml:space="preserve">PLATE COMPACTOR </t>
  </si>
  <si>
    <t>FOAM CONCRETE MACHINE MODEL : DE-H</t>
  </si>
  <si>
    <t>DUBAI ENG.TURNINGLLC</t>
  </si>
  <si>
    <t>NOVAG-III “HYDRAULIC UNIT” [3500 psi] INCLUDES: MACHINE , TOOL BOX , OPERATING MANUAL</t>
  </si>
  <si>
    <t xml:space="preserve"> SITCO DIS TIGARET STI LLC</t>
  </si>
  <si>
    <t>POWER TROWEL DRIVEN BY HONDA PETROL ENGINE WITH PAN ET1000G</t>
  </si>
  <si>
    <t xml:space="preserve">POKERSHAFT 38MM </t>
  </si>
  <si>
    <t xml:space="preserve">PORTA CABIN-2 ROOM +TOILET +KINTCHEN ( SIZE 12 X 3.66M ) </t>
  </si>
  <si>
    <t>AL BAITH AL RAFIEE FABRICATED HOUSE TR. L.L.C</t>
  </si>
  <si>
    <t>TOILET CABIN WITH 4 URINAL +2 WC +2 WASH BASIN (SIZE : 4.5 X 2.4M )</t>
  </si>
  <si>
    <t>AL RAHA PREFABRICATED HOUSE TR.</t>
  </si>
  <si>
    <t>WATER STOPPER</t>
  </si>
  <si>
    <t xml:space="preserve">WATER STOPPER </t>
  </si>
  <si>
    <t>WATAFOIL 250MM ( 12M/ROLL)</t>
  </si>
  <si>
    <t>Material in Stock</t>
  </si>
  <si>
    <t>SUPERCAST INJECTOSEAL ( 100M/ROLL)</t>
  </si>
  <si>
    <t>PVC WATWER STOP -IC250 (15M/ROLL)</t>
  </si>
  <si>
    <t>PVC WATERSTOPPER -DOUBLE FACE (15M/ROLL)</t>
  </si>
  <si>
    <t>SIKA WATERSTOP G -1C25 ( 15M/ROLL)</t>
  </si>
  <si>
    <t>SIKA WATERSTOP G -EC25 ( 15M/ROLL)</t>
  </si>
  <si>
    <t>TESTING &amp; CERTIFICATION</t>
  </si>
  <si>
    <t>PARTICLE SIZE DISTRIBUTION</t>
  </si>
  <si>
    <t>TRANS FAST ENGINEERING LABORATORY</t>
  </si>
  <si>
    <t>MOISTURE CONTENT</t>
  </si>
  <si>
    <t>BULK &amp; DRY DENSITY</t>
  </si>
  <si>
    <t>EXTRUSION AND VISUAL IDENTIFICATION OF UNDISTURBED SAMPLE</t>
  </si>
  <si>
    <t>SPECIFIC GRAVITY TEST ON FINE &amp; COARSE SOILS</t>
  </si>
  <si>
    <t>LIQUID LIMIT,PLASTIC LIMIT</t>
  </si>
  <si>
    <t>MAX/MIN DENSITY TEST</t>
  </si>
  <si>
    <t>PROCTOR COMPACTION TEST 45KG</t>
  </si>
  <si>
    <t>CBR TEST</t>
  </si>
  <si>
    <t>IN-SITU DENSITY TEST LARGE</t>
  </si>
  <si>
    <t>IN-SITU DENSITY SMALL</t>
  </si>
  <si>
    <t>SCHMIDT HAMMER TEST ON CONCRETE</t>
  </si>
  <si>
    <t>ULTRASONIC PULSE VELOCITY</t>
  </si>
  <si>
    <t>PULL OUT TEST</t>
  </si>
  <si>
    <t>COVER METER</t>
  </si>
  <si>
    <t>CARBONATION TEST</t>
  </si>
  <si>
    <t>INSITU CBR TEST</t>
  </si>
  <si>
    <t>PLATE LOAD TEST</t>
  </si>
  <si>
    <t>PERCOLATION TEST</t>
  </si>
  <si>
    <t>FOUNDATION LEVEL CHECKING WITH CONFIRMATION LETTER</t>
  </si>
  <si>
    <t>SEIVE TEST</t>
  </si>
  <si>
    <t>FINES PASSING NO 200 SEIVE</t>
  </si>
  <si>
    <t>CLAY LUMPS AND FRIABLE PARTICLES</t>
  </si>
  <si>
    <t>WATER ABSORPTION &amp; SPECIFIC GRAVITY</t>
  </si>
  <si>
    <t>FLAKINESS INDEX</t>
  </si>
  <si>
    <t>ELONGATION INDEX</t>
  </si>
  <si>
    <t>AGGREGATE CRUSHING VALUE</t>
  </si>
  <si>
    <t>TEN PERCENT FINES VALUE</t>
  </si>
  <si>
    <t>LOS ANGELES ABRASION TEST</t>
  </si>
  <si>
    <t>MOISTURE CONTENT TEST</t>
  </si>
  <si>
    <t>SOUNDNESS TEST</t>
  </si>
  <si>
    <t>TOTAL SHELL CONTENT</t>
  </si>
  <si>
    <t>ORGANIC MATTER CONTENT</t>
  </si>
  <si>
    <t>UNIT WEIGHT OF AGGREGATE ( EACH )</t>
  </si>
  <si>
    <t>QUARRY SAMPLING BY TECHNICIAN (MIN 4 HRS)</t>
  </si>
  <si>
    <t>COMPRESSIVE STRENGHT OF CONCRETE CUBE (BY CLIENT VEHICLE)</t>
  </si>
  <si>
    <t>COMPRESSIVE STRENGHT OF CUBES ( BY LAB VEHICLE)</t>
  </si>
  <si>
    <t>COMPRESSIVE STRENGHT OF CYLINDER</t>
  </si>
  <si>
    <t>COMPRESSIVE STRENGHT OF CONCRETE CORE</t>
  </si>
  <si>
    <t>COMPRESSIVE STRENGHT OF PRECAST MASONRY BLOCKS( INCLUDING DIMENSION)</t>
  </si>
  <si>
    <t>COMPRESSIVE STRENGHT OF PAVING TILES( INCLUDING DIMENSION)</t>
  </si>
  <si>
    <t>AIR CONTENT OF FRESH CONCRETE</t>
  </si>
  <si>
    <t>RAPID CHLORIDE PERMEABILITY</t>
  </si>
  <si>
    <t>WATER PENETRATIION TEST</t>
  </si>
  <si>
    <t>INITIAL SURFACE ABSORPTION</t>
  </si>
  <si>
    <t>SLUMP AND TEMPERATURE OF FRESH CONCRETE</t>
  </si>
  <si>
    <t>SETTING TIME OF FRESH CONCRETE</t>
  </si>
  <si>
    <t>DENSITY OF FRESH CONCRETE (EACH)</t>
  </si>
  <si>
    <t>BLEEDING OF FRESH CONCRETE</t>
  </si>
  <si>
    <t>WATER ABSORPTION TEST ON CONCRETE KERB</t>
  </si>
  <si>
    <t>WATER ABSORPTION TEST ON CONCRETE FLAGSTONE</t>
  </si>
  <si>
    <t>WATER ABSORPTION TEST ON TILES</t>
  </si>
  <si>
    <t>WATER ABSORPTION OF MASONRY BLOCKS/ PAVING BLOCKS</t>
  </si>
  <si>
    <t>PILE INTEGRITY TEST</t>
  </si>
  <si>
    <t>pH VALUE OF SOIL &amp; WATER SAMPLES</t>
  </si>
  <si>
    <t>SULPHATE CONTENT OF SOIL &amp; WATER SAMPLES</t>
  </si>
  <si>
    <t>SULPHATE CONTENT OF AGGREGATE SAMPLES</t>
  </si>
  <si>
    <t>CHLORIDE CONTENT OF SOIL SAMPLE</t>
  </si>
  <si>
    <t>CHLORIDE CONTENT OF AGGREGATE SAMPLES</t>
  </si>
  <si>
    <t>CARBONATE CONTENT OF SAMPLE</t>
  </si>
  <si>
    <t>ORGANIC CONTENT OF SOIL SAMPLE</t>
  </si>
  <si>
    <t>TENSILE TEST ON STEEL BARS( EACH)</t>
  </si>
  <si>
    <t>BEND TEST</t>
  </si>
  <si>
    <t>REBEND TEST</t>
  </si>
  <si>
    <t>CHEMICAL ANALYSIS OF STEEL (PER ELEMENT)</t>
  </si>
  <si>
    <t>POINT LOAD STRENGHT INDEX</t>
  </si>
  <si>
    <t>STAND PENETRATION TEST (SPT)</t>
  </si>
  <si>
    <t>SOIL INVESTIGATION nBH</t>
  </si>
  <si>
    <t>TOPO SURVEY ( SUBJECT TO THE PLOT LOCATION)</t>
  </si>
  <si>
    <t>GATE LEVEL SURVEY AND OBTAINING SURVEY</t>
  </si>
  <si>
    <t>DEMARCATION</t>
  </si>
  <si>
    <t>DETERMINATION OF DEPTH OF WATER PENETRATION UNDER PRESSURE</t>
  </si>
  <si>
    <t>WATER ABSORPTION OF HARDENED CONCRETE</t>
  </si>
  <si>
    <t>ELECTRICAL INDICATION OF CONCRETE ABILITY TO RESIST CHLORIDE INO</t>
  </si>
  <si>
    <t>SULPHATE CONTENT</t>
  </si>
  <si>
    <t>CHLORIDE CONTENT</t>
  </si>
  <si>
    <t>INITIAL SURFACE ABSORPTION OF CONCRETE</t>
  </si>
  <si>
    <t>CHEMICAL COMPOSITION OF STEEL BAR</t>
  </si>
  <si>
    <t>MAXIMUM DRY DENSITY</t>
  </si>
  <si>
    <t xml:space="preserve"> STEEL BENDING &amp; CUTTING TRAINING &amp; CERTIFICATE </t>
  </si>
  <si>
    <t>B SAFE SAFETY &amp; SECURITY CONSULTANT</t>
  </si>
  <si>
    <t xml:space="preserve"> GRINDING MACHINE OPERATOR TRAINING &amp; CERTIFICATE </t>
  </si>
  <si>
    <t xml:space="preserve"> TOWER CRANE OPERATOR TRAINING &amp; CERTIFICATE </t>
  </si>
  <si>
    <t xml:space="preserve"> LIFTING SUPERVISOR TRAINING &amp; CERTIFICATE </t>
  </si>
  <si>
    <t xml:space="preserve">FLAGMAN TRAINING &amp; CERTIFICATE </t>
  </si>
  <si>
    <t xml:space="preserve">RIGGER TRAINING &amp; CERTIFICATE </t>
  </si>
  <si>
    <t xml:space="preserve"> BASIC FIRST AID TRAINING &amp; CERTIFICATE </t>
  </si>
  <si>
    <t xml:space="preserve">THIRD PARTY INSPECTION FOR SLAB SCAFFOLDING </t>
  </si>
  <si>
    <t xml:space="preserve">AIR COMPRESSOR INSPECTION &amp; CERTIFICATE </t>
  </si>
  <si>
    <t>A2A SAFETY CONSULTANTS CO.LLC</t>
  </si>
  <si>
    <t xml:space="preserve">FOAM CONCRETE MACHINE INSPECTION </t>
  </si>
  <si>
    <t xml:space="preserve">PU FOAM MACHINE INSPECTIION &amp; CERTIFICATE </t>
  </si>
  <si>
    <t xml:space="preserve">PU FOAM PRESSURE GUAGE INSPECTION </t>
  </si>
  <si>
    <t xml:space="preserve">QUALITY INTERNATIONAL CERTIFICATES ISSUING SERVICES </t>
  </si>
  <si>
    <t xml:space="preserve">JOINT CUTTING GRINDE MACHINE </t>
  </si>
  <si>
    <t xml:space="preserve">GRINDER OPERATOR TRAINING </t>
  </si>
  <si>
    <t xml:space="preserve">PU FOAM MACHINE OPERATOR TRAINING </t>
  </si>
  <si>
    <t xml:space="preserve">STEEL BAR BENDING MACHINE INSPECTION </t>
  </si>
  <si>
    <t>STEEL BAR CUTTING MACHINE INSPECTION</t>
  </si>
  <si>
    <t xml:space="preserve">SCAFFOLDER TRAINING &amp; CERTIFICATE </t>
  </si>
  <si>
    <t xml:space="preserve">GAS TOUCHER OPERATOR TRAINING &amp; CERTIFICATE </t>
  </si>
  <si>
    <t xml:space="preserve">FIRE WATCHER   TRAINING &amp; CERTIFICATE </t>
  </si>
  <si>
    <t>WATERPROOFING GASS</t>
  </si>
  <si>
    <t>WATERPRROFING GAS (22KG)</t>
  </si>
  <si>
    <t>AJMAN GAS LLC</t>
  </si>
  <si>
    <t>HIGH PRESSURE REGULATOR</t>
  </si>
  <si>
    <t>PROPANE HIGH PRESSURE REGULATOR WITH GUAGE</t>
  </si>
  <si>
    <t>FLASH BACK ARRESTOR</t>
  </si>
  <si>
    <t>CYLINDER 60 LBS</t>
  </si>
  <si>
    <t>TARISH ATIQ AL QUBAISI GAS DISTRIBUTION</t>
  </si>
  <si>
    <t>CYLINDER 50 LBS REFILLING</t>
  </si>
  <si>
    <t>Item Group / Item</t>
  </si>
  <si>
    <t>Item Code</t>
  </si>
  <si>
    <t>Brand</t>
  </si>
  <si>
    <t>Stock UOM</t>
  </si>
  <si>
    <t xml:space="preserve">AWAZEL ACRYLIC COAT  15 KG PAIL </t>
  </si>
  <si>
    <t>AWAZEL ACRYLIC COAT  15 KG PAIL</t>
  </si>
  <si>
    <t>ANTI - TERMITE</t>
  </si>
  <si>
    <t>ANTI TERMITE</t>
  </si>
  <si>
    <t>2 DOOR LOCKER HEAVY DUTY</t>
  </si>
  <si>
    <t>ANGLE GRINDER 9" DWE492 220V DEWALT</t>
  </si>
  <si>
    <t>demo</t>
  </si>
  <si>
    <t>DRILL 13MM 710W D21520-QS 220V</t>
  </si>
  <si>
    <t>GAS STOVE 2 BURNER</t>
  </si>
  <si>
    <t>GAS STOVE 2 BURNER HEAVY DUTY FLAMES LOW CONSUMPTION</t>
  </si>
  <si>
    <t>SCAFFOLDING PLANKS 4M</t>
  </si>
  <si>
    <t>STABILIZER MERCURY</t>
  </si>
  <si>
    <t>STABILIZER MERCURY AVR A1000L 220V 50HZ</t>
  </si>
  <si>
    <t>NOVAG(ORIGNAL)TRANSFER PUMPS PKG (N-III)(NE-00072)</t>
  </si>
  <si>
    <t>TRANSFER PUMPS</t>
  </si>
  <si>
    <t>USED DELL TOWER CORE I7 6TH GEN 16GB 256 GB</t>
  </si>
  <si>
    <t>USED HP TINY I5 8TH GEN 8GB 256 GB</t>
  </si>
  <si>
    <t>USED IMAC CORE I3 8 GB RAM 256GB MID 2012</t>
  </si>
  <si>
    <t>USED IMAC CORE I5 8 GB RAM 256GB  21'' MID 2014</t>
  </si>
  <si>
    <t>USED MONITOR 22" HDMI BORDERLESS</t>
  </si>
  <si>
    <t>USED MONITOR 24" HDMI BORDERLESS</t>
  </si>
  <si>
    <t>WATER THERMOS (16 LTR)</t>
  </si>
  <si>
    <t>WATER THERMOS 16 LTR</t>
  </si>
  <si>
    <t>Backing Rod</t>
  </si>
  <si>
    <t>BACKING ROD 15MM (360 LM/BAG) SHERIDAN</t>
  </si>
  <si>
    <t>BACKING ROD 20MM</t>
  </si>
  <si>
    <t>BACKING ROD 20MM (200 LM/BAG) SHERIDAN</t>
  </si>
  <si>
    <t>CRESROD) -WHITE (360 LM X 15MM</t>
  </si>
  <si>
    <t>NEOCOAT RBE -3510  (200LTR/DRUM)</t>
  </si>
  <si>
    <t>Litre</t>
  </si>
  <si>
    <t>RHEOSEAL RBE350 ( 200 LTR PER DRUM )</t>
  </si>
  <si>
    <t>BLOCK ACCESSORIES</t>
  </si>
  <si>
    <t xml:space="preserve">G.I BLOCK MESH  200MM </t>
  </si>
  <si>
    <t>BLOCK MESH  200MM</t>
  </si>
  <si>
    <t xml:space="preserve">G.I BLOCK MESH 100MM </t>
  </si>
  <si>
    <t>G.I BLOCK MESH 100MM</t>
  </si>
  <si>
    <t xml:space="preserve">G.I BLOCK MESH 250MM </t>
  </si>
  <si>
    <t>G.I BLOCK MESH 250MM</t>
  </si>
  <si>
    <t>NEOBOND SBR 250</t>
  </si>
  <si>
    <t>NEOBOND SBR 250  ( 20 LTR TIN )</t>
  </si>
  <si>
    <t>PAIL</t>
  </si>
  <si>
    <t xml:space="preserve">WEBERAD 225 MB 20 LTR PER PAIL </t>
  </si>
  <si>
    <t>WEBERAD 225 MB 20 LTR PER PAIL</t>
  </si>
  <si>
    <t>AWAZEL CEMENT ACRYLIC COAT WHITE 20KG/KT</t>
  </si>
  <si>
    <t>Awazel Cement Acrylic Coating grey colour (15KG+5KG) SET</t>
  </si>
  <si>
    <t>KIT</t>
  </si>
  <si>
    <t>AWAZEL GROUT EP 300 14 LT/SET</t>
  </si>
  <si>
    <t>AWAZEL GROUT EP 300  14 LT/SET</t>
  </si>
  <si>
    <t>CEMENT LIME PLASTER</t>
  </si>
  <si>
    <t>BAG</t>
  </si>
  <si>
    <t>COATLOK HARD 40 GREY (15KG+5KG) SET</t>
  </si>
  <si>
    <t>CRESPROOF 301  (20 KG KIT -DARK GREY)</t>
  </si>
  <si>
    <t>CRESPROOF 301  (20 KG KIT -PURE WHITE)</t>
  </si>
  <si>
    <t>CRESPROOF 301DARK GREY) (15KG+5KG) SET</t>
  </si>
  <si>
    <t>GRANDFIX 60  - GREY (15KG+5KG) SET</t>
  </si>
  <si>
    <t>HARD 60 (20 KG KIT)</t>
  </si>
  <si>
    <t>JK PROFIX -WPC 11</t>
  </si>
  <si>
    <t>MIXGUARD AC WHITE PART A+B 20 KG/SET</t>
  </si>
  <si>
    <t>Mixguard AC white (20 KG KIT)</t>
  </si>
  <si>
    <t>NEOSEAL FLEX 550 - WHITE  (PART A 15KG+ PART B 5KG)</t>
  </si>
  <si>
    <t>NEOSEAL FLEX 550-DARK GREY(PART A 15KG+PART B 5KG)</t>
  </si>
  <si>
    <t>NITOCOTE CM210 GREY KIT</t>
  </si>
  <si>
    <t>NITOCOTE CM210 GREY  (15KG+5KG) SET</t>
  </si>
  <si>
    <t xml:space="preserve">NITOCOTE CM210 WHITE KIT </t>
  </si>
  <si>
    <t>Nitocote CM210 white  KIT (23 KG)</t>
  </si>
  <si>
    <t>Polyflex grey (15+5kg) (20 KG KIT)</t>
  </si>
  <si>
    <t>Polyflex white (15+5kg) (20 KG KIT)</t>
  </si>
  <si>
    <t>SIKA TOP - 588 SEAL GREY PART A 25KG/PART B 10 KG</t>
  </si>
  <si>
    <t>SIKA TOP 550 SEAL H (POWDER PART A+B 20 KG GREY)</t>
  </si>
  <si>
    <t>SIKA TOP 550 SEAL J (FORMERLY KNOWN AS MASTERSEAL 550J LIGHT GREY) (15KG+5KG) SET</t>
  </si>
  <si>
    <t>SIKA TOP 550 SEAL K (FORMERLY KNOWN AS MASTERSEAL 550K WHITE) (23KG 5KG+18KG)</t>
  </si>
  <si>
    <t>SIKA TOP 550 SEAL K (FORMERLY KNOWN AS MASTERSEAL 550K WHITE) (23KG+5KG+18KG)</t>
  </si>
  <si>
    <t>SIKALASTIC -152 AE PART A+B SYSTEM CON.33KG</t>
  </si>
  <si>
    <t>SIKALASTIC  -152 AE  PART A+B SYSTEM CON.33KG</t>
  </si>
  <si>
    <t>Star CEM 2K (20 KG KIT)</t>
  </si>
  <si>
    <t>ULTRALOK HARD 40 (GREY)</t>
  </si>
  <si>
    <t>CEMENTITIOUS GROUT</t>
  </si>
  <si>
    <t xml:space="preserve">NEOGROUT NS </t>
  </si>
  <si>
    <t>NEOGROUT NS 20 KG</t>
  </si>
  <si>
    <t>test f</t>
  </si>
  <si>
    <t>AURGER BIT 25MM</t>
  </si>
  <si>
    <t>CONCRETE  50/20 420 ( OPC + 36% GGBS</t>
  </si>
  <si>
    <t xml:space="preserve">CONCRETE  MOBILE PUMPING SHIFTING ABOVE 56 MTR </t>
  </si>
  <si>
    <t xml:space="preserve">CONCRETE -CORROSION INHIBITOR </t>
  </si>
  <si>
    <t>CONCRETE -MOBILE PUMPING SHIFTING ABOVE 45 MTR UP TO 56 MTR</t>
  </si>
  <si>
    <t xml:space="preserve">CONCRETE -STATIC LINE </t>
  </si>
  <si>
    <t xml:space="preserve">CONCRETE -TECHNICIAN CHARGES FOR QTY LESS THAN 30 CUM </t>
  </si>
  <si>
    <t>CONCRETE 50/20 180KG OPC +200KG GGBS+20KG MS + SIKA FERROGUA</t>
  </si>
  <si>
    <t>CONCRETE 50/20 430 ( OPC + 36% GGBS + MCI</t>
  </si>
  <si>
    <t xml:space="preserve">CONCRETE ADDITIONAL CHARGES PIPE LINE </t>
  </si>
  <si>
    <t>CONCRETE ADDITIONAL CHARGES PIPE LINE</t>
  </si>
  <si>
    <t>CONCRETE BLINDING 20/20 280 ( OPC +36%GGBS )</t>
  </si>
  <si>
    <t>BLOCK COVER</t>
  </si>
  <si>
    <t>CONCRETE C50/20 ( 236KG + OPC + 144KG GGBS + 20KG MS )</t>
  </si>
  <si>
    <t>C50/20 50MPA ( OPC +50% GGBS + 5% MCI )</t>
  </si>
  <si>
    <t>CONCRETE C50/20 50MPA ( OPC + 50% GGBS + 5%MS+MCI )</t>
  </si>
  <si>
    <t>CONCRETE CONTROL 28C</t>
  </si>
  <si>
    <t xml:space="preserve">CONCRETE EXTRA PIPE LINE FOR PUMP &amp; BOOM </t>
  </si>
  <si>
    <t xml:space="preserve">CONCRETE ICE CHARGES </t>
  </si>
  <si>
    <t>CONCRETE ICE CHARGES</t>
  </si>
  <si>
    <t xml:space="preserve">CONCRETE MOBILE PUMP CHARGES ABOVE 45 TO 56 MTR </t>
  </si>
  <si>
    <t>CONCRETE MOBILE PUMP CHARGES ABOVE 45 TO 56 MTR</t>
  </si>
  <si>
    <t xml:space="preserve">CONCRETE MOBILE PUMP CHARGES ABOVE 56 MTR </t>
  </si>
  <si>
    <t xml:space="preserve">CONCRETE MOBILE PUMP CHARGES UP TO 45 MTR </t>
  </si>
  <si>
    <t xml:space="preserve">CONCRETE MOBILIZATION CHARGES FOR  PUMP ABOVE 56 MTR </t>
  </si>
  <si>
    <t xml:space="preserve">CONCRETE MOBILIZATION CHARGES FOR PUMP ABOVE 45M </t>
  </si>
  <si>
    <t>CONCRETE MOBILIZATION CHARGES FOR PUMP ABOVE 45M</t>
  </si>
  <si>
    <t xml:space="preserve">CONCRETE MOBILIZATION SHIFTING CHARGES FOR PUMP </t>
  </si>
  <si>
    <t>CONCRETE PART LOAD CHARGES</t>
  </si>
  <si>
    <t xml:space="preserve">CONCRETE PUMP CHARGES PER CUM </t>
  </si>
  <si>
    <t>CONCRETE PUMP CHARGES PER CUM</t>
  </si>
  <si>
    <t xml:space="preserve">CONCRETE SLURRY MIX </t>
  </si>
  <si>
    <t xml:space="preserve">CONCRETE SMALL LOAD CHARGES ORDER LESS THAN 6 CUM </t>
  </si>
  <si>
    <t>CONCRETE SMALL LOAD CHARGES ORDER LESS THAN 6 CUM</t>
  </si>
  <si>
    <t>CRYSTALINE ADMIXTURE</t>
  </si>
  <si>
    <t>Meter Square</t>
  </si>
  <si>
    <t>CONCRETE CUTTING BLADE</t>
  </si>
  <si>
    <t>DIAMOND CONCRETE 9" CUTTING BLADE</t>
  </si>
  <si>
    <t>EXCESS CONCRETE CHARGE</t>
  </si>
  <si>
    <t>LOAD</t>
  </si>
  <si>
    <t>LIGHTWEIGHT CONCRETE</t>
  </si>
  <si>
    <t>M2</t>
  </si>
  <si>
    <t>MATERX LAVACHEM FLOWABLE 25 KG</t>
  </si>
  <si>
    <t>MATERX LAVACHEM FLOWABLE</t>
  </si>
  <si>
    <t xml:space="preserve">MINIMUM PUMP CHARGES </t>
  </si>
  <si>
    <t>MINIMUM PUMP CHARGES</t>
  </si>
  <si>
    <t xml:space="preserve">MOBILE PUMP CHARGING </t>
  </si>
  <si>
    <t>MOBILE PUMP CHARGING</t>
  </si>
  <si>
    <t xml:space="preserve">OPERATION CHARGES FOR  PLACING BOOM </t>
  </si>
  <si>
    <t>OPERATION CHARGES FOR  PLACING BOOM</t>
  </si>
  <si>
    <t xml:space="preserve">PLACING BOOM PUMP CHARGES </t>
  </si>
  <si>
    <t>PLACING BOOM PUMP CHARGES</t>
  </si>
  <si>
    <t xml:space="preserve">PLACING BOOM RENTAL CHARGES- EMIRATES BETON </t>
  </si>
  <si>
    <t>SMALL LOAD CHARGES</t>
  </si>
  <si>
    <t>STATIC PUMP CHARGES PER MONTH</t>
  </si>
  <si>
    <t>CONCRETE TEMPERATURE CONTROL 30C</t>
  </si>
  <si>
    <t>CONCRETE TEMPERATURE CONTROL 32C</t>
  </si>
  <si>
    <t xml:space="preserve">CONCRETE TEMPERATURE CONTROLLER </t>
  </si>
  <si>
    <t>TEMPERATURE CONTROLLER</t>
  </si>
  <si>
    <t>CONCRETE BLOCK</t>
  </si>
  <si>
    <t>THERMAL BLOCK</t>
  </si>
  <si>
    <t>THERMAL BLOCK 8*</t>
  </si>
  <si>
    <t>CONCRETE REPAIR MATERIAL</t>
  </si>
  <si>
    <t>RENDEROC FC ( 20 KG )</t>
  </si>
  <si>
    <t>RENDROC HS ( 25 KG PER BAG )</t>
  </si>
  <si>
    <t xml:space="preserve">10MM X 2 CORE ARMOUD CABLE </t>
  </si>
  <si>
    <t>13A SINGLE SWITCH SOCKET</t>
  </si>
  <si>
    <t xml:space="preserve">150 MM HEAT SHRINK WIRE </t>
  </si>
  <si>
    <t>2.5 MM CABLE LUGS</t>
  </si>
  <si>
    <t>2" STEEL NAIL</t>
  </si>
  <si>
    <t>2" STEEL NAIL{80KT/CTN}</t>
  </si>
  <si>
    <t xml:space="preserve">6 MM CABLE LUGS </t>
  </si>
  <si>
    <t xml:space="preserve">600 W LED SOLAR LIGHT </t>
  </si>
  <si>
    <t>600 W LED SOLAR LIGHT</t>
  </si>
  <si>
    <t>A5 Paper Flamingo Photocopy (10 ream per ctn)</t>
  </si>
  <si>
    <t>AI DROP 10"</t>
  </si>
  <si>
    <t>AI DROP</t>
  </si>
  <si>
    <t xml:space="preserve">ALLUMINIUM HOLLOW SECTION 3M </t>
  </si>
  <si>
    <t>ALLUMINIUM HOLLOW SECTION 3M</t>
  </si>
  <si>
    <t>ALLUMINIUM TAPE 2"</t>
  </si>
  <si>
    <t>ALUMINIUM PATTI 3 MTR</t>
  </si>
  <si>
    <t>ARBANA TROLLEY</t>
  </si>
  <si>
    <t>BAKING ROD 15 MM</t>
  </si>
  <si>
    <t>BAKING ROD 20MM</t>
  </si>
  <si>
    <t>BAR BENDING KEY 6M</t>
  </si>
  <si>
    <t>BAR BENDING KEY 6MM</t>
  </si>
  <si>
    <t>BASE PLATE FOR TIE ROD</t>
  </si>
  <si>
    <t>BED SHEET</t>
  </si>
  <si>
    <t xml:space="preserve">BENDING WIRE </t>
  </si>
  <si>
    <t>BENDING WIRE</t>
  </si>
  <si>
    <t xml:space="preserve">BINDING COVERS A4 BLACK </t>
  </si>
  <si>
    <t>BINDING COVERS A4 BLACK</t>
  </si>
  <si>
    <t>BRASS GATE VALVE</t>
  </si>
  <si>
    <t>BRASS GATE VALVE 1/2</t>
  </si>
  <si>
    <t>BRASS HEX NIPPLE</t>
  </si>
  <si>
    <t>BRASS HEX NIPPLE 1/2"</t>
  </si>
  <si>
    <t xml:space="preserve">BROOM STICK </t>
  </si>
  <si>
    <t>BROOM STICK</t>
  </si>
  <si>
    <t>Calculator - MJ 120D</t>
  </si>
  <si>
    <t>CARPENTER BARI 3FT</t>
  </si>
  <si>
    <t>CARPENTER CHISEL 1''</t>
  </si>
  <si>
    <t>CARPENTER PENCIL</t>
  </si>
  <si>
    <t>CLARKE PAINT REFILL 9'' BLUE (100 PCS) CTN</t>
  </si>
  <si>
    <t>COMPRESSION SPRING PU-04000-072 CODE : MC-0111</t>
  </si>
  <si>
    <t>COMPUTER HARWARE SPARE PART</t>
  </si>
  <si>
    <t>CONCRETE DRILL BIT</t>
  </si>
  <si>
    <t>CONCRETE PANJI</t>
  </si>
  <si>
    <t xml:space="preserve">CONCRETE SPACER 25MM </t>
  </si>
  <si>
    <t>CORK SHEET 25MM (0.5 X1 MTR)</t>
  </si>
  <si>
    <t xml:space="preserve">Counter Pen </t>
  </si>
  <si>
    <t>Counter Pen</t>
  </si>
  <si>
    <t>DATA/VOICE</t>
  </si>
  <si>
    <t>DEBRIS</t>
  </si>
  <si>
    <t xml:space="preserve">DIAMOND CUTTING BLADE 9" </t>
  </si>
  <si>
    <t>DIAMOND CUTTING BLADE 9"</t>
  </si>
  <si>
    <t>Divider 1-12</t>
  </si>
  <si>
    <t>Divider 1-15</t>
  </si>
  <si>
    <t>Divider 1-5</t>
  </si>
  <si>
    <t>DRIVE PIN</t>
  </si>
  <si>
    <t>DRY MIX DELIVERY</t>
  </si>
  <si>
    <t>DURABLE SLIDE BAR 12MM</t>
  </si>
  <si>
    <t>DURABLE SLIDE BAR 6MM</t>
  </si>
  <si>
    <t>DURABLE SLIDE BAR 9MM</t>
  </si>
  <si>
    <t>EAR PLUG</t>
  </si>
  <si>
    <t xml:space="preserve">FIRE RATED PAINT </t>
  </si>
  <si>
    <t>FIS note book / diary A5</t>
  </si>
  <si>
    <t>FLAT CHISEL</t>
  </si>
  <si>
    <t xml:space="preserve">G.I WIRE 8 GUAGE </t>
  </si>
  <si>
    <t>G.I WIRE 8 GUAGE</t>
  </si>
  <si>
    <t>GAS PIPE</t>
  </si>
  <si>
    <t>Gel pen- blue</t>
  </si>
  <si>
    <t xml:space="preserve">GI BARREL NIPPLE </t>
  </si>
  <si>
    <t>GI BARREL NIPPLE  1/2"X8</t>
  </si>
  <si>
    <t>GR-117510 COUPLER LINE ,AIR,1/4 NPT</t>
  </si>
  <si>
    <t>GR-11865 LUBRICANT GREASE ( WB )</t>
  </si>
  <si>
    <t>GR-246348 REPAIR KIT SIDE SEAL</t>
  </si>
  <si>
    <t>GR-246349 GUN REPAIR KIT-A SIDE CARTRIDG</t>
  </si>
  <si>
    <t>GR-246350 GUN REPAIR KIT-B SIDE CATRIDGE</t>
  </si>
  <si>
    <t>GR-246355 COMPLETE ORING SET MC</t>
  </si>
  <si>
    <t>GR-246356-FLUID VALVE</t>
  </si>
  <si>
    <t>GR-248128 SIDE SEAL ORING</t>
  </si>
  <si>
    <t>GR-248129 ORING KIT PACKAGE OF 6</t>
  </si>
  <si>
    <t>GR-AR6060 MIX CHAMBER KIT ROUND PATTERN</t>
  </si>
  <si>
    <t>GS AIR PIPE WP 20 BAR BP 20 BAR ( 8 X 16MM X 40 MTR PER ROLL ) MADE IN ITALY</t>
  </si>
  <si>
    <t>HEX BLADE</t>
  </si>
  <si>
    <t>HEX FRAME</t>
  </si>
  <si>
    <t>HOSE CLIP</t>
  </si>
  <si>
    <t>Item Code: MC-0130 DPM - 20 KG</t>
  </si>
  <si>
    <t>JUBLE CLAMP</t>
  </si>
  <si>
    <t>JUBLE CLAMP 1"</t>
  </si>
  <si>
    <t>KARANDI 2'' SMALL</t>
  </si>
  <si>
    <t>KIT ASO MONOBLOCC1.2 KT-000095 CODE : MC-0188</t>
  </si>
  <si>
    <t xml:space="preserve">KNIFE BLADE HOOK TYPE </t>
  </si>
  <si>
    <t xml:space="preserve">LEVEL PIPE 1M </t>
  </si>
  <si>
    <t>Marker pen round tip blue</t>
  </si>
  <si>
    <t>MASKING TAPE 2''</t>
  </si>
  <si>
    <t>MASON FLOAT INDIA</t>
  </si>
  <si>
    <t xml:space="preserve">MATTRESS </t>
  </si>
  <si>
    <t>MATTRESS</t>
  </si>
  <si>
    <t xml:space="preserve">MC 0112 SCUFF JACKET 3X30 MTR </t>
  </si>
  <si>
    <t>MC 0112 SCUFF JACKET 3X30 MTR</t>
  </si>
  <si>
    <t>MC-0078 GR-248130 SEAL O RING  ( PACK OF 6  )</t>
  </si>
  <si>
    <t xml:space="preserve">MC-0127 DOP-20 KG </t>
  </si>
  <si>
    <t>MC-0127 DOP-20 KG</t>
  </si>
  <si>
    <t>MEASUREMENT TAPE 3.5 MTR</t>
  </si>
  <si>
    <t>MEMBRANE CUTTER</t>
  </si>
  <si>
    <t xml:space="preserve">METAL BINDING CLIP </t>
  </si>
  <si>
    <t>Metal Fastner (50pcs/pkt)</t>
  </si>
  <si>
    <t xml:space="preserve">MMC-0211 GR-246354 GUN REPAIR KIT , AIR VALVE  O-RING </t>
  </si>
  <si>
    <t>mMC-0211 GR-246354 GUN REPAIR KIT , AIR VALVE  O-RING</t>
  </si>
  <si>
    <t>NETWORK SWITCH</t>
  </si>
  <si>
    <t>NORMAL WATER</t>
  </si>
  <si>
    <t>ONLY SOFT BRUSH</t>
  </si>
  <si>
    <t>PAINT BRUSH 2"</t>
  </si>
  <si>
    <t>PAINT BRUSH</t>
  </si>
  <si>
    <t>PAINT BRUSH WHITE HAIR OXFORD</t>
  </si>
  <si>
    <t>PAINT ROLLER 9" WITH REFILL</t>
  </si>
  <si>
    <t>PAINT ROLLER WITH REFILL 4"</t>
  </si>
  <si>
    <t xml:space="preserve">PEN KRISH </t>
  </si>
  <si>
    <t>PEN KRISH</t>
  </si>
  <si>
    <t xml:space="preserve">PILLOW </t>
  </si>
  <si>
    <t>PILLOW</t>
  </si>
  <si>
    <t>PLASTIC ROPE 100G X 4 X 25MTR</t>
  </si>
  <si>
    <t>PLASTIC ROPE 6 MM</t>
  </si>
  <si>
    <t xml:space="preserve">POLYTHENE SHEET 100G </t>
  </si>
  <si>
    <t>PRESENTATION RING BINDER 4*50MM</t>
  </si>
  <si>
    <t xml:space="preserve">PRINTING OF LETTER HEAD SPECIAL PAPER -PLAIN PAPER </t>
  </si>
  <si>
    <t>PRINTING OF LETTER HEAD SPECIAL PAPER -PLAIN PAPER</t>
  </si>
  <si>
    <t xml:space="preserve">PUMP COVER </t>
  </si>
  <si>
    <t>PUMP COVER</t>
  </si>
  <si>
    <t>Punch pocket A4 (100sheets/pkt) </t>
  </si>
  <si>
    <t>Punch pocket A4 (100sheets/pkt)</t>
  </si>
  <si>
    <t>PVC CONE 25MM</t>
  </si>
  <si>
    <t>PVC WATER STOPPER</t>
  </si>
  <si>
    <t>PVC WATER STOPPER L 25 MM X 15MTR</t>
  </si>
  <si>
    <t>RAPPING ROLL</t>
  </si>
  <si>
    <t>REFILL 4"</t>
  </si>
  <si>
    <t>ROLLER 9"</t>
  </si>
  <si>
    <t>1 1/4"GI RUBBER CLAMP</t>
  </si>
  <si>
    <t xml:space="preserve">TAG HOLDER </t>
  </si>
  <si>
    <t>Sharpener</t>
  </si>
  <si>
    <t>SIGN BOARD</t>
  </si>
  <si>
    <t>Sign here Sticker(50 Sheets/Pad)</t>
  </si>
  <si>
    <t>SINGLE BLANKET</t>
  </si>
  <si>
    <t>Stapler pin big</t>
  </si>
  <si>
    <t>STEEL NAILS 2 1/5"</t>
  </si>
  <si>
    <t xml:space="preserve">STEEL PATRA </t>
  </si>
  <si>
    <t>STEEL PATRA</t>
  </si>
  <si>
    <t xml:space="preserve">STICKER  30 X  21 CM </t>
  </si>
  <si>
    <t xml:space="preserve"> Super Hydraid 21gm - Orange Makes 500ml</t>
  </si>
  <si>
    <t>Super Hydraid 21gm - Orange Makes 500ml</t>
  </si>
  <si>
    <t>SACHETS</t>
  </si>
  <si>
    <t>SWEET WATER 2500 GALLON</t>
  </si>
  <si>
    <t>TABLE PEN WITH GOOD QUALITY</t>
  </si>
  <si>
    <t>TIE ROD 16MM*6MTR</t>
  </si>
  <si>
    <t>TIGHTER MACHINE BIT</t>
  </si>
  <si>
    <t>10 MM UNIFIX</t>
  </si>
  <si>
    <t>UNIFORMS 100% COTTON PANT SHIRT DARK GREY COLOR WITH REFLECTING TAPE &amp;</t>
  </si>
  <si>
    <t>VAULTEX GUM BOOT STEEL TOE 42</t>
  </si>
  <si>
    <t xml:space="preserve">VINYL FLOORING </t>
  </si>
  <si>
    <t>VINYL FLOORING 1.5MM*15MTR*1.25MTR ASH GREY</t>
  </si>
  <si>
    <t xml:space="preserve">WING NUT </t>
  </si>
  <si>
    <t>WING NUT</t>
  </si>
  <si>
    <t>WOOD MURABA 5CM</t>
  </si>
  <si>
    <t>WOOD NAIL 1 1/5"</t>
  </si>
  <si>
    <t>WOOD NAILS 2 INCH</t>
  </si>
  <si>
    <t>WOOD NAILS 2.5"</t>
  </si>
  <si>
    <t>WOOD NAILS 3"</t>
  </si>
  <si>
    <t>WOOD NAILS 4"</t>
  </si>
  <si>
    <t>WOODEN DRILL BIT</t>
  </si>
  <si>
    <t>CURRING COMPOUND</t>
  </si>
  <si>
    <t xml:space="preserve">NEOCURE -S </t>
  </si>
  <si>
    <t>NEOCURE -S</t>
  </si>
  <si>
    <t xml:space="preserve">1 GANG 1 WAY SWITCH </t>
  </si>
  <si>
    <t xml:space="preserve">16 AMP 3 PIN WALL MOUNTED FEMALE SOCKET </t>
  </si>
  <si>
    <t>160A ISOLATOR BOX WITH ENCLOSER</t>
  </si>
  <si>
    <t xml:space="preserve">20 AMP S POLE MCB </t>
  </si>
  <si>
    <t xml:space="preserve">32 AMP 5 PIN WALL MOUNTED FEMALE SOCKET </t>
  </si>
  <si>
    <t xml:space="preserve">35 AMP 3 POLE ISOLATOR </t>
  </si>
  <si>
    <t xml:space="preserve">35 AMP POLE ISOLATOR </t>
  </si>
  <si>
    <t xml:space="preserve">35 AMP SP ISOLATOR </t>
  </si>
  <si>
    <t>35 AMP SP ISOLATOR</t>
  </si>
  <si>
    <t xml:space="preserve">4" UPVC 90"ELBOW GREY </t>
  </si>
  <si>
    <t>4" UPVC 90"ELBOW GREY</t>
  </si>
  <si>
    <t>4"UPVC Y</t>
  </si>
  <si>
    <t>40 AMP 2 POLE 30MA ELCB HAGER</t>
  </si>
  <si>
    <t xml:space="preserve">ARMOURED CABLE 35MM </t>
  </si>
  <si>
    <t xml:space="preserve">BLOWER FAN FLEXIBLE 16" </t>
  </si>
  <si>
    <t xml:space="preserve">CABLE CONNECTOR 16MM </t>
  </si>
  <si>
    <t>CABLE GLAND 40MM</t>
  </si>
  <si>
    <t>CABLE GLAND 50MM</t>
  </si>
  <si>
    <t>CABLE GLAND BW 32MM</t>
  </si>
  <si>
    <t xml:space="preserve">CABLE LUGS 10MM </t>
  </si>
  <si>
    <t xml:space="preserve">CABLE LUGS 150MM </t>
  </si>
  <si>
    <t xml:space="preserve">CABLE LUGS 16MM </t>
  </si>
  <si>
    <t xml:space="preserve">CABLE LUGS 25MM </t>
  </si>
  <si>
    <t xml:space="preserve">CABLE LUGS 35MM </t>
  </si>
  <si>
    <t xml:space="preserve">CABLE LUGS 95MM </t>
  </si>
  <si>
    <t xml:space="preserve">CABLE TIE 250MM </t>
  </si>
  <si>
    <t>CABLE TIE 250MM</t>
  </si>
  <si>
    <t xml:space="preserve">CABLE TIE 400MM </t>
  </si>
  <si>
    <t>CABLE TIE 400MM</t>
  </si>
  <si>
    <t xml:space="preserve">CABLE TIE 600MM </t>
  </si>
  <si>
    <t>CABLE TIE 600MM</t>
  </si>
  <si>
    <t>DB 2 WITH ENCLOSURE</t>
  </si>
  <si>
    <t xml:space="preserve">ELCB 100MA 63AMP 4 POLE </t>
  </si>
  <si>
    <t xml:space="preserve">ELCB 40A 4P 100MA </t>
  </si>
  <si>
    <t xml:space="preserve">END CUTTER 6 1/4" </t>
  </si>
  <si>
    <t xml:space="preserve">FIX BOLT 10MM </t>
  </si>
  <si>
    <t xml:space="preserve">FLEXIBLE CABLE 4MM X  3C </t>
  </si>
  <si>
    <t>FLEXIBLE CABLE 4MM X  3C</t>
  </si>
  <si>
    <t xml:space="preserve">FLEXIBLE CABLE 6MM X 4 C </t>
  </si>
  <si>
    <t>FLEXIBLE CABLE 6MM X 4 C</t>
  </si>
  <si>
    <t>10MMX3C FLEXIBLE WIRE{100 YARD/ROLL}[ITALCO]</t>
  </si>
  <si>
    <t>FLEXIBLE WIRE</t>
  </si>
  <si>
    <t>FLEXIBLE WIRE 2.5MM X  1 CORE 100 YRD</t>
  </si>
  <si>
    <t xml:space="preserve">FLEXIBLE WIRE 4MM X  3C </t>
  </si>
  <si>
    <t>FLEXIBLE WIRE 4MM X  3C</t>
  </si>
  <si>
    <t>MDB WITH ENCLOSER</t>
  </si>
  <si>
    <t>S POLE MCB 10A</t>
  </si>
  <si>
    <t>SOCKET PANEL(ISOLATOR,2ELCB 10 SP MCB )COMPLETE WITH STAND</t>
  </si>
  <si>
    <t xml:space="preserve">WIRE CONNECTOR 10MM </t>
  </si>
  <si>
    <t>WIRE CONNECTOR 10MM</t>
  </si>
  <si>
    <t>WIRE CONNECTOR 16MM</t>
  </si>
  <si>
    <t>YELLOW GREEN WIRE 10MM</t>
  </si>
  <si>
    <t xml:space="preserve">YELLOW GREEN WIRE 95MM </t>
  </si>
  <si>
    <t>EPOXY FLOOR COATING</t>
  </si>
  <si>
    <t>NITOFLOR COLOR POT SILVER GREY RAL7001 (0.63kg/0.35L)</t>
  </si>
  <si>
    <t>NITOFLOR FC150 NEUTRAL (16.6L)</t>
  </si>
  <si>
    <t>Fixed Asset</t>
  </si>
  <si>
    <t>:Hyundai County Bus 26 Seater</t>
  </si>
  <si>
    <t>2 door file cabinet</t>
  </si>
  <si>
    <t>AIR BLOWER DWB800 220V DEWALT</t>
  </si>
  <si>
    <t>AL DHHAID YAR (AC)</t>
  </si>
  <si>
    <t>ANEMO METER</t>
  </si>
  <si>
    <t>ANEMO MATER</t>
  </si>
  <si>
    <t>Bar Bending Machine</t>
  </si>
  <si>
    <t>BAR BENDING MACHINE</t>
  </si>
  <si>
    <t>Bar Cutter Machine</t>
  </si>
  <si>
    <t>BAR CUTTER MACHINE</t>
  </si>
  <si>
    <t>Block Bucket</t>
  </si>
  <si>
    <t>BLOCK BUCKET</t>
  </si>
  <si>
    <t>Bunk Bed</t>
  </si>
  <si>
    <t>BUNK BED</t>
  </si>
  <si>
    <t>CHINA GREATWALL</t>
  </si>
  <si>
    <t>Coffee table</t>
  </si>
  <si>
    <t>COFFEE TABLE</t>
  </si>
  <si>
    <t>Computers</t>
  </si>
  <si>
    <t>COMPUTERS</t>
  </si>
  <si>
    <t>Concrete Bucket man Standing type</t>
  </si>
  <si>
    <t>DEF POSITECTOR 200 STANDARD (50-3800 microns)</t>
  </si>
  <si>
    <t>Desk</t>
  </si>
  <si>
    <t>DEWALT ANGLE GRINDER 7'' 220V</t>
  </si>
  <si>
    <t xml:space="preserve">DRILL DRIVEN INJECTION PUMP </t>
  </si>
  <si>
    <t>DRILL DRIVEN INJECTION PUMP</t>
  </si>
  <si>
    <t xml:space="preserve">FOAM CONCRETE MACHINE </t>
  </si>
  <si>
    <t>FOAM CONCRETE MACHINE</t>
  </si>
  <si>
    <t>Great Wall Wingle 2025</t>
  </si>
  <si>
    <t>HEAVY DUTY METAL SHOE RACK WITH DOOR</t>
  </si>
  <si>
    <t>High back revolving chair</t>
  </si>
  <si>
    <t>HIGH BACK REVOLVING CHAIR</t>
  </si>
  <si>
    <t>IR THERMO METER</t>
  </si>
  <si>
    <t>JAC SUNRAY</t>
  </si>
  <si>
    <t>JAC T8 Double Cabin Pickup</t>
  </si>
  <si>
    <t>Maxus Pickup</t>
  </si>
  <si>
    <t>Meeting Table</t>
  </si>
  <si>
    <t>MEETING TABLE</t>
  </si>
  <si>
    <t>MISTUBISHI L200</t>
  </si>
  <si>
    <t>Mitsubishi L200  2025</t>
  </si>
  <si>
    <t>MITSUBISHI L200 DOUBLE CABIN PICKUP</t>
  </si>
  <si>
    <t>Oven</t>
  </si>
  <si>
    <t>OVEN</t>
  </si>
  <si>
    <t>Plate Compactor</t>
  </si>
  <si>
    <t>PLATE COMPACTOR</t>
  </si>
  <si>
    <t xml:space="preserve">Plywood cutter machine </t>
  </si>
  <si>
    <t>Plywood cutter machine</t>
  </si>
  <si>
    <t xml:space="preserve">Porta cabin 2 rooms with  toilet </t>
  </si>
  <si>
    <t>Porta cabin 2 rooms with  toilet</t>
  </si>
  <si>
    <t xml:space="preserve">Porta cabin 2 rooms with pantry &amp; toilet </t>
  </si>
  <si>
    <t>Porta cabin 2 rooms with pantry &amp; toilet</t>
  </si>
  <si>
    <t>Pvc eco hoarding fence  mtr</t>
  </si>
  <si>
    <t>Refridgerator</t>
  </si>
  <si>
    <t>Refrigerator</t>
  </si>
  <si>
    <t>Revolving medium back chair</t>
  </si>
  <si>
    <t>REVOLVING MEDIUM BACK CHAIR</t>
  </si>
  <si>
    <t xml:space="preserve">RIng Bending Machine </t>
  </si>
  <si>
    <t>RIng Bending Machine</t>
  </si>
  <si>
    <t>Shoe Rack</t>
  </si>
  <si>
    <t>SHOE RACK</t>
  </si>
  <si>
    <t xml:space="preserve">SHUTTERING CLAIMP 120 CM </t>
  </si>
  <si>
    <t>SHUTTERING CLAIMP 120 CM</t>
  </si>
  <si>
    <t xml:space="preserve">SHUTTERING CLAIMP 90 CM </t>
  </si>
  <si>
    <t>Single sofa</t>
  </si>
  <si>
    <t>Sofa 3 in 1</t>
  </si>
  <si>
    <t>Split A/C 2 Ton</t>
  </si>
  <si>
    <t>SUPER GEN SPLIT AC 1.5 TN - T3-RT</t>
  </si>
  <si>
    <t xml:space="preserve">SUPER PLATE </t>
  </si>
  <si>
    <t>Tata bus 2025</t>
  </si>
  <si>
    <t>TEKNEKA (760E) COATING THICKNESS GUAGE WITH EXTERNAL PROBE</t>
  </si>
  <si>
    <t>Theodostation with dumpy level</t>
  </si>
  <si>
    <t>Toilet cabin</t>
  </si>
  <si>
    <t>TOILET CABIN</t>
  </si>
  <si>
    <t xml:space="preserve">TOYOTA HIACE </t>
  </si>
  <si>
    <t>TOYOTA HIACE</t>
  </si>
  <si>
    <t xml:space="preserve">TOYOTA LAND CRUISER </t>
  </si>
  <si>
    <t>TOYOTA LAND CRUISER</t>
  </si>
  <si>
    <t>USED CABINS TWO ROOM TWO WASHROOM WITH DELIVERY</t>
  </si>
  <si>
    <t>USED DELL 5401 CORE I5 8TH GEN 16GB</t>
  </si>
  <si>
    <t>USED DELL SFF I5 8TH GEN 8GB 256GB</t>
  </si>
  <si>
    <t>USED MACBOOK PRO A1990 2018 I9 32 GB 500GB 4GB VGA</t>
  </si>
  <si>
    <t>USED MACBOOK PRO A1990 2019 I9 32 GB 500GB 4GB VGA</t>
  </si>
  <si>
    <t xml:space="preserve">Vibrator With Needle </t>
  </si>
  <si>
    <t>Vibrator With Needle</t>
  </si>
  <si>
    <t>Visitor chair normal</t>
  </si>
  <si>
    <t>VISITOR CHAIR NORMAL</t>
  </si>
  <si>
    <t>Water cooler 4 tap</t>
  </si>
  <si>
    <t>Window a/c 1.50 ton</t>
  </si>
  <si>
    <t>AWAZEL FABRIC 1M X  50M ROLL</t>
  </si>
  <si>
    <t>AWAZEL FABRIC 1MX  50M ROLL</t>
  </si>
  <si>
    <t>AWAZEL TEX 100 GSM (3 X 100)300 M²/ ROLL</t>
  </si>
  <si>
    <t>AWAZEL TEX 120 GSM (2.9 X 100)290 M²/ ROLL</t>
  </si>
  <si>
    <t>AWAZEL TEX 150 GSM (3 X 100)300 M²/ ROLL</t>
  </si>
  <si>
    <t>CRESGEO PET -100 GSM (3 X 100)300 M²/ ROLL</t>
  </si>
  <si>
    <t>CRESGEO PET -120 GSM  (3 X 100)300 M²/ ROLL</t>
  </si>
  <si>
    <t>GEO TEXTILE 370 GSM (6 X 600) 600 M²/ ROLL</t>
  </si>
  <si>
    <t>GEOTEC -100GSM GEOTEXTILE  (3 X 100)300 M²/ ROLL</t>
  </si>
  <si>
    <t>GEOTEC -120GSM GEOTEXTILE  (3 X 100)300 M²/ ROLL</t>
  </si>
  <si>
    <t>GEOTEC 250 GSM GEOTEXTILE  (4.5 X 200) 900 M² /ROLL</t>
  </si>
  <si>
    <t>GEOTEC 250 GSM GEOTEXTILE  (6 X 100) 600 M² /ROLL</t>
  </si>
  <si>
    <t>GEOTEXTILE 150 GSM (6 X 200)1200 M²/ ROLL</t>
  </si>
  <si>
    <t>GEOTEXTILE WHITE PP 120  (3 X 100)300 M²/ ROLL</t>
  </si>
  <si>
    <t>GEOTEXTILE WHITE PP 120 3X100 (300M2)</t>
  </si>
  <si>
    <t>GRANDGEO 120 (3 X 100)300 M²/ ROLL</t>
  </si>
  <si>
    <t>NW 100 GSM PET -WHITE (3 MTR *100 )</t>
  </si>
  <si>
    <t>NW 120 GSM PET -WHITE (3 MTR *100 MTR)</t>
  </si>
  <si>
    <t>NW 250 GSM PET -WHITE (3 MTR *100 MTR)</t>
  </si>
  <si>
    <t>RHEOTEC GEOTEXTILE  120 GSM 300 M2 PER ROLL</t>
  </si>
  <si>
    <t>GROUT MATERIAL</t>
  </si>
  <si>
    <t xml:space="preserve">  INJECTION PACKERS ALLUMINIUM </t>
  </si>
  <si>
    <t>INJECTION PACKERS ALLUMINIUM</t>
  </si>
  <si>
    <t xml:space="preserve">MIX GROUT NS 25 KG BAG </t>
  </si>
  <si>
    <t>MIX GROUT NS 25 KG BAG</t>
  </si>
  <si>
    <t xml:space="preserve"> NIPPLE GRIPPER  </t>
  </si>
  <si>
    <t>NIPPLE GRIPPER</t>
  </si>
  <si>
    <t xml:space="preserve">  X-102-lV HYDROPHILIC POLYURETHEN </t>
  </si>
  <si>
    <t>X-102-lV HYDROPHILIC POLYURETHEN</t>
  </si>
  <si>
    <t>X-102-lV HYDROPHILIC POLYURETHEN (  4 LTR TIN )</t>
  </si>
  <si>
    <t xml:space="preserve">  X-103-lV HYDROPHILIC POLYURETHEN </t>
  </si>
  <si>
    <t>X-103-lV HYDROPHILIC POLYURETHEN</t>
  </si>
  <si>
    <t>X-103-lV HYDROPHILIC POLYURETHEN  ( 4 LTR  PER PACK  )</t>
  </si>
  <si>
    <t>GRP COATING</t>
  </si>
  <si>
    <t xml:space="preserve">GRP WORK </t>
  </si>
  <si>
    <t>GRP WORK</t>
  </si>
  <si>
    <t>AL DROPS 10"</t>
  </si>
  <si>
    <t xml:space="preserve">ALDROPS 10" </t>
  </si>
  <si>
    <t xml:space="preserve">BAR BENDING KEY 10MM </t>
  </si>
  <si>
    <t xml:space="preserve">BAR BENDING KEY 12MM </t>
  </si>
  <si>
    <t xml:space="preserve">BAR BENDING KEY 16MM </t>
  </si>
  <si>
    <t xml:space="preserve">BAR BENDING KEY 20MM </t>
  </si>
  <si>
    <t>BAR BENDING KEY 20MM</t>
  </si>
  <si>
    <t xml:space="preserve">BAR BENDING KEY 25MM </t>
  </si>
  <si>
    <t xml:space="preserve">CONCRETE DRILL BIT 14MM </t>
  </si>
  <si>
    <t xml:space="preserve">CONCRETE DRILL BIT 20MM </t>
  </si>
  <si>
    <t>CONCRETE SPADE WITH STICK</t>
  </si>
  <si>
    <t xml:space="preserve">DIAMOND CUP WHEEL 7" </t>
  </si>
  <si>
    <t xml:space="preserve">FISHER PLUG 6MM </t>
  </si>
  <si>
    <t xml:space="preserve">PICK AXE WITH HANDLE </t>
  </si>
  <si>
    <t>PICK AXE WITH HANDLE</t>
  </si>
  <si>
    <t>PIPE WRENCH CLARK 14"</t>
  </si>
  <si>
    <t>POINTED CHISEL 10"</t>
  </si>
  <si>
    <t>ROOFING NAILS 2"</t>
  </si>
  <si>
    <t xml:space="preserve">SDS MAX CHISEL 400MM </t>
  </si>
  <si>
    <t>SDS MAX CHISEL 400MM</t>
  </si>
  <si>
    <t xml:space="preserve">SDS MAX POINTED CHISEL 600MM </t>
  </si>
  <si>
    <t>SDS MAX POINTED CHISEL 600MM</t>
  </si>
  <si>
    <t xml:space="preserve">SDS PLUS DRILL BIT 14MM </t>
  </si>
  <si>
    <t>SDS PLUS DRILL BIT 14MM</t>
  </si>
  <si>
    <t>STEEL DOOR MAKING AND FIXING</t>
  </si>
  <si>
    <t>TILE LEVELING SYSTEM CLIP 1.5MM</t>
  </si>
  <si>
    <t>TILE LEVELING SYSTEM CLIP 2MM</t>
  </si>
  <si>
    <t>TILE LEVELING WEDGES</t>
  </si>
  <si>
    <t xml:space="preserve">WATER THURMOS 20 LTR </t>
  </si>
  <si>
    <t xml:space="preserve">WOOD CUTTER BLADE 12" </t>
  </si>
  <si>
    <t>WOOD CUTTER BLADE 12"</t>
  </si>
  <si>
    <t xml:space="preserve">WOODEN DRILL BIT 16MM </t>
  </si>
  <si>
    <t xml:space="preserve">WOODEN DRILL BIT 20MM </t>
  </si>
  <si>
    <t>HIRE MACHINERY</t>
  </si>
  <si>
    <t xml:space="preserve">100 TON CRANE </t>
  </si>
  <si>
    <t>100 TON CRANE</t>
  </si>
  <si>
    <t>HILTY DRILL</t>
  </si>
  <si>
    <t xml:space="preserve">HIRE MOBILE CRANE 160 TON </t>
  </si>
  <si>
    <t>HIRE MOBILE CRANE 160 TON</t>
  </si>
  <si>
    <t xml:space="preserve">HIRE OF 30 KVA GENERATOR </t>
  </si>
  <si>
    <t>HIRE OF 30 KVA GENERATOR</t>
  </si>
  <si>
    <t xml:space="preserve">HIRE OF 50 TON MOBILE CRANE </t>
  </si>
  <si>
    <t xml:space="preserve">HIRE OF 70 TON MOBILE CRANE </t>
  </si>
  <si>
    <t>HIRE OF 70 TON MOBILE CRANE</t>
  </si>
  <si>
    <t>HIRE OF BOOM LOADER 14 M</t>
  </si>
  <si>
    <t xml:space="preserve">MOBILIZATION &amp; DEMOBILIZATION CHARGES </t>
  </si>
  <si>
    <t>MOBILIZATION &amp; DEMOBILIZATION CHARGES</t>
  </si>
  <si>
    <t>PETROL VIBRATOR WITH NEEDLE ( RENTAL )</t>
  </si>
  <si>
    <t>PLATE COMPACTOR ( RENTAL )</t>
  </si>
  <si>
    <t>ROLLER COMPECTOR</t>
  </si>
  <si>
    <t xml:space="preserve">ROTAR STATOR </t>
  </si>
  <si>
    <t>ROTAR STATOR</t>
  </si>
  <si>
    <t xml:space="preserve">STEEL CUTTER 3 PHASE  </t>
  </si>
  <si>
    <t>STEEL CUTTER 3 PHASE</t>
  </si>
  <si>
    <t>TOWER CRANE ON RENT</t>
  </si>
  <si>
    <t>HIRE SCAFFOLDING</t>
  </si>
  <si>
    <t>HIRE TRANSPORT</t>
  </si>
  <si>
    <t>HIRE FLAT TRAILER</t>
  </si>
  <si>
    <t xml:space="preserve">HIRE OF 80 TON MOBILE CRANE </t>
  </si>
  <si>
    <t>HIRE OF 80 TON MOBILE CRANE</t>
  </si>
  <si>
    <t>HIRE RUBBISH REMOVAL</t>
  </si>
  <si>
    <t xml:space="preserve">RENTAL BUS 34 SEATER </t>
  </si>
  <si>
    <t>RENTAL BUS 34 SEATER</t>
  </si>
  <si>
    <t>RENTAL ROSA BUS</t>
  </si>
  <si>
    <t>AWAZEL CATALYSET</t>
  </si>
  <si>
    <t xml:space="preserve">AWAZEL WATER INJECTION FOAM </t>
  </si>
  <si>
    <t>AWAZEL WATER INJECTION FOAM</t>
  </si>
  <si>
    <t>INSULATION BOARD</t>
  </si>
  <si>
    <t xml:space="preserve">EXTRUDED INSULATION BOARD 60MM  DENSITY 32-35 KG </t>
  </si>
  <si>
    <t>EXTRUDED INSULATION BOARD 60MM  DENSITY 32-35 KG</t>
  </si>
  <si>
    <t>4MM NEOFLEX S4180 180GSM</t>
  </si>
  <si>
    <t>5mm SBS Membrane 250gsm ( -20)</t>
  </si>
  <si>
    <t>App 4mm Membrane 180gsm</t>
  </si>
  <si>
    <t>AWAZEL DS 40 250 (High Performance APP modified bituminous membrane, reinforced with Polyester) ,</t>
  </si>
  <si>
    <t>AWAZEL DS 40 250 MINERAL (APP modified bituminous membrane, surfaced with Mineral slates)</t>
  </si>
  <si>
    <t>AWAZELBOND BS 1000</t>
  </si>
  <si>
    <t>BETOFLEX 4P</t>
  </si>
  <si>
    <t>BIFLEX PL 4MM /180 GSM</t>
  </si>
  <si>
    <t>BIFLEX PL 4MM /200 GSM</t>
  </si>
  <si>
    <t>COLPHENE BSW H 3.5</t>
  </si>
  <si>
    <t>DIEN 40 4mm SBS Membrane  200gsm (1x10)</t>
  </si>
  <si>
    <t>DIEN 40 4mm SBS Membrane 180gsm 180gsm (1x10)</t>
  </si>
  <si>
    <t>Dulas P 180 4mm SBS Membrane</t>
  </si>
  <si>
    <t>Dulas P 180 5mm SBS Membrane</t>
  </si>
  <si>
    <t>Dulas P 200 4mm SBS Membrane</t>
  </si>
  <si>
    <t>Dulas P 200 5mm SBS Membrane</t>
  </si>
  <si>
    <t>DUPLAST P 270 4MM APP MEMBRANE  1M X 10 MTR ROLL</t>
  </si>
  <si>
    <t>DUPLAST P-MEMBRANE 4MM 1M X 10 MTR ROLL</t>
  </si>
  <si>
    <t>FG -RHEOSEAL 5S 180 -20 DEG  1X10 MTR</t>
  </si>
  <si>
    <t>MEMBRANE SELF ADHESIVE 1.6MM 60 M2 ALUMINUM 1.6MM 60 M2 ALUMINUM</t>
  </si>
  <si>
    <t>Mineral Membrane</t>
  </si>
  <si>
    <t>MONOGUM FLAM 270 4P10 1M X  10M ROLL</t>
  </si>
  <si>
    <t>NEOFLEX ANTI-ROOT WATERPROOFING MEMBRANE 4MM (1X10MTR)</t>
  </si>
  <si>
    <t>NEOFLEX MINERAL 4MM 1M X  10MTR ROLL</t>
  </si>
  <si>
    <t>PLASIFLEX FLAM 180 4F  1M X  10M PER ROLL</t>
  </si>
  <si>
    <t>POLYFLEX GN MINERAL 180 ( 1M X 10M PER ROLL )</t>
  </si>
  <si>
    <t>POLYFLEX MS 270 APP MEMBRTANE  ( 1M X  10M PER ROLL )</t>
  </si>
  <si>
    <t>PY 40L 5mm SBS Membrane  ( 1x8) 180gsm</t>
  </si>
  <si>
    <t>PY 40L 5mm SBS Membrane  ( 1x8) 200gsm</t>
  </si>
  <si>
    <t>PY G40250E BSP 10M MEMBRANE SBS MODIFIED 200G</t>
  </si>
  <si>
    <t>PY G40250E BSP 10M MEMBRANE SBS MODIFIED 200G 10M ROLL 200G</t>
  </si>
  <si>
    <t>PY40200L BSP 10 M MEMBRANE SBS MODIFIED 200G</t>
  </si>
  <si>
    <t>PY40L BSP 10 M MEMBRANE SBS MODIFIED POLYES 180G</t>
  </si>
  <si>
    <t>RENTAL TORCHER - Dont Use</t>
  </si>
  <si>
    <t>RENTAL TORCHER</t>
  </si>
  <si>
    <t xml:space="preserve">RHEOSEAL  SBS 4S 200 -5  </t>
  </si>
  <si>
    <t>RHEOSEAL  SBS 4S 200 -5  1M X  10M ROLL</t>
  </si>
  <si>
    <t>RHEOSEAL 4S -200 GSM SL APP</t>
  </si>
  <si>
    <t>RHEOSEAL SBS 4S 180 ( -5 )</t>
  </si>
  <si>
    <t>SBS MEMBRANE  SOPRALENE  FLAME 270 4P10</t>
  </si>
  <si>
    <t>SIKA SHIELD E36 PE SA 4MM ROLL</t>
  </si>
  <si>
    <t>SIKA SHIELD E36 PE SA 4MM ROLL 1MX10M</t>
  </si>
  <si>
    <t>SikaBit 4mm Membrane 180gsm</t>
  </si>
  <si>
    <t>SikaBit 5200 ( -5) Membrane 200gsm</t>
  </si>
  <si>
    <t>Sikashield E65 PE SA 4mm</t>
  </si>
  <si>
    <t>SOPRALENE FLAM 200 4P20 (SIZE 10 X 1 M )</t>
  </si>
  <si>
    <t>SOPRALENE FLAM 200 4P5 ( SIZE 10 X  1M )</t>
  </si>
  <si>
    <t>SOPRALENE FLAM JARDIN 200 4P20</t>
  </si>
  <si>
    <t>SOPRALENE FLAME 180 4P10</t>
  </si>
  <si>
    <t>MESH</t>
  </si>
  <si>
    <t xml:space="preserve">BETOFLEX BETOTECH MESH  65 GSM 0.8M*100M </t>
  </si>
  <si>
    <t>BETOFLEX BETOTECH MESH  65 GSM 0.8M*100M</t>
  </si>
  <si>
    <t>NEOFAB COATING FABRIC  (300 MM X 50) MTR</t>
  </si>
  <si>
    <t>ORANGE MESH 1*50 M</t>
  </si>
  <si>
    <t>ORANGE MESH</t>
  </si>
  <si>
    <t>PLASTER ACCESSORIES</t>
  </si>
  <si>
    <t xml:space="preserve">SS PLASTER STOPPER 13MM X 13 MTR </t>
  </si>
  <si>
    <t>PLASTER STOPPER 13MM X 13 MTR</t>
  </si>
  <si>
    <t>PLUMBING ITEM</t>
  </si>
  <si>
    <t>1" GATE VALVE PEGLER</t>
  </si>
  <si>
    <t>1/2" BIB TAPE</t>
  </si>
  <si>
    <t xml:space="preserve">2" UPVC PIPE </t>
  </si>
  <si>
    <t>2" UPVC PIPE</t>
  </si>
  <si>
    <t xml:space="preserve">2" UPVC PIPE 6 MTR </t>
  </si>
  <si>
    <t>2" UPVC PIPE 6 MTR</t>
  </si>
  <si>
    <t>2"UPVC Y BRANCH</t>
  </si>
  <si>
    <t>2*45"UPVC ELBOW</t>
  </si>
  <si>
    <t>2*90"UPVC ELBOW</t>
  </si>
  <si>
    <t>25 MM PPR PIPE</t>
  </si>
  <si>
    <t>25*3/4"PPR FEMALE ELBOW</t>
  </si>
  <si>
    <t>25MM 90D PPR ELBOW</t>
  </si>
  <si>
    <t>25MM PPR TEE</t>
  </si>
  <si>
    <t xml:space="preserve">3" UPVC PIPE 6 MTR </t>
  </si>
  <si>
    <t>3" UPVC PIPE 6 MTR</t>
  </si>
  <si>
    <t>3" UPVC Y BRANCH</t>
  </si>
  <si>
    <t xml:space="preserve">3*45"DEG UPVC ELBOW </t>
  </si>
  <si>
    <t>3*45"DEG UPVC ELBOW</t>
  </si>
  <si>
    <t>3/4*1/2 BRASS REDUCER BUSH</t>
  </si>
  <si>
    <t xml:space="preserve">32 MM PPR PIPE </t>
  </si>
  <si>
    <t>32 MM PPR PIPE</t>
  </si>
  <si>
    <t xml:space="preserve">32 MM PPR SOCKET </t>
  </si>
  <si>
    <t>32*25MM PPR REDUCER</t>
  </si>
  <si>
    <t>32MM 90D PPR ELBOW</t>
  </si>
  <si>
    <t xml:space="preserve">4" FLOOR DRAIN JALI </t>
  </si>
  <si>
    <t>4" UPVC 45" ELBOW</t>
  </si>
  <si>
    <t>4" UPVC P TRAP</t>
  </si>
  <si>
    <t xml:space="preserve">4" UPVC PIPE 6 MTR </t>
  </si>
  <si>
    <t>4" UPVC PIPE 6 MTR</t>
  </si>
  <si>
    <t xml:space="preserve">4" UPVC SOCKET </t>
  </si>
  <si>
    <t xml:space="preserve">4" Y BRANCH </t>
  </si>
  <si>
    <t xml:space="preserve">4" YPVC Y BRANCH </t>
  </si>
  <si>
    <t>4" YPVC Y BRANCH</t>
  </si>
  <si>
    <t>4*3"UPVC REDUCER</t>
  </si>
  <si>
    <t>50 ML PVC GLUE</t>
  </si>
  <si>
    <t xml:space="preserve">ASIAN WC WITH FLASH </t>
  </si>
  <si>
    <t xml:space="preserve">G.I PIPE 25MM </t>
  </si>
  <si>
    <t xml:space="preserve">GYPSUM SCREW BLACK 6MM X  1.5MM </t>
  </si>
  <si>
    <t xml:space="preserve">GYPSUM SCREW BLACK 6MM X  1MM </t>
  </si>
  <si>
    <t>JOINT LUBRICANT</t>
  </si>
  <si>
    <t xml:space="preserve">PPR 32MM X 1" MALE ADAPTPR </t>
  </si>
  <si>
    <t>PPR 32MM X 1" MALE ADAPTPR</t>
  </si>
  <si>
    <t>PPR FEMALE TEE 32MM X 1"</t>
  </si>
  <si>
    <t>PPR GATE VALVE 1"</t>
  </si>
  <si>
    <t xml:space="preserve">PPR PIPE 32MM X  4MTR </t>
  </si>
  <si>
    <t>PPR PIPE 32MM X 4MTR</t>
  </si>
  <si>
    <t xml:space="preserve">PPR REDUCER SOCKET 32MM X  20MM </t>
  </si>
  <si>
    <t xml:space="preserve">PPR SOCKET 32MM </t>
  </si>
  <si>
    <t xml:space="preserve">PPR TEE </t>
  </si>
  <si>
    <t xml:space="preserve">PVC GLUE </t>
  </si>
  <si>
    <t xml:space="preserve">TOWER BOLT </t>
  </si>
  <si>
    <t xml:space="preserve">TUBE FOR WASH BASIN 1/2" SINGLE CENTER HOLE </t>
  </si>
  <si>
    <t xml:space="preserve">UPVC 4" Y BRANCH </t>
  </si>
  <si>
    <t>UPVC ELBOW 2" X  45 DEG</t>
  </si>
  <si>
    <t xml:space="preserve">UPVC ELBOW 4" X 90 DEG </t>
  </si>
  <si>
    <t>UPVC ELBOW 4" X 90 DEG</t>
  </si>
  <si>
    <t xml:space="preserve">UPVC PIPES 2" X  4 MTR </t>
  </si>
  <si>
    <t xml:space="preserve">UPVC PIPES 4" X  4 MTR </t>
  </si>
  <si>
    <t xml:space="preserve">UPVC PIPES 4" X 6 MTR </t>
  </si>
  <si>
    <t xml:space="preserve">WATER PUMP 2HP </t>
  </si>
  <si>
    <t>POLYSTRENE SHEET</t>
  </si>
  <si>
    <t xml:space="preserve">EXTRUDED INSULATION BOARD  70MM ( 1.25 X 0.60M ) DENSITY 32-35 KG </t>
  </si>
  <si>
    <t>EXTRUDED INSULATION BOARD  70MM ( 1.25 X 0.60M )</t>
  </si>
  <si>
    <t>EXTRUDED POLYSTRENE 50MM DENSITY 32-35</t>
  </si>
  <si>
    <t xml:space="preserve">EXTRUDED POLYSTRENE SHEET 100MM DENSITY 32-35 KG </t>
  </si>
  <si>
    <t>EXTRUDED POLYSTRENE SHEET 100MM DENSITY 32-35 KG</t>
  </si>
  <si>
    <t>POWER TOOLS</t>
  </si>
  <si>
    <t>POKERSHAFT 38MM</t>
  </si>
  <si>
    <t>TABLE SAW MAKIT 315MM 12-3/8" -27/12</t>
  </si>
  <si>
    <t>PREMIX PLASTER</t>
  </si>
  <si>
    <t xml:space="preserve">BONDCRETE RAK FIX 012 ( 50 KG PER BAG ) </t>
  </si>
  <si>
    <t>BONDCRETE RAK FIX 012 ( 50 KG PER BAG )</t>
  </si>
  <si>
    <t>CORROPLAST AB 40 KG</t>
  </si>
  <si>
    <t>CORROPLAST AB 40 KG BAG ( PREMIX PLASTER )</t>
  </si>
  <si>
    <t>CORROPLAST KEY COAT N</t>
  </si>
  <si>
    <t>CORROPLAST KEY COAT N ( PREMIX PLASTER SYSTEM )</t>
  </si>
  <si>
    <t>PRIMER</t>
  </si>
  <si>
    <t xml:space="preserve">AQUADERE HT 200 LTR PER DRUM </t>
  </si>
  <si>
    <t>AQUADERE HT 200 LTR PER DRUM</t>
  </si>
  <si>
    <t>AWAZEL SOLVENT BASE PRIMER ASTM D41  15 KG (15 KG) drum</t>
  </si>
  <si>
    <t xml:space="preserve">CONCRETE PRIMER D41 200 LTR PER DRUM </t>
  </si>
  <si>
    <t>CONCRETE PRIMER D41 ( 200 LTR PER DRUM )</t>
  </si>
  <si>
    <t>CRESPRIME SB  (200L) DRUM</t>
  </si>
  <si>
    <t xml:space="preserve">DUPRIME 200 LTR DRUM </t>
  </si>
  <si>
    <t>DUPRIME 200 LTR DRUM</t>
  </si>
  <si>
    <t>Duprimer  (200L) DRUM</t>
  </si>
  <si>
    <t>POLYPRIME SB BITUMEN PRIMER 200 LTR</t>
  </si>
  <si>
    <t>PRIMER  SOPRADERE HT</t>
  </si>
  <si>
    <t>PRIMER D41  (180KG) DRUM</t>
  </si>
  <si>
    <t>CAN</t>
  </si>
  <si>
    <t>PROOFEX TORCHSEAL PRIMER (200L) (200KG) DRUM</t>
  </si>
  <si>
    <t>REOPRIME D-41 DRUMS-(200LTR)</t>
  </si>
  <si>
    <t>REOPRIME D-41 DRUMS-200LTR</t>
  </si>
  <si>
    <t>RHEOPRIME SB  ( 200 LTR DRUM )</t>
  </si>
  <si>
    <t>SIKA LGOLFLEX-620</t>
  </si>
  <si>
    <t>SIKABIT P -12 AE BITUMENIOUS PRIMER  (180KG) DRUM</t>
  </si>
  <si>
    <t xml:space="preserve">SOPRADERE HT 20 LTR </t>
  </si>
  <si>
    <t>SOPRADERE HT 20 LTR</t>
  </si>
  <si>
    <t xml:space="preserve"> WEBER DRY PRIMER SB 200 LTR  </t>
  </si>
  <si>
    <t>WEBER DRY PRIMER SB 200 LTR</t>
  </si>
  <si>
    <t xml:space="preserve">BUSINESS CARD PRINTING </t>
  </si>
  <si>
    <t xml:space="preserve">LETTER HEAD </t>
  </si>
  <si>
    <t>LETTER HEAD</t>
  </si>
  <si>
    <t xml:space="preserve">STICKER 10 X 5 CM </t>
  </si>
  <si>
    <t xml:space="preserve">STICKER 20 X 15 CM </t>
  </si>
  <si>
    <t xml:space="preserve">STICKER 36  X  20 CM </t>
  </si>
  <si>
    <t xml:space="preserve">STICKERS 15 X  10 CM </t>
  </si>
  <si>
    <t>Products</t>
  </si>
  <si>
    <t>1 1/2 45 ELBOW</t>
  </si>
  <si>
    <t>1 1/2 90ELBOW</t>
  </si>
  <si>
    <t>1 1/2 FEMALE SOCKET</t>
  </si>
  <si>
    <t>1 1/2 PIPS</t>
  </si>
  <si>
    <t>1 1/2 SOCKET</t>
  </si>
  <si>
    <t>1 1/2 TEE</t>
  </si>
  <si>
    <t>1 1/2'' GETWALL</t>
  </si>
  <si>
    <t>1 1/2X1'' REDUCER</t>
  </si>
  <si>
    <t>1'' 45 ELBOW</t>
  </si>
  <si>
    <t>1'' 90 ELBOW</t>
  </si>
  <si>
    <t>1'' GETWALL</t>
  </si>
  <si>
    <t>1'' PIPE</t>
  </si>
  <si>
    <t>10MM GUN TRACKER PIN</t>
  </si>
  <si>
    <t>12" EXAUST FAN WITH DUCT</t>
  </si>
  <si>
    <t>13A AMP DOUBLE SWITCH SOCKET WITH INDICATOR</t>
  </si>
  <si>
    <t>15 AMP 3 PIN SWITCH SOCKET</t>
  </si>
  <si>
    <t>15 AMP 3 PIN TOP PLUG</t>
  </si>
  <si>
    <t>1X1/2 FEMALE SOCKET [BVSL]</t>
  </si>
  <si>
    <t>2''X1 1/2 REDUCER</t>
  </si>
  <si>
    <t>2''X2'' FEMALE SOCKET</t>
  </si>
  <si>
    <t>2" UPVC ELBOW 45 DEG</t>
  </si>
  <si>
    <t>2" UPVC END CAP</t>
  </si>
  <si>
    <t>2" UPVC SOCKET</t>
  </si>
  <si>
    <t>2" Y BRANCH</t>
  </si>
  <si>
    <t>200V FEMALE SOCKET</t>
  </si>
  <si>
    <t>200V MALE SOCKET</t>
  </si>
  <si>
    <t>24" PADESTAL FAN</t>
  </si>
  <si>
    <t>250 OPC 15/10N</t>
  </si>
  <si>
    <t>3 MTR LENGTH LEADER</t>
  </si>
  <si>
    <t>3.2mm Bituboard  - Henkel</t>
  </si>
  <si>
    <t>3''X6'' PVC BOX</t>
  </si>
  <si>
    <t>3" UPVC PIPE</t>
  </si>
  <si>
    <t>3" UPVC SOCKET</t>
  </si>
  <si>
    <t>3" Y BRANCH</t>
  </si>
  <si>
    <t>32 AMP SINGLE POLE BREAKER</t>
  </si>
  <si>
    <t>4" SN INCHES</t>
  </si>
  <si>
    <t>40 AMP SINGLE POLE BREAKER</t>
  </si>
  <si>
    <t>4mm Antiroot 180gsm</t>
  </si>
  <si>
    <t>4MM X 4C FLEXIBLE WIRE ( 100YARD ( RR - BRAND 0</t>
  </si>
  <si>
    <t>6mm BituBoard</t>
  </si>
  <si>
    <t>6MM X 5C FLEXIBLE CABLE</t>
  </si>
  <si>
    <t>ACCELERATOR CABLE  -POWER TROWEL</t>
  </si>
  <si>
    <t>ADJUSTABLE SPANNER 18''</t>
  </si>
  <si>
    <t>ADJUSTABLE SPANNER 24''</t>
  </si>
  <si>
    <t>AGGREGATE</t>
  </si>
  <si>
    <t>AIR FILTER ASSY GX 160</t>
  </si>
  <si>
    <t>AIR FILTER EY 20  - ROUND</t>
  </si>
  <si>
    <t>ALDROPS 8" MS</t>
  </si>
  <si>
    <t xml:space="preserve">ALLUMINIUM FLASHING 13CM 3 BEND </t>
  </si>
  <si>
    <t>ALLUMINIUM FLASHING 13CM 3 BEND</t>
  </si>
  <si>
    <t>LM</t>
  </si>
  <si>
    <t>ALLUMINIUM STRAIGHT EDGE</t>
  </si>
  <si>
    <t xml:space="preserve">ALSAN CAP C </t>
  </si>
  <si>
    <t>ALSAN CAP C</t>
  </si>
  <si>
    <t xml:space="preserve">ALSAN CAP E </t>
  </si>
  <si>
    <t>ALSAN CAP E</t>
  </si>
  <si>
    <t xml:space="preserve">ALSAN FLASHING LM </t>
  </si>
  <si>
    <t>ALSAN FLASHING LM</t>
  </si>
  <si>
    <t>ALU FLASHING 10CM X 1MM X 1BEND</t>
  </si>
  <si>
    <t>ALUMINUM INJ PACKER DOUBLE RUBBER 13X115</t>
  </si>
  <si>
    <t>ANCHOR BOLT 10MM</t>
  </si>
  <si>
    <t>ANTISLIP GRAIN NO2 (20KG BAG)</t>
  </si>
  <si>
    <t>AR 6060 MIX CHAMEBER KIT ROUND PATTERN 03</t>
  </si>
  <si>
    <t>AWAZEGROUT CM 100 25 KG BAG</t>
  </si>
  <si>
    <t>AWAZEL AWATEX RBE 6500  (200LTR/DRUM)</t>
  </si>
  <si>
    <t>AWAZEL PVC WATER STOP 25L IC 15LM/ROLL</t>
  </si>
  <si>
    <t>AWAZEL TORCH BRENNER 220 MM .TITANIUM S</t>
  </si>
  <si>
    <t>BAR BINDING KEY 10 MM ( STEEL BARI</t>
  </si>
  <si>
    <t>BAR BINDING KEY 12 MM ( STEEL BARI</t>
  </si>
  <si>
    <t>BAR BINDING KEY 16 MM ( STEEL BARI</t>
  </si>
  <si>
    <t>BAR BINDING KEY 20 MM ( STEEL BARI</t>
  </si>
  <si>
    <t>BAR BINDING KEY 25 MM ( STEEL BARI</t>
  </si>
  <si>
    <t>BAR BINDING KEY 32 MM ( STEEL BARI</t>
  </si>
  <si>
    <t>BAR BINDING PLATE 10 MM &amp; 12 MM</t>
  </si>
  <si>
    <t>BAR BINDING PLATE 16 MM &amp; 20 MM</t>
  </si>
  <si>
    <t>BAR RING MACHINE</t>
  </si>
  <si>
    <t>Biflex  PL 5mm /250gsm  (8m2) roll</t>
  </si>
  <si>
    <t>BIG JACK HEAVY BIT</t>
  </si>
  <si>
    <t>BITUBOARD 3.2 MM (2M X1M X 3.2MM)</t>
  </si>
  <si>
    <t>BITUMEN IMPEREGNATED BOARD 10 MM -CUTTING</t>
  </si>
  <si>
    <t>Bitumen RBE535 (200LTR/DRUM)</t>
  </si>
  <si>
    <t>Bituplus APP 200gsm</t>
  </si>
  <si>
    <t>Bituplus E4180  - Henkel</t>
  </si>
  <si>
    <t>BLACK WASH SAND</t>
  </si>
  <si>
    <t>BLADE 18MM</t>
  </si>
  <si>
    <t>BLADE ADJUSTING CABLE - POWER TROWEL</t>
  </si>
  <si>
    <t>BOLT CUTTER 36'' ( STEEL CUTTING SCISSOR</t>
  </si>
  <si>
    <t>BOX SPANNER SET</t>
  </si>
  <si>
    <t>C15/10  - 100% OPC  - Screed</t>
  </si>
  <si>
    <t>C15/10  - 64% OPC + 36% GGBS  - Screed</t>
  </si>
  <si>
    <t>C20/10</t>
  </si>
  <si>
    <t>C20/10  - 100% OPC  - 0.6kg Polypropylene Fiber</t>
  </si>
  <si>
    <t>C20/10  - 64% OPC + 36% GGBS  - Screed</t>
  </si>
  <si>
    <t>C20/10 + Fiber</t>
  </si>
  <si>
    <t>C25/10</t>
  </si>
  <si>
    <t>C25/10  - 64% OPC + 36% GGBS  - Screed</t>
  </si>
  <si>
    <t>C50/20 OGMS 55% GGBS+5%MS</t>
  </si>
  <si>
    <t>CABLE CUTTER</t>
  </si>
  <si>
    <t>CANVAS CLOTH (1 BUNDDLE X 19)</t>
  </si>
  <si>
    <t>CARPENTER AARI</t>
  </si>
  <si>
    <t>CARPENTER AARI 18'' ( HAND SAW CUTTER</t>
  </si>
  <si>
    <t>CARPENTER CHISEL 1.5''</t>
  </si>
  <si>
    <t>CARPENTER CHISEL 2''</t>
  </si>
  <si>
    <t>CARPENTER FILE 4''</t>
  </si>
  <si>
    <t>CEMENT</t>
  </si>
  <si>
    <t>CEMENT (50KG BAG)</t>
  </si>
  <si>
    <t>CEMENTITIOUS GROUT (Quantity)</t>
  </si>
  <si>
    <t>Epoxy Grout 27 KG BAG</t>
  </si>
  <si>
    <t>CEMENTITIOUS GROUT (Quantity)-Epoxy Grout 27 KG BAG</t>
  </si>
  <si>
    <t>CEMENTITIOUS GROUT (Weight)</t>
  </si>
  <si>
    <t>Cementitious Grout 25 KG BAG</t>
  </si>
  <si>
    <t>CERAMIC TILES</t>
  </si>
  <si>
    <t>CHECK VALVE FACE O RING</t>
  </si>
  <si>
    <t>CLARKE KNIFE BLADE 18MM</t>
  </si>
  <si>
    <t>CLEANING LIQUID TOILET 5LTR</t>
  </si>
  <si>
    <t>CLOTH SCISSOR</t>
  </si>
  <si>
    <t>COCO BRUSH WITH STICKER</t>
  </si>
  <si>
    <t>COLPHANE BSW BASE 4.0</t>
  </si>
  <si>
    <t>COLPHENE SP LAP</t>
  </si>
  <si>
    <t>COLPHENE BSW SP LAP</t>
  </si>
  <si>
    <t>COMBINATION SPANNER 10 MM</t>
  </si>
  <si>
    <t>COMBINATION SPANNER 11 MM</t>
  </si>
  <si>
    <t>COMBINATION SPANNER 12 MM</t>
  </si>
  <si>
    <t>COMBINATION SPANNER 13 MM</t>
  </si>
  <si>
    <t>COMBINATION SPANNER 14 MM</t>
  </si>
  <si>
    <t>COMBINATION SPANNER 15 MM</t>
  </si>
  <si>
    <t>COMBINATION SPANNER 17 MM</t>
  </si>
  <si>
    <t>COMBINATION SPANNER 18 MM</t>
  </si>
  <si>
    <t>COMBINATION SPANNER 19 MM</t>
  </si>
  <si>
    <t>COMBINATION SPANNER 21 MM</t>
  </si>
  <si>
    <t>COMBINATION SPANNER 24 MM</t>
  </si>
  <si>
    <t>COMBINATION SPANNER 27 MM</t>
  </si>
  <si>
    <t>COMBINATION SPANNER 36 MM</t>
  </si>
  <si>
    <t>COMBINATION SPANNER 6 MM</t>
  </si>
  <si>
    <t>COMBINATION SPANNER 8 MM</t>
  </si>
  <si>
    <t>COMMERCIAL PLY 4MM</t>
  </si>
  <si>
    <t>COMMERCIAL PLY 6MM</t>
  </si>
  <si>
    <t>CONCRETE BUCKET</t>
  </si>
  <si>
    <t>CONCRETE DRILL BIT 16 MM X 310 MM</t>
  </si>
  <si>
    <t>CONCRETE DRILL BIT 28 MM X 310 MM</t>
  </si>
  <si>
    <t>CONCRETE DRILL BIT 32 MM X 310 MM</t>
  </si>
  <si>
    <t>CONCRETE DRILL BIT 6 MM X 160 MM</t>
  </si>
  <si>
    <t>CONCRETE DRILL BIT 6MM TO 20MM</t>
  </si>
  <si>
    <t>CONCRETE NAILS 40MM</t>
  </si>
  <si>
    <t>CORROBOARD 3.2 MM</t>
  </si>
  <si>
    <t>CORROPRIME SB 200LTRS</t>
  </si>
  <si>
    <t>CORROPRUFE SBS 4180</t>
  </si>
  <si>
    <t xml:space="preserve">COVERALL PREMIUM COTTON 100% WITH ONE COLOUR PRINTING AS PER SAMPLE </t>
  </si>
  <si>
    <t>CP NIPPLE 1/2"</t>
  </si>
  <si>
    <t>CRESBOARD FILLER BOARD  BI -10MM</t>
  </si>
  <si>
    <t>CRESCOAT RBE 10 (200L -CT) (200LTR/DRUM)</t>
  </si>
  <si>
    <t>CRUSHED AGGREGATE 3/16"</t>
  </si>
  <si>
    <t>CRUSHED AGGREGATE 3/4"</t>
  </si>
  <si>
    <t>CRUSHED AGGREGATE 3/8"</t>
  </si>
  <si>
    <t>MT</t>
  </si>
  <si>
    <t>CUTTER PLAYER</t>
  </si>
  <si>
    <t>DAMP PC 200MM ( 10 MTR PER ROLL )</t>
  </si>
  <si>
    <t>DB 1 ROW 12 MODULE WITH 2 SECTION ELCB 63/100MA SP MCB 5 NUMBERS COMPLETE</t>
  </si>
  <si>
    <t>DB AS PER ATTACHED DETAIL</t>
  </si>
  <si>
    <t>DB MAIN ISOLATOR,2 SECTION ELCB,4 NOS SP MCB, 2 NUMBER TP MCB, 5PIN SOCKET 2 NUMBERS, 3 PIN SOCKET 4 NOS COMPLETE WITH ENCL</t>
  </si>
  <si>
    <t>DB WITH 63A 100MA 2P ELCB , 5 SP MCB COMPLETE WITH 1R 16M ALFANAR FLUSH TYPE</t>
  </si>
  <si>
    <t>DCA DIAMOND DISC 6'' SEGMENTED</t>
  </si>
  <si>
    <t>DEEP TRAY FOR DIESEL DRUMS ( 2 DRUMS )</t>
  </si>
  <si>
    <t>DEEP TRAY FOR DIESEL DRUMS ( 4 DRUMS )</t>
  </si>
  <si>
    <t>DESC</t>
  </si>
  <si>
    <t>DIAMOND CONCRETE CUTTING BLADE 4''</t>
  </si>
  <si>
    <t>DIAMOND CONCRETE CUTTING BLADE 7''</t>
  </si>
  <si>
    <t>DIESEL</t>
  </si>
  <si>
    <t>DIESEL VIBRATOR</t>
  </si>
  <si>
    <t>DISPOSIBLE COVERALL MEDIUM &amp; LARGE SIZE EACH 10 PCS</t>
  </si>
  <si>
    <t>DOP -20KG</t>
  </si>
  <si>
    <t>DOUBLE DISC GRINDER</t>
  </si>
  <si>
    <t>DPC</t>
  </si>
  <si>
    <t>DPM -20KG</t>
  </si>
  <si>
    <t>DS 40 MINERAL</t>
  </si>
  <si>
    <t>DUCT TAPE</t>
  </si>
  <si>
    <t>DULLAS HP 200</t>
  </si>
  <si>
    <t>DUMPY LEVEL</t>
  </si>
  <si>
    <t>DUNE SAND</t>
  </si>
  <si>
    <t>DUST MASK</t>
  </si>
  <si>
    <t>ELECTRIC VIBRATOR</t>
  </si>
  <si>
    <t>ENAMEL WHITE PAINT 18 KG</t>
  </si>
  <si>
    <t>EPOXY COATING</t>
  </si>
  <si>
    <t>EPOXY COATING (Volume)</t>
  </si>
  <si>
    <t>EPOXY GROUT</t>
  </si>
  <si>
    <t>Epoxy Grout  - Sikadur  -42 PC 30 KG</t>
  </si>
  <si>
    <t>EPOXY GROUT WEIGHT</t>
  </si>
  <si>
    <t>Extruded polystyrene Board 40 -45kg/m3 density  - 75mm</t>
  </si>
  <si>
    <t>FACE MASK 50 PCS PER PKT</t>
  </si>
  <si>
    <t>FENCE</t>
  </si>
  <si>
    <t>FIBER GLASS MESH (WHITE) (90 X 90)</t>
  </si>
  <si>
    <t>FILLER BOARD</t>
  </si>
  <si>
    <t>FILLING CABINET</t>
  </si>
  <si>
    <t>FILLING SAND</t>
  </si>
  <si>
    <t>FIRE EXTINGUSHERS DCP</t>
  </si>
  <si>
    <t>FIRE EXTINGUSHERS FOAM</t>
  </si>
  <si>
    <t>FIRE SEALANT</t>
  </si>
  <si>
    <t>TUBE</t>
  </si>
  <si>
    <t>PLUG</t>
  </si>
  <si>
    <t>FISHER PLUG 60MM</t>
  </si>
  <si>
    <t>FLASHING</t>
  </si>
  <si>
    <t>FLAT BIT AS PER SAMPLE</t>
  </si>
  <si>
    <t>FLAT TRAILER</t>
  </si>
  <si>
    <t>FLUID VALVE</t>
  </si>
  <si>
    <t>Fosroc nito roof 30 (200LTR/DRUM)</t>
  </si>
  <si>
    <t>G.I ANGLE BEAD</t>
  </si>
  <si>
    <t>G.I BLOCK MESH</t>
  </si>
  <si>
    <t>G.I PLATER STOPPER</t>
  </si>
  <si>
    <t>G.I SHEET</t>
  </si>
  <si>
    <t>GARDEN RACK ( PANJA</t>
  </si>
  <si>
    <t>GARDEN RACK STEEL HANDLE</t>
  </si>
  <si>
    <t>GAS HOSE 5/16X50Y ORANGE ITALY</t>
  </si>
  <si>
    <t>GENERATOR</t>
  </si>
  <si>
    <t>GI CORRUGATED SHEET</t>
  </si>
  <si>
    <t>GI CORRUGATED SHEET 8"X 3"X 34 GAUGE</t>
  </si>
  <si>
    <t>GREEN SHADE NETTING 4M X 25M</t>
  </si>
  <si>
    <t>GUM BOOT 42</t>
  </si>
  <si>
    <t>GUM BOOT 43</t>
  </si>
  <si>
    <t>GUM BOOT 44</t>
  </si>
  <si>
    <t>GUMBOOT SIZE 41</t>
  </si>
  <si>
    <t>GUMBOOT SIZE 42</t>
  </si>
  <si>
    <t>GUMBOOT SIZE 43</t>
  </si>
  <si>
    <t>GUMBOOT SIZE 44</t>
  </si>
  <si>
    <t>GUMBOOT SIZE 45</t>
  </si>
  <si>
    <t>GUN FOR INJECTION MORTAR</t>
  </si>
  <si>
    <t>GUN REPAIR KIT A SIDE CARTRIDGE</t>
  </si>
  <si>
    <t>GUN REPAIR KIT AIR VALVE O -RING</t>
  </si>
  <si>
    <t>GUN REPAIR KIT B SIDE CARTRIDE</t>
  </si>
  <si>
    <t>GURMALA</t>
  </si>
  <si>
    <t>GYPSUM SCREW 1''</t>
  </si>
  <si>
    <t>HACK SAW BLADE</t>
  </si>
  <si>
    <t>HACK SAW FRAME</t>
  </si>
  <si>
    <t>HAND SHOVEL ( SAND WORK</t>
  </si>
  <si>
    <t>HARDWARE AND CONSUMABLE</t>
  </si>
  <si>
    <t>HARDWARE AND CONSUMABLE (Dimension)</t>
  </si>
  <si>
    <t>HARDWARE AND SPARE PART</t>
  </si>
  <si>
    <t>HARDWARE AND SPARE PART (Time)</t>
  </si>
  <si>
    <t>HARDWARE AND SPARE PART-COUPLER LINE,AIR,1/4 NPT</t>
  </si>
  <si>
    <t>HEEL KERB</t>
  </si>
  <si>
    <t>RMT</t>
  </si>
  <si>
    <t>HI RIB LATH SHEET</t>
  </si>
  <si>
    <t>HIRE POWER FLOAT WITH DISC</t>
  </si>
  <si>
    <t>HOLDING TANK 3,000 GALLON</t>
  </si>
  <si>
    <t>HOLDING TANK 5,000 GALLON</t>
  </si>
  <si>
    <t>HONDA GX160 JAPANNES BRAND 5HP 82 KG 940 MM</t>
  </si>
  <si>
    <t>HOSE WITH DOUBLE SIDE CONNECTOR 2 FEET</t>
  </si>
  <si>
    <t>Injection hose  (12LM)</t>
  </si>
  <si>
    <t>INJECTION MORTER</t>
  </si>
  <si>
    <t>INTERLOCK 60MM GREY</t>
  </si>
  <si>
    <t>INTERLOCK 60MM RED</t>
  </si>
  <si>
    <t>INTERLOCK 80MM GREY</t>
  </si>
  <si>
    <t>INTERLOCK 80MM RED</t>
  </si>
  <si>
    <t xml:space="preserve">JK PROFIX WPC11- HIGH FLEXIBLE  TWO COMPONENT ACRYLIC MODIFIED CEMENTITIOUS WATERPROOF COATING  ( 20+10 KG ) 30 KG PER SET BEIGE COLOUR </t>
  </si>
  <si>
    <t>JK PROFIX WPC11- HIGH FLEXIBLE  TWO COMPONENT ACRYLIC MODIFIED CEMENTITIOUS WATERPROOF COATING  ( 20+10 KG ) 30 KG PER SET BEIGE COLOUR</t>
  </si>
  <si>
    <t>KERB STONE</t>
  </si>
  <si>
    <t>LED TUBE ROD COMPLETE SET</t>
  </si>
  <si>
    <t>LIFE LINE ROPE 16MM</t>
  </si>
  <si>
    <t>LOADING PLATFORM</t>
  </si>
  <si>
    <t>LUBRICIANT GREASE(WB)</t>
  </si>
  <si>
    <t>MAGNET</t>
  </si>
  <si>
    <t>MARBLE TILE CUTTER</t>
  </si>
  <si>
    <t>MARINE PLYWOOD 12MM</t>
  </si>
  <si>
    <t>MARINE PLYWOOD 18MM</t>
  </si>
  <si>
    <t>MASON TROWEL 4'' ( KARANDI</t>
  </si>
  <si>
    <t>Master seal 620 (200LTR/DRUM)</t>
  </si>
  <si>
    <t xml:space="preserve">CEMENT BOARD </t>
  </si>
  <si>
    <t>MDF 31 A CEMENT BOARD 4'X8'12 MM</t>
  </si>
  <si>
    <t>MEASURING TAPE 10 MTR</t>
  </si>
  <si>
    <t>MEASURING TAPE 5 MTR STARK</t>
  </si>
  <si>
    <t>MEASURING TAPE 5MTR</t>
  </si>
  <si>
    <t>MESH CUTTING SCISSOR 7''</t>
  </si>
  <si>
    <t>METAL BINDING STRIP MACHINE</t>
  </si>
  <si>
    <t>MIST FAN 26"</t>
  </si>
  <si>
    <t>MIX CHAMBER KIT ROUND PATTERN</t>
  </si>
  <si>
    <t>MIXBUILD MC GREY 25KG/BAG</t>
  </si>
  <si>
    <t>MIXGROUT NS 25KG/BAG</t>
  </si>
  <si>
    <t>MKT VM -P 585 DISPENSER  ( PART NO. 28353201 )</t>
  </si>
  <si>
    <t>MKT VME PLUS 585 INJECTION ADHESIVE ( PART NO . 28258243 )</t>
  </si>
  <si>
    <t>MS60 200CM MEMBRANCE PROTECTION BOARD 6MM</t>
  </si>
  <si>
    <t>BD</t>
  </si>
  <si>
    <t>MULTI -DIRECTIONAL REINJECTIBLE HOSE -AN INTEGRATED INJECTION SYSTEM 100LM/box</t>
  </si>
  <si>
    <t>MULTI FUCTION RAK WITH ATICK GR42A</t>
  </si>
  <si>
    <t>MULTI METER</t>
  </si>
  <si>
    <t>NATURAL AGGREGATE 3/4"</t>
  </si>
  <si>
    <t>NATURAL AGGREGATE 3/8"</t>
  </si>
  <si>
    <t>NE -MA PREASSURE SWITCH 3PH WITH OVERLOAD 10 -16AMP</t>
  </si>
  <si>
    <t>NEOCOAT RBE -4010 (200LTR/DRUM)</t>
  </si>
  <si>
    <t>NEOCOAT RBE -6010  (200LTR/DRUM)</t>
  </si>
  <si>
    <t>NEOFLEX PU 25 LM (POLYURETHENE SEALANT) 600 ML-GREY</t>
  </si>
  <si>
    <t>NEOSULPHIDE SEALANT-GUN GRADE 2.5LTR(PART 4 4KG+PART B 0.250KG)</t>
  </si>
  <si>
    <t xml:space="preserve">NEOTEX SP-ELASTOMERIC ACRYLIC COATING (20KG/PAIL) DARK GREY </t>
  </si>
  <si>
    <t>NEOTEX SP-ELASTOMERIC ACRYLIC COATING (20KG/PAIL) DARK GREY</t>
  </si>
  <si>
    <t>NIKAI NWAC 18031 WINDOW A/C 1.5.TON</t>
  </si>
  <si>
    <t>NIPPLE GRIPPER GOLDEN</t>
  </si>
  <si>
    <t>NITOFLOR COLOR POT LIGHT GREY  (7.09kg)</t>
  </si>
  <si>
    <t>NITOPROOF 230  (200LTR/DRUM)</t>
  </si>
  <si>
    <t>NYLON ROPE 16MM</t>
  </si>
  <si>
    <t>NYLON ROPE 4 MM</t>
  </si>
  <si>
    <t>NYLON ROPE 8 MM</t>
  </si>
  <si>
    <t>NYLON TWINE H/D</t>
  </si>
  <si>
    <t>O -RING</t>
  </si>
  <si>
    <t>OPC CEMENT</t>
  </si>
  <si>
    <t>ORGER BIT AS PER SAMPLE</t>
  </si>
  <si>
    <t>ORING KIT PAKAGE OF 6</t>
  </si>
  <si>
    <t xml:space="preserve">PACKING MACHINE WITH TIGHTNER </t>
  </si>
  <si>
    <t>PACKING MACHINE WITH TIGHTNER</t>
  </si>
  <si>
    <t>PERMANENT MARKER PEN</t>
  </si>
  <si>
    <t>PIGEON BULL HORN BLADE SK5 (10PCS/PKT)</t>
  </si>
  <si>
    <t>PLYWOOD CUTTER</t>
  </si>
  <si>
    <t>POINTED CHISEL 12''</t>
  </si>
  <si>
    <t>POINTED CHISEL 12"</t>
  </si>
  <si>
    <t>POLYFLEECE</t>
  </si>
  <si>
    <t>POLYSEAL 1PU GREY 600ML (20 TUBE X 1 BOX)</t>
  </si>
  <si>
    <t>PORTA CABIN</t>
  </si>
  <si>
    <t>POWER FLOAT</t>
  </si>
  <si>
    <t>POWER FLOAT WITH DISC</t>
  </si>
  <si>
    <t>POWER FLOAT WITH DISC 6 MACHINE</t>
  </si>
  <si>
    <t>POWER PLEX MARINE PLYWOOD (4x8x18 mm 2+2)</t>
  </si>
  <si>
    <t>POWER TROWEL BLADE -910 MM BLUE FINISH MAXIITO</t>
  </si>
  <si>
    <t>POWERTREK GROOVE CUTTER 6'' 220V</t>
  </si>
  <si>
    <t>Proofex Torchseal 4P APP</t>
  </si>
  <si>
    <t>Proofex Torchseal 4S 180 ( -20)</t>
  </si>
  <si>
    <t>Proofex Torchseal 4S 180 ( -5)</t>
  </si>
  <si>
    <t>PROOFEX TORCHSEAL 4S 200 S( -20) (10M X 1M)</t>
  </si>
  <si>
    <t>PROOFEX TORCHSEAL 4S 200  S( -20) (10M X 1M) 1 PELLETE 23 ROLL</t>
  </si>
  <si>
    <t>PROOFEX TORCHSEAL 4S ANTI ROOT (10MX1M)</t>
  </si>
  <si>
    <t>Proofex Torchseal 4S Antiroot</t>
  </si>
  <si>
    <t>PROOFEX TORCHSEAL 4S PLAIN  (1M X 10M)</t>
  </si>
  <si>
    <t>PROOFEX TORCHSEAL 5S PLAIN (1M X 10M)1 PELLETE 23 ROLL</t>
  </si>
  <si>
    <t>PROTECTION BOARD 6MM SIKA P-15</t>
  </si>
  <si>
    <t>PU COATING (Volume)</t>
  </si>
  <si>
    <t>PU- FOAM</t>
  </si>
  <si>
    <t>PU9096 S SHOES HIGH CUT S3</t>
  </si>
  <si>
    <t>PVC TILE EDGE TRIM</t>
  </si>
  <si>
    <t>PVC Water Stop  - IC250</t>
  </si>
  <si>
    <t>PVC Waterstopper  ( Double Face )</t>
  </si>
  <si>
    <t>RED BROOM (HARD BRUSH WITH HANDLE</t>
  </si>
  <si>
    <t>REFILL 9'' (100 PCS) CTN</t>
  </si>
  <si>
    <t>REPAIR KIT SIDE SEAL</t>
  </si>
  <si>
    <t>RHEOBOARD  3.2MM 1X2 MTR</t>
  </si>
  <si>
    <t>RHEOBOARD 6MM</t>
  </si>
  <si>
    <t>RHEOGROUT EP 102 (30KG KIT)</t>
  </si>
  <si>
    <t>RIGHT ANGLE 18'' FOR MASON</t>
  </si>
  <si>
    <t>RIGHT ANGLE 24"</t>
  </si>
  <si>
    <t>RIGHT ANGLE SMALL SIZE FOR CARPENTER</t>
  </si>
  <si>
    <t>ROAD BASE</t>
  </si>
  <si>
    <t>ROCKET THINNER 2.5 LITR</t>
  </si>
  <si>
    <t>RR FLEXIBLE WIRE 3CX2.5MM</t>
  </si>
  <si>
    <t>RUBBER CORNER GUARD</t>
  </si>
  <si>
    <t>RUBBER GLOVES</t>
  </si>
  <si>
    <t>RUBBER WALL GUARD</t>
  </si>
  <si>
    <t>RUSH MACHINE</t>
  </si>
  <si>
    <t>S.S ANGLE BEAD</t>
  </si>
  <si>
    <t>S.S BLOCK MESH</t>
  </si>
  <si>
    <t>S.S PLATER STOPPER</t>
  </si>
  <si>
    <t>SAFETY BATTEN LIGHT WITH CHARGER RED &amp; GREEN</t>
  </si>
  <si>
    <t>SAFETY JACKET L/XL/XXL</t>
  </si>
  <si>
    <t>SAFETY ROAD WARNING LIGHT</t>
  </si>
  <si>
    <t>SAFETY ROAD WARNINGL IGHT YELLOW</t>
  </si>
  <si>
    <t>SAFETY STRIP FOR HELMET</t>
  </si>
  <si>
    <t xml:space="preserve">SCAFFOLDING WHEEL </t>
  </si>
  <si>
    <t>SCRAPER 2''</t>
  </si>
  <si>
    <t>SCRAPER 3''</t>
  </si>
  <si>
    <t>SCRAPPER</t>
  </si>
  <si>
    <t>SCRAPPER 3</t>
  </si>
  <si>
    <t>SCREED</t>
  </si>
  <si>
    <t>SCREW DRIVER 10 FLAT</t>
  </si>
  <si>
    <t>SCREW DRIVER 10'' STAR</t>
  </si>
  <si>
    <t>SCREW SELF TAPING 10" X 2" 200 NOS / PKT</t>
  </si>
  <si>
    <t>SDS MAX FLAT CHISEL 600 MM ( HILTI BIT</t>
  </si>
  <si>
    <t>SDS PLUS CONCRETE DRILL BIT 16MM</t>
  </si>
  <si>
    <t>SEAL ORING PACK OF 6</t>
  </si>
  <si>
    <t>SEWRAGE TANKER 2,000 GALLONS</t>
  </si>
  <si>
    <t>SEWRAGE TANKER 5,000 GALLONS</t>
  </si>
  <si>
    <t>SIDE SEAL ORING</t>
  </si>
  <si>
    <t>Sika Bitumen AE  (200LTR/DRUM)</t>
  </si>
  <si>
    <t>SIKA SHIELD E35 PE SA 4MM ROLL 1MX10M</t>
  </si>
  <si>
    <t>SIKA SHIELD P26 MG SA 4MM ROLL 1MX10M</t>
  </si>
  <si>
    <t>Sikabit PB P15 PE  (6mm)</t>
  </si>
  <si>
    <t>SikaBit Protection Sheet  (3mm)</t>
  </si>
  <si>
    <t>SikaBit Protection Sheet 4 SA</t>
  </si>
  <si>
    <t>SIKACRETE 114 PC  40 KG BAG</t>
  </si>
  <si>
    <t>SIKAFLEX-428 PRECAST CONCRETE GREY</t>
  </si>
  <si>
    <t>SIKALASTIC 311 (AE)</t>
  </si>
  <si>
    <t>SikaWaterstop G (EC -25) (15m)</t>
  </si>
  <si>
    <t>SikaWaterstop G (IC -25) (15m)</t>
  </si>
  <si>
    <t>SLEDGE HAMMER 1 KG</t>
  </si>
  <si>
    <t>SLEDGE HAMMER MEDIUM</t>
  </si>
  <si>
    <t>SMDB AS PER DETAIL</t>
  </si>
  <si>
    <t>SOCKET PANEL 20A 05 BREAKER ISOLATOR ( ELCB ) 16A 3 PIN SOCKET</t>
  </si>
  <si>
    <t>SOCKET PANEL AS PER QTN 2715</t>
  </si>
  <si>
    <t>SOFA</t>
  </si>
  <si>
    <t>SOPRABOARD SF (3.0MM)</t>
  </si>
  <si>
    <t>SOPRABOARD SF 3MM</t>
  </si>
  <si>
    <t>SOPRADERE HT</t>
  </si>
  <si>
    <t>SOPRAJOINT HP</t>
  </si>
  <si>
    <t xml:space="preserve">SOPRAJOINT RIH </t>
  </si>
  <si>
    <t>SOPRAJOINT RIH</t>
  </si>
  <si>
    <t>SOPRALENE FLAM  180 5P20</t>
  </si>
  <si>
    <t xml:space="preserve">SOPRAMASTIC LM </t>
  </si>
  <si>
    <t>SOPRAMASTIC LM</t>
  </si>
  <si>
    <t>SPARK PLUG -BP6ES(93769)</t>
  </si>
  <si>
    <t xml:space="preserve">SPILL KIT 5 GLN </t>
  </si>
  <si>
    <t>SPIRIT LEVEL 1.00 MTR</t>
  </si>
  <si>
    <t>SPIRIT LEVEL 90 CM</t>
  </si>
  <si>
    <t>SPLIT A.C</t>
  </si>
  <si>
    <t>SPLIT AC</t>
  </si>
  <si>
    <t>SPRAY PAINT RED</t>
  </si>
  <si>
    <t>SPRAY PAINT YELLOW</t>
  </si>
  <si>
    <t>STAR SEAL PU -600(POLYURETHANE) GREY (20 TUNE X 1 BOX)</t>
  </si>
  <si>
    <t>Starproof PUD -337 (20 KG)</t>
  </si>
  <si>
    <t>STATIONERY</t>
  </si>
  <si>
    <t>CTN / BOX / NOS</t>
  </si>
  <si>
    <t>STEEL CUTTING BLADE 7''</t>
  </si>
  <si>
    <t>STEEL WIRE BRUSH 3''</t>
  </si>
  <si>
    <t>STICKER</t>
  </si>
  <si>
    <t>SUPER GENERAL A/C SPLIT 249 MOODEL</t>
  </si>
  <si>
    <t>Supercast EPT  20 KG BAG</t>
  </si>
  <si>
    <t>Supercast Injectoseal  (100m)</t>
  </si>
  <si>
    <t>Supercast PC 20 KG BAG</t>
  </si>
  <si>
    <t>Supercast Watafoil 250 (12M)</t>
  </si>
  <si>
    <t>TENK NIPAL</t>
  </si>
  <si>
    <t>THEODOSTATION</t>
  </si>
  <si>
    <t>THREADED ANCHOR BOLT 14MM X 85 CM</t>
  </si>
  <si>
    <t>THURMAS 20 LTR VAULTEX</t>
  </si>
  <si>
    <t>TILE ADHESIVE</t>
  </si>
  <si>
    <t>TILE GROUT</t>
  </si>
  <si>
    <t>TIPPER TRUCK 20 CUM</t>
  </si>
  <si>
    <t>TIPPER TRUCK 35 CUM</t>
  </si>
  <si>
    <t>TOOLS</t>
  </si>
  <si>
    <t>TOOLS (Time)</t>
  </si>
  <si>
    <t>TOOLS-DEWALT ANGLE GRINDER 7'' 220V</t>
  </si>
  <si>
    <t>TRAFFICGUARD INTERMEDIATE LIGHT GREY (18L) (18L)</t>
  </si>
  <si>
    <t>UKEN UTILITY KNIFE</t>
  </si>
  <si>
    <t>UKEN UTILITY KNIFE U6203</t>
  </si>
  <si>
    <t>Ultralock PTC (20LTR)</t>
  </si>
  <si>
    <t>USED HP 850 G4 CORE I5 7TH GEN 8GB 256GB</t>
  </si>
  <si>
    <t>USED HP ZBOOK 15U G5 I5 8TH GEN 16GB 512 GB 4GB VGA</t>
  </si>
  <si>
    <t>UTILITY KNIFE</t>
  </si>
  <si>
    <t>VAULTEX GUM BOOT WITH STEEL TOE 43</t>
  </si>
  <si>
    <t>WATER BOTTLE 1250 ML</t>
  </si>
  <si>
    <t>WATER PUMP</t>
  </si>
  <si>
    <t>WATER STOPER</t>
  </si>
  <si>
    <t>WATER TANK 1000 GALLONS</t>
  </si>
  <si>
    <t>WATER TANK 2000 GALLONS</t>
  </si>
  <si>
    <t>WATER TANK 500 GALLONS</t>
  </si>
  <si>
    <t>WATER TANK 5000 GALLONS</t>
  </si>
  <si>
    <t>Waterfoil 250mm (12m)</t>
  </si>
  <si>
    <t>WEBER JOINTSEAL PU 300 WHITE  (PC) (20 TUBE X 1 BOX)</t>
  </si>
  <si>
    <t>Weber RBE (200LTR/DRUM)</t>
  </si>
  <si>
    <t>WEBERDRY 116 FX GREY  KIT (18KG)</t>
  </si>
  <si>
    <t>WEBERDRY 116 FX SP  GREY  KIT (22.5 KG)</t>
  </si>
  <si>
    <t>WEBERDRY 116 FX SP  WHITE  KIT (22.5 KG)</t>
  </si>
  <si>
    <t>WEBERDRY 116 FX WHITE  KIT (18 KG)</t>
  </si>
  <si>
    <t>WEBERDRY 136 FX GREY KIT (22.5KG)</t>
  </si>
  <si>
    <t>WEBERSEAL PS  1000 GG/PG 4 Ltr / PACK</t>
  </si>
  <si>
    <t>WELDING APRON</t>
  </si>
  <si>
    <t>WHEEL STOPPER</t>
  </si>
  <si>
    <t>WHITE WOOD 1" X 4" X 13'</t>
  </si>
  <si>
    <t>WHITE WOOD 3" X 3" X 13'</t>
  </si>
  <si>
    <t>WINDOW A.C</t>
  </si>
  <si>
    <t>WINDOW AC</t>
  </si>
  <si>
    <t>WIRE CUTTER KNIPEX JAPAN</t>
  </si>
  <si>
    <t>WIRE NAILS 1 '' 5 KG CTN</t>
  </si>
  <si>
    <t>WIRE NAILS 1.5"</t>
  </si>
  <si>
    <t>WRENCH SPANNER 40MM</t>
  </si>
  <si>
    <t>3.2mm Protection board</t>
  </si>
  <si>
    <t>3mm protection board</t>
  </si>
  <si>
    <t>4mm Protection board</t>
  </si>
  <si>
    <t>6mm Protection Board</t>
  </si>
  <si>
    <t>DUBOARD 3MM PROTECTION BOARD</t>
  </si>
  <si>
    <t>Duboard 3mm Protection Board</t>
  </si>
  <si>
    <t>Duboard 4mm Protection Board</t>
  </si>
  <si>
    <t>Duboard 6mm Protection Board</t>
  </si>
  <si>
    <t>FILLER BOARD 10MM THICK WITH 7CM CUTTING PCS</t>
  </si>
  <si>
    <t>MS 30 3mm Protection Board  (1x2m)</t>
  </si>
  <si>
    <t>MS 60 6mm Protection Board (1x2m)</t>
  </si>
  <si>
    <t>MS40 200CM MEMBRANE PROTECTION BOARD 4MM 4MM ROLL 1MX10M</t>
  </si>
  <si>
    <t>NEOBOARD BITUMENIOUS PROTECTION BOARD  6MM (1X2MTR)</t>
  </si>
  <si>
    <t xml:space="preserve"> PROBOARD BITUMINIOUS PROTECTION BOARD  6MM   </t>
  </si>
  <si>
    <t>PROBOARD BITUMINIOUS PROTECTION BOARD  6MM</t>
  </si>
  <si>
    <t>PROTECTION BOARD  (3.2mmx2mx1m)</t>
  </si>
  <si>
    <t>PROTECTION BOARD  (4mmx2mx1m)</t>
  </si>
  <si>
    <t>PROTECTION BOARD  (6MMX2MX1M) SHEET</t>
  </si>
  <si>
    <t>Self Adhesvi 3.2mm Protection Board</t>
  </si>
  <si>
    <t>SIKASHIELD PB P15 PE 6MM BOARD (1X2Sqm sheet)</t>
  </si>
  <si>
    <t>SIKASHIELD PB P15 PE SA 3MM BOARD (1M X 2M THICKNESS 3MM)</t>
  </si>
  <si>
    <t xml:space="preserve">SOPRABOARD SF 3.2MM </t>
  </si>
  <si>
    <t>SOPRABOARD SF 3.2MM</t>
  </si>
  <si>
    <t>SOPRABOARD SF 3MM SIZE  (1M  X 2M )</t>
  </si>
  <si>
    <t>SOPRABOARD SF 6MM ( 2M X  1M )</t>
  </si>
  <si>
    <t xml:space="preserve">AWAZEL PU 670 20 LTR PAIL </t>
  </si>
  <si>
    <t>AWAZEL PU 670 20 LTR PAIL</t>
  </si>
  <si>
    <t>BETOCOAT RBE 10  ( 200 LTR DRUM )</t>
  </si>
  <si>
    <t>CRESTHANE PU 100(20KG PAIL-GREY)</t>
  </si>
  <si>
    <t>NEOSEAL PUD 560 (20KG/PAIL) WHITE</t>
  </si>
  <si>
    <t>NEOSEAL WP 509 -BLACK 24 LTR</t>
  </si>
  <si>
    <t>NEOTEX SP-ELASTOMERIC ACRYLIC COATING (20KG/PAIL) LIGHT GREY</t>
  </si>
  <si>
    <t>NEOTEX SP-ELASTOMERIC ACRYLIC COATING (20KG/PAIL) WHITE</t>
  </si>
  <si>
    <t>POLYCRYL PF 25KG</t>
  </si>
  <si>
    <t>POLYTHANE P ( 20 LTR PAIL )</t>
  </si>
  <si>
    <t xml:space="preserve">POLYTHENE P 20 KG PAIL GREY COLOUR </t>
  </si>
  <si>
    <t>POLYTHENE P 20 KG PAIL -GREY COLOUR</t>
  </si>
  <si>
    <t>ASMACO PUF 4040 (220KG) DRUM</t>
  </si>
  <si>
    <t>ASMACO PUF MDI (250KG) DRUM</t>
  </si>
  <si>
    <t>AWAZEL PU 111 ISOCYNATE (250KG) DRUM</t>
  </si>
  <si>
    <t>AWAZEL PU 4040 POLYOL (220KG) DRUM</t>
  </si>
  <si>
    <t>AWAZEL PU 4045 POLYOL (220KG) DRUM</t>
  </si>
  <si>
    <t>AWAZEL PU 4048 POLYOL (220KG) DRUM</t>
  </si>
  <si>
    <t>BETOFLEX PU-ISO BETOL 250 KG</t>
  </si>
  <si>
    <t>BETOFLEX PU-POLY BETOL 220 KG</t>
  </si>
  <si>
    <t>BETOFLEX PU-PPLY BETOL 220 KG</t>
  </si>
  <si>
    <t>CRESFOAM MDI (250KG) DRUM</t>
  </si>
  <si>
    <t>CRESFOAM SF-45 (220KG) DRUM</t>
  </si>
  <si>
    <t>DALTAFOAM TS (220KG) DRUM</t>
  </si>
  <si>
    <t>HUNTSMAN 200 (250KG) DRUM</t>
  </si>
  <si>
    <t>HUNTSMAN SP 40 (220KG) DRUM</t>
  </si>
  <si>
    <t>HUNTSMAN SP 45 (220KG) DRUM</t>
  </si>
  <si>
    <t>JK PROFIX PU MDI-B (250KG/DRUM)</t>
  </si>
  <si>
    <t>JK PROFIX PU SPRAY 45-A (220KG/DRUM)</t>
  </si>
  <si>
    <t>NEONATE MDI (250KG) DRUM</t>
  </si>
  <si>
    <t>NEOPOL SRS 40 (220KG) DRUM</t>
  </si>
  <si>
    <t>NEOPOL SRS 45  (220KG) DRUM</t>
  </si>
  <si>
    <t xml:space="preserve">POLYFOAM MDI PART B 250 KG </t>
  </si>
  <si>
    <t>POLYFOAM MDI PART B 250 KG</t>
  </si>
  <si>
    <t xml:space="preserve">POLYFOAM SS45 PART A 220 KG </t>
  </si>
  <si>
    <t>POLYFOAM SS45 PART A 220 KG</t>
  </si>
  <si>
    <t>WEBERDRY SPF 45B -PART A (250KG) DRUM</t>
  </si>
  <si>
    <t>WEBERDRY SPF 45B -PART B (220KG) DRUM</t>
  </si>
  <si>
    <t>WEBERDRY SPF 45W -PART A (250KG) DRUM</t>
  </si>
  <si>
    <t>WEBERDRY SPF 45W -PART B (220KG) DRUM</t>
  </si>
  <si>
    <t>XPROOF SINGLE COMP  4KG CAN PU</t>
  </si>
  <si>
    <t>XPROOF SINGLE COMP RESIN  4LTR CAN LV</t>
  </si>
  <si>
    <t>Raw Material</t>
  </si>
  <si>
    <t>RUBBER BITUMEIN</t>
  </si>
  <si>
    <t xml:space="preserve">WEBER SEAL MASTIC  20 LTR </t>
  </si>
  <si>
    <t>WEBER SEAL MASTIC  20 LTR</t>
  </si>
  <si>
    <t>TIN</t>
  </si>
  <si>
    <t>SAFETY  ITEMS</t>
  </si>
  <si>
    <t xml:space="preserve">DEEP TRAY ( DRUM TRAY ) </t>
  </si>
  <si>
    <t>DEEP TRAY ( DRUM TRAY )</t>
  </si>
  <si>
    <t xml:space="preserve">DOUBLE SIDE TAPE </t>
  </si>
  <si>
    <t xml:space="preserve">GREEN SHADE NET 4M X  50 MTR </t>
  </si>
  <si>
    <t>Quotation BOQ</t>
  </si>
  <si>
    <t>QUOTATION-BOQ</t>
  </si>
  <si>
    <t xml:space="preserve">SAFETY HARNESS </t>
  </si>
  <si>
    <t>SAFETY HARNESS</t>
  </si>
  <si>
    <t xml:space="preserve">SMOKE DETECTOR </t>
  </si>
  <si>
    <t>SAFETY ITEMS</t>
  </si>
  <si>
    <t>DUST BIN BLUE COLOR  BIG - 120LTR</t>
  </si>
  <si>
    <t>DUST BIN BLUE COLOR  MEDIUM - 80LTR</t>
  </si>
  <si>
    <t>DUST BIN GREEN COLOR  BIG - 120LTR</t>
  </si>
  <si>
    <t>DUST BIN GREEN COLOR  MEDIUM - 80LTR</t>
  </si>
  <si>
    <t>DUST BIN RED COLOR  BIG - 120LTR</t>
  </si>
  <si>
    <t>DUST BIN RED COLOR  MEDIUM - 80LTR</t>
  </si>
  <si>
    <t>FASH LIGHT WITH SOLAR</t>
  </si>
  <si>
    <t>FIRE EXTINGUISHER CO 2 5KG</t>
  </si>
  <si>
    <t xml:space="preserve">HAND GLOVES ( CLEANING) PLR 16" </t>
  </si>
  <si>
    <t xml:space="preserve">SAFETY CONES </t>
  </si>
  <si>
    <t>WATER COOLER 36 MTR MILTON</t>
  </si>
  <si>
    <t xml:space="preserve">AWAZEL PU FLEX </t>
  </si>
  <si>
    <t>AWAZEL PU FLEX</t>
  </si>
  <si>
    <t xml:space="preserve">DUMASTIC 20 KG </t>
  </si>
  <si>
    <t>DUMASTIC 20 KG</t>
  </si>
  <si>
    <t xml:space="preserve">DUMASTIC 20 KG PAIL </t>
  </si>
  <si>
    <t>DUMASTIC 20 KG PAIL</t>
  </si>
  <si>
    <t>NEOSULPHIDE SEALANT-PG (4LTR/PACK) PART A+PART B</t>
  </si>
  <si>
    <t>RHEO MASTIC SEALANT 20KG PER PAIL</t>
  </si>
  <si>
    <t>SOPRAMASTIC LM 20 LTR PAIL</t>
  </si>
  <si>
    <t>SUPPLY AND APPLY FIRE STOPPING MATERIAL</t>
  </si>
  <si>
    <t>WEBER JOINTSEAL PU 300 GREY (PC) (20 TUBE X 1 BOX)</t>
  </si>
  <si>
    <t>Services</t>
  </si>
  <si>
    <t>0.30m high</t>
  </si>
  <si>
    <t>Meter</t>
  </si>
  <si>
    <t>1 BHK flat</t>
  </si>
  <si>
    <t>1 layer of 4mm thick Mineral Membrane to skirting 200mm including Aluminum flashing and PU sealant</t>
  </si>
  <si>
    <t>1.20m high</t>
  </si>
  <si>
    <t>1000mm dia piles head treatment</t>
  </si>
  <si>
    <t>10th Installment</t>
  </si>
  <si>
    <t>11th Installment</t>
  </si>
  <si>
    <t>120GSM Geo-textile layer</t>
  </si>
  <si>
    <t>120mm Thick Extruded Polystyrene Insulation Boards</t>
  </si>
  <si>
    <t>12th Installment</t>
  </si>
  <si>
    <t>1mm thick aluminum Flashing</t>
  </si>
  <si>
    <t>1st Floor, 2nd Floor, 3rd Floor, 4th Floor &amp; Roof Floor</t>
  </si>
  <si>
    <t>1st Instalment</t>
  </si>
  <si>
    <t>2 BHK</t>
  </si>
  <si>
    <t>2 BHK flats</t>
  </si>
  <si>
    <t>2 Coats of Cementitious Coating</t>
  </si>
  <si>
    <t>2 layer 4mm Membrane</t>
  </si>
  <si>
    <t>2 Layer 4mm SBS torch applied membrane To Grade beam; horizontally</t>
  </si>
  <si>
    <t>2 Layer 4mm SBS torch applied membrane To Grade beam; Vertically</t>
  </si>
  <si>
    <t>2 Layer 4mm SBS torch applied membrane To Pilecap; Horizontally</t>
  </si>
  <si>
    <t>2 Layer 4mm SBS torch applied membrane To Pilecap; Vertically</t>
  </si>
  <si>
    <t>2 Layer 5mm SBS torch applied membrane To side of column Vertically</t>
  </si>
  <si>
    <t>2 Layer 5mm SBS torch applied membrane To side of core wall and water tank Vertically</t>
  </si>
  <si>
    <t>2 Layer 5mm SBS torch applied membrane To side of grade slab Vertically</t>
  </si>
  <si>
    <t>2 Layer 5mm SBS torch applied membrane To side of tie beams Vertically</t>
  </si>
  <si>
    <t>2 Layer 5mm SBS torch applied membrane To top of pile caps horizontally</t>
  </si>
  <si>
    <t>2 Layer 5mm SBS torch applied membrane To top tie beams horizontally</t>
  </si>
  <si>
    <t>2 Layer 5mm SBS torch applied membrane To under pile caps horizontally</t>
  </si>
  <si>
    <t>2 Layer 5mm SBS torch applied membrane To under pile caps Vertically</t>
  </si>
  <si>
    <t>2 Layer 5mm SBS torch applied membrane To under solid block Vertically</t>
  </si>
  <si>
    <t>2 Layer 5mm SBS torch applied membrane To under solid block walls and MEP pit horizontally</t>
  </si>
  <si>
    <t>2 Layer 5mm SBS torch applied membrane To under solid block walls at foundation level horizontally</t>
  </si>
  <si>
    <t>2 Layer 5mm SBS torch applied membrane To under tie beams horizontally</t>
  </si>
  <si>
    <t>2.40m high</t>
  </si>
  <si>
    <t>250mm wide PVC water stopper with continuous 4 bulbs not less than 25mm overall height</t>
  </si>
  <si>
    <t>2mm thk Hybrid polyurea including primer and minor surface preparation - Sikalastic 859R ME BY SIKA</t>
  </si>
  <si>
    <t>2nd Installment</t>
  </si>
  <si>
    <t>3 BHK Flats</t>
  </si>
  <si>
    <t>3mm thick protection board at horizontal &amp; vertical</t>
  </si>
  <si>
    <t>3mm thick protection board at horizontal &amp; vertical.</t>
  </si>
  <si>
    <t>3mm thk Protection board To External RC wall; Vertically</t>
  </si>
  <si>
    <t>3rd Installment</t>
  </si>
  <si>
    <t>4 BHK Flats</t>
  </si>
  <si>
    <t>4mm APP modified bitumen reinforced roofing membrane -270g/m2</t>
  </si>
  <si>
    <t>4mm thick Mineral membrane, Aluminium flashing and Mastic Sealant to vertical skirting</t>
  </si>
  <si>
    <t>4th Installment</t>
  </si>
  <si>
    <t>5th Installment</t>
  </si>
  <si>
    <t>6mm thk Protection board To Column Pedestal; Vertically</t>
  </si>
  <si>
    <t>6mm thk Protection board To Footing; horizontally</t>
  </si>
  <si>
    <t>6mm thk Protection board To Footing; Vertically</t>
  </si>
  <si>
    <t>6mm thk Protection board To Grade beam; horizontally</t>
  </si>
  <si>
    <t>6mm thk Protection board To Grade beam; Vertically</t>
  </si>
  <si>
    <t>6mm thk Protection board To Pilecap; Horizontally</t>
  </si>
  <si>
    <t>6mm thk Protection board To Pilecap; Vertically</t>
  </si>
  <si>
    <t>6th Installment</t>
  </si>
  <si>
    <t>70mm Thick Extruded Polystyrene Insulation Boards</t>
  </si>
  <si>
    <t>7th Installment</t>
  </si>
  <si>
    <t>800mm dia piles head treatment</t>
  </si>
  <si>
    <t>8th Installment</t>
  </si>
  <si>
    <t>9th Installment</t>
  </si>
  <si>
    <t xml:space="preserve">AC SERVICING FOR VEHICLE </t>
  </si>
  <si>
    <t>AC SERVICING FOR VEHICLE</t>
  </si>
  <si>
    <t>ACC BLOCK AND THERNAL BLOCK WORK</t>
  </si>
  <si>
    <t>ACRYLIC, Transportation &amp; Installation</t>
  </si>
  <si>
    <t>Percent</t>
  </si>
  <si>
    <t>ADMINISTRATOR FEE</t>
  </si>
  <si>
    <t>Advance</t>
  </si>
  <si>
    <t>Advance Deduction</t>
  </si>
  <si>
    <t>ADVANCE-DEDUCTION</t>
  </si>
  <si>
    <t>Advance Release</t>
  </si>
  <si>
    <t>ADVANCE-RELEASE</t>
  </si>
  <si>
    <t>AIR BLOWER REPAIRING</t>
  </si>
  <si>
    <t>Aluminium &amp; metal work</t>
  </si>
  <si>
    <t>Aluminium &amp; Metal Works</t>
  </si>
  <si>
    <t>Aluminium and Metal works</t>
  </si>
  <si>
    <t>Aluminum Flashing and Sealant</t>
  </si>
  <si>
    <t>Angle Fillet</t>
  </si>
  <si>
    <t xml:space="preserve">ANGLE FILLET WITH MESH </t>
  </si>
  <si>
    <t>ANGLE FILLET WITH MESH</t>
  </si>
  <si>
    <t>ANTI CARBONATE PARKING</t>
  </si>
  <si>
    <t>ANTI FUNGLE</t>
  </si>
  <si>
    <t>Application of 1 layer SBS membrane</t>
  </si>
  <si>
    <t>Application of 100mm thick Extruded polysterene insulation board</t>
  </si>
  <si>
    <t>Application of 100mm thick Extruded polystyrene insulation board</t>
  </si>
  <si>
    <t>Application of 3.2mm pro</t>
  </si>
  <si>
    <t>Application of 3.2mm protection board</t>
  </si>
  <si>
    <t>Application of 50 mm thick Extruded polystyrene insulation board density 32-35 kg/m3 on slab - Exofoam</t>
  </si>
  <si>
    <t>Application of 50mm protection screed</t>
  </si>
  <si>
    <t>Application of 6mm Protection Board</t>
  </si>
  <si>
    <t>Application of 75 mm thick Extruded polystyrene insulation board density 32-35 kg/m3 on slab - Expofoam</t>
  </si>
  <si>
    <t>Application of Bituminous Primer</t>
  </si>
  <si>
    <t>Application of grove cutting and sealant</t>
  </si>
  <si>
    <t>Application of one layers of 5mm thick SBS membrane</t>
  </si>
  <si>
    <t>Application of Screed</t>
  </si>
  <si>
    <t xml:space="preserve">Application of Single coat Of Primer Villa No:1853,1915 </t>
  </si>
  <si>
    <t>Application of Single coat Of Primer Villa No:1853,1915</t>
  </si>
  <si>
    <t>Application of Single Layer SBS Membrane Villa No.1852,1853,1915,1919,2383,2385</t>
  </si>
  <si>
    <t>Application of Sloping</t>
  </si>
  <si>
    <t>Application of two coats of coating</t>
  </si>
  <si>
    <t>Application of Two layers of 5mm thick SBS membrane</t>
  </si>
  <si>
    <t>Apply of 100mm extruded Insulation board-Expofoam</t>
  </si>
  <si>
    <t>Apply of angle fillet (material by MC )</t>
  </si>
  <si>
    <t>Approved waterproofing To water, pool &amp; irrigation tank and pump room; horizontally</t>
  </si>
  <si>
    <t>Approved waterproofing To water, pool &amp; irrigation tank and pump room; Vertically</t>
  </si>
  <si>
    <t xml:space="preserve">BACK FILLING SAND </t>
  </si>
  <si>
    <t>BACK FILLING SAND SERVICE</t>
  </si>
  <si>
    <t>Balance Payment for the Roof Waterproofing Works</t>
  </si>
  <si>
    <t>BIG GRINDER</t>
  </si>
  <si>
    <t>BIOS UPDATE</t>
  </si>
  <si>
    <t xml:space="preserve">BLEEDING OF FRESH CONCRETE </t>
  </si>
  <si>
    <t>Block Work-HOLLOW</t>
  </si>
  <si>
    <t>Block Work</t>
  </si>
  <si>
    <t>Block Works</t>
  </si>
  <si>
    <t xml:space="preserve">BOOKEEEPING SERVICES </t>
  </si>
  <si>
    <t>BOOKEEEPING SERVICES</t>
  </si>
  <si>
    <t>Combo roof Waterproofing System</t>
  </si>
  <si>
    <t>BOQ-COMBO-ROOF-WATERPROOFING-SYSTE</t>
  </si>
  <si>
    <t>Combo Roofing System</t>
  </si>
  <si>
    <t>BOQ-COMBO-ROOFING-SYSTEM</t>
  </si>
  <si>
    <t>Combo Roofing System to Roof &amp; Roof Terrace</t>
  </si>
  <si>
    <t>BOQ-COMBO-ROOFING-SYSTEM-TO-ROOF-</t>
  </si>
  <si>
    <t>Green Roofing System</t>
  </si>
  <si>
    <t>BOQ-GREEN-ROOFING-SYSTEM</t>
  </si>
  <si>
    <t>Roof Combo System with Cementitious Coating</t>
  </si>
  <si>
    <t>BOQ-ROOF-COMBO-SYSTEM-WITH-CEMENTI</t>
  </si>
  <si>
    <t>Roof Combo System with polyurethane Coating</t>
  </si>
  <si>
    <t>BOQ-ROOF-COMBO-SYSTEM-WITH-POLYURE</t>
  </si>
  <si>
    <t>Roof Combo Waterproofing System</t>
  </si>
  <si>
    <t>BOQ-ROOF-COMBO-WATERPROOFING-SYSTE</t>
  </si>
  <si>
    <t>Skirting 200mm</t>
  </si>
  <si>
    <t>BOQ-SKIRTING-200MM</t>
  </si>
  <si>
    <t>Skirting 200mm High</t>
  </si>
  <si>
    <t>BOQ-SKIRTING-200MM-HIGH</t>
  </si>
  <si>
    <t>Supply and Apply 1 coat of primer</t>
  </si>
  <si>
    <t>BOQ-SUPPLY-AND-APPLY-1-COAT-OF-PRI</t>
  </si>
  <si>
    <t>Supply and apply 1 layer 4mm thick SBS membrane 180g/m2 and 1 layer of Antiroot membrane 180g/m2 To horizontal</t>
  </si>
  <si>
    <t>BOQ-SUPPLY-AND-APPLY-1-LAYER-4MM-T</t>
  </si>
  <si>
    <t>Supply and apply 1 layer of 4mm thick SBS membrane Horizontal to pump room, first floor &amp; Terrace</t>
  </si>
  <si>
    <t>BOQ-SUPPLY-AND-APPLY-1-LAYER-OF-4M</t>
  </si>
  <si>
    <t>Supply and Apply 1 layer of geotextile 120GSM</t>
  </si>
  <si>
    <t>BOQ-SUPPLY-AND-APPLY-1-LAYER-OF-GE</t>
  </si>
  <si>
    <t>Supply and Apply 100mm thick polystyrene extruded board</t>
  </si>
  <si>
    <t>BOQ-SUPPLY-AND-APPLY-100MM-THICK-P</t>
  </si>
  <si>
    <t>Supply and Apply 1mm thick 75mm aluminum flashing only</t>
  </si>
  <si>
    <t>BOQ-SUPPLY-AND-APPLY-1MM-THICK-75M</t>
  </si>
  <si>
    <t>Supply and apply 2 coats of acrylic cementitious coating</t>
  </si>
  <si>
    <t>BOQ-SUPPLY-AND-APPLY-2-COATS-OF-AC</t>
  </si>
  <si>
    <t>Supply and Apply 2 Coats of Cementitious coating with angle fillet</t>
  </si>
  <si>
    <t>BOQ-SUPPLY-AND-APPLY-2-COATS-OF-CE</t>
  </si>
  <si>
    <t>Supply and Apply 2 Coats of Rubberized Cementitious coating to Horizontal</t>
  </si>
  <si>
    <t>BOQ-SUPPLY-AND-APPLY-2-COATS-OF-RU</t>
  </si>
  <si>
    <t>Supply and apply 2 layers of 4mm thick SBS modified membrane 180g/m2 to horizontal</t>
  </si>
  <si>
    <t>BOQ-SUPPLY-AND-APPLY-2-LAYERS-OF-4</t>
  </si>
  <si>
    <t>Supply and apply 4mm thick protection board</t>
  </si>
  <si>
    <t>BOQ-SUPPLY-AND-APPLY-4MM-THICK-PRO</t>
  </si>
  <si>
    <t>Supply and Apply 50mm protection screed to horizontal of Under Ground Water Tank &amp; Pump Rooms</t>
  </si>
  <si>
    <t>BOQ-SUPPLY-AND-APPLY-50MM-PROTECTI</t>
  </si>
  <si>
    <t>Supply and Apply 6mm protection board to vertical Under Ground Water Tank &amp; Pump Rooms</t>
  </si>
  <si>
    <t>BOQ-SUPPLY-AND-APPLY-6MM-PROTECTIO</t>
  </si>
  <si>
    <t>Supply &amp; apply of 4mm GRP lining in internal surface of water tanks including Gel Coat</t>
  </si>
  <si>
    <t>BOQ-SUPPLY-APPLY-OF-4MM-GRP-LINI</t>
  </si>
  <si>
    <t>Thermal Insulation above the Metal roof structure to service block 70mm Spray Polyurethane Foam</t>
  </si>
  <si>
    <t>BOQ-THERMAL-INSULATION-ABOVE-THE-M</t>
  </si>
  <si>
    <t>Waterproofing Roofing upstand (to the WP to Metal roofing) (up to 300mm) Including flashing and sealant</t>
  </si>
  <si>
    <t>BOQ-WATERPROOFING-ROOFING-UPSTAND</t>
  </si>
  <si>
    <t>Bounded Waterproofing Membrane</t>
  </si>
  <si>
    <t>Carpentry &amp; Joinery Work</t>
  </si>
  <si>
    <t>Carpentry and Joinery</t>
  </si>
  <si>
    <t xml:space="preserve">CBR TEST </t>
  </si>
  <si>
    <t>Cementitious Waterproofing Horizontal and Vertical (1200mm to 1800mm)</t>
  </si>
  <si>
    <t>Cementitious Waterproofing Skirting (300mm)</t>
  </si>
  <si>
    <t xml:space="preserve">CHLORIDE CONTENT </t>
  </si>
  <si>
    <t>Civil Repair of Drain A &amp; B</t>
  </si>
  <si>
    <t>Civil Repair of Foundations A &amp; B</t>
  </si>
  <si>
    <t xml:space="preserve">CLAY LUMPS AND FRIABLE PARTICLES </t>
  </si>
  <si>
    <t>COASTER CHARGES</t>
  </si>
  <si>
    <t>Coating for Balcony to horizontally</t>
  </si>
  <si>
    <t>Coating for Balcony to vertically</t>
  </si>
  <si>
    <t>Cold Fluid Waterproofing</t>
  </si>
  <si>
    <t>COLLECTIVE ITEM</t>
  </si>
  <si>
    <t>Combo Roof For Podium (Car Parking)</t>
  </si>
  <si>
    <t>Combo Roof For Upper Roof &amp; Mechanical Floor</t>
  </si>
  <si>
    <t>1)	Cleaning of the roof area by compressed air
2)	P.U. Foam Spray DCL approved Li-Value 0.30W/m2K
Joint less hand spraying of the entire roo</t>
  </si>
  <si>
    <t>COMBO ROOF WATER-PROOFING</t>
  </si>
  <si>
    <t>Combo Roof Waterproofing</t>
  </si>
  <si>
    <t>Combo Roof Waterproofing (Lower roof Area)</t>
  </si>
  <si>
    <t>Combo Roof Waterproofing system</t>
  </si>
  <si>
    <t xml:space="preserve">COMBO ROOFING SYSTEM </t>
  </si>
  <si>
    <t>COMBO ROOFING SYSTEM</t>
  </si>
  <si>
    <t>Combo Roofing System for Community Center</t>
  </si>
  <si>
    <t>Combo Roofing System For First Floor Terrace - Horizontal</t>
  </si>
  <si>
    <t>Combo Roofing System For First Floor Terrace - Vertical</t>
  </si>
  <si>
    <t>Combo Roofing System For Ground Floor Terrace - Horizontal</t>
  </si>
  <si>
    <t>Combo Roofing System For Ground Floor Terrace - Vertical</t>
  </si>
  <si>
    <t>Combo Roofing System For Roof Floor - Vertical</t>
  </si>
  <si>
    <t>Combo Roofing System For Roof Floor - Vertical (Security Room)</t>
  </si>
  <si>
    <t>Combo Roofing System For Roof Floor Horizontal with UV Coating</t>
  </si>
  <si>
    <t>Combo Roofing System For Roof Floor Horizontal with UV Coating (Security Room)</t>
  </si>
  <si>
    <t>Combo roofing system To roof</t>
  </si>
  <si>
    <t xml:space="preserve">COMPRESSIVE STRENGHT OF CYLINDER </t>
  </si>
  <si>
    <t>Concrete Work</t>
  </si>
  <si>
    <t>Concrete Works</t>
  </si>
  <si>
    <t>CONSULTANT OVERTIME</t>
  </si>
  <si>
    <t>Corner strip</t>
  </si>
  <si>
    <t>Corner Strip (20cm)</t>
  </si>
  <si>
    <t>DEBRIS REMOVAL</t>
  </si>
  <si>
    <t>DESIGN, SUPPLY, AND INSTALLATION OF GRP STRUCTURES</t>
  </si>
  <si>
    <t>DESIGN, SUPPLY, AND INSTALLATION OF PMMA ACRYLIC, TRANSPORT AND INSTALLATION</t>
  </si>
  <si>
    <t>DESIGN, SUPPLY, INSTALLATION, TESTING AND COMMISSIONING of  GARBAGE CHUTE WORKS</t>
  </si>
  <si>
    <t>DESIGN, SUPPLY, INSTALLATION, TESTING AND COMMISSIONING of THE SWIMMING POOL</t>
  </si>
  <si>
    <t>Dewatering</t>
  </si>
  <si>
    <t>Dewatering pet Waterproofing</t>
  </si>
  <si>
    <t>Dewatering pit and the termination of the membrane</t>
  </si>
  <si>
    <t>Dewatering pit waterproofing</t>
  </si>
  <si>
    <t>Ditto but vertically</t>
  </si>
  <si>
    <t>Ditto to vertical -accessible Terrace Balcony</t>
  </si>
  <si>
    <t>Ditto to vertical -Optional</t>
  </si>
  <si>
    <t>Ditto to vertical-non accessible accessible Terrace</t>
  </si>
  <si>
    <t>DITTO, TO UPSTANDS</t>
  </si>
  <si>
    <t>DOUBLE BLADE GRINDER</t>
  </si>
  <si>
    <t>Double Sided 250mm width Water stopper</t>
  </si>
  <si>
    <t>Double-Sided Waterstopper – 250mm</t>
  </si>
  <si>
    <t>Dressing the membrane around Roof Drain</t>
  </si>
  <si>
    <t>E.5G Villa full screed  (27,29,30,38,39,40,42,43,44,47,48)</t>
  </si>
  <si>
    <t>E.5G Villa full screed (27,29,30,38,39,40,42,43,44,47,48)</t>
  </si>
  <si>
    <t>E.5G Villa full screed (81,87,88)</t>
  </si>
  <si>
    <t>E.5G Villa full screed (Terrace &amp; Balcony) 85,86</t>
  </si>
  <si>
    <t>E.5G Villa full slope (29,30,66)</t>
  </si>
  <si>
    <t>Earthing Rod Waterproofing, Pipe Penetration Post-applied Waterproofing (Open Excavation Area)</t>
  </si>
  <si>
    <t>Electrical System</t>
  </si>
  <si>
    <t>ELEVATOR SERVICE</t>
  </si>
  <si>
    <t>ELV SYSTEM</t>
  </si>
  <si>
    <t>EMULSION PAINT STAIRCASE WALLS</t>
  </si>
  <si>
    <t>EMULSION PAINT WASHABLE BALCONY CEILING</t>
  </si>
  <si>
    <t>EMULTION PAINT WASHABLE EMULSION PAINT CORRIDOR WALLS</t>
  </si>
  <si>
    <t>ENGINE OIL</t>
  </si>
  <si>
    <t>ENGINE OIL,OIL FILTER CHANGING</t>
  </si>
  <si>
    <t>Epoxy on Pile Heads - Pile Size 1000mm</t>
  </si>
  <si>
    <t>Epoxy on Pile Heads - Pile Size 700mm</t>
  </si>
  <si>
    <t>Epoxy on Pile Heads - Pile Size 900mm</t>
  </si>
  <si>
    <t>Epoxy on Pile Heads – Pile Size 700mm</t>
  </si>
  <si>
    <t>Epoxy on Pile Heads – Pile Size 900mm</t>
  </si>
  <si>
    <t>Excavation &amp; Earth Work</t>
  </si>
  <si>
    <t xml:space="preserve">EXCAVATION AND DISPOSAL </t>
  </si>
  <si>
    <t>EXCAVATION AND DISPOSAL SERVICE</t>
  </si>
  <si>
    <t>Excavation and Earth works</t>
  </si>
  <si>
    <t>EXTERNAL PLASTER</t>
  </si>
  <si>
    <t>EXTRA CHARGES</t>
  </si>
  <si>
    <t xml:space="preserve">Falcon Trackers EZ+ Fleet Monitoring Software </t>
  </si>
  <si>
    <t>Falcon Trackers EZ+ Fleet Monitoring Software</t>
  </si>
  <si>
    <t>FALSE CEILING WORK</t>
  </si>
  <si>
    <t>FF Two coats of liquid applied bituminous waterproofing to Horizontally</t>
  </si>
  <si>
    <t>FF Two coats of liquid applied bituminous waterproofing to Vertically</t>
  </si>
  <si>
    <t xml:space="preserve">FINES PASSING NO 200 SEIVE </t>
  </si>
  <si>
    <t>Finishes</t>
  </si>
  <si>
    <t>FINSIHING SERVICES</t>
  </si>
  <si>
    <t>FIRE PROTECTION</t>
  </si>
  <si>
    <t>FIRE PROTECTION SYSTEM</t>
  </si>
  <si>
    <t>FIRE RATED SEALANTS FOR HEAD OF WALL JOINTS</t>
  </si>
  <si>
    <t xml:space="preserve">FLAKINESS INDEX </t>
  </si>
  <si>
    <t>Flashing 1 mm thick aluminium flashing turned into chase.</t>
  </si>
  <si>
    <t>Flashing and mastic sealant at termination</t>
  </si>
  <si>
    <t>FULL WASHING</t>
  </si>
  <si>
    <t>Garage Waterproofing Works</t>
  </si>
  <si>
    <t>Garbage disposal</t>
  </si>
  <si>
    <t>GB15&amp;GB22- Supply and apply 2 coats of cementitious coating to ground terracess</t>
  </si>
  <si>
    <t>GB15&amp;GB22- Supply and apply 2 coats of cementitious coating to horizontally &amp; Vertically at Garage</t>
  </si>
  <si>
    <t>GB15&amp;GB22- Supply and apply 2 coats of cementitious coating to horizontally Balconies</t>
  </si>
  <si>
    <t>GB15&amp;GB22- Supply and apply 2 coats of cementitious coating to vertically Balconies</t>
  </si>
  <si>
    <t>GB15&amp;GB22- Supply and apply 2 coats of polymer modified cementitious coating to Garage</t>
  </si>
  <si>
    <t>GB15&amp;GB22-Application of 100mm thick Extruded polysterene insulation board</t>
  </si>
  <si>
    <t>GB15&amp;GB22-Roof Waterproofing System</t>
  </si>
  <si>
    <t>GB15&amp;GB22-Skirting Vertical to Entrance &amp; Terrace</t>
  </si>
  <si>
    <t>GB15&amp;GB22-Supply and apply 1 Layer of Geotextile filter membrane 250GSM</t>
  </si>
  <si>
    <t>GB15&amp;GB22-Supply and apply 2 coats of single component PU coating to horizontally &amp; Vertically</t>
  </si>
  <si>
    <t>GB15&amp;GB22-Vertical to Roof</t>
  </si>
  <si>
    <t>GB15&amp;GB22-Wet Area Supply and apply 2 coats of cementitious coating to horizontally &amp; Vertically</t>
  </si>
  <si>
    <t>GC05&amp;GC21 Vertical to balconies AC areas</t>
  </si>
  <si>
    <t>GC05&amp;GC21 Vertical to balconies Non-AC areas</t>
  </si>
  <si>
    <t>GC05&amp;GC21- Supply and apply 1.2mm thickness WFT one component cold applied water based modified polyurethane coating to carpet roof</t>
  </si>
  <si>
    <t>GC05&amp;GC21- Supply and apply 2 coats of cementitious coating to horizontally Balconies AC areas</t>
  </si>
  <si>
    <t>GC05&amp;GC21- Vertically to carpet</t>
  </si>
  <si>
    <t>GC05&amp;GC21-Application of 100mm thick Extruded polysterene insulation board AC areas</t>
  </si>
  <si>
    <t>GC05&amp;GC21-Combo Roof Waterproofing System</t>
  </si>
  <si>
    <t>GC05&amp;GC21-Supply and apply 1 Layer of Geotextile filter membrane 250GSM AC areas</t>
  </si>
  <si>
    <t>GC05&amp;GC21-Vertical to Combo Roof Waterproofing System</t>
  </si>
  <si>
    <t>GC05&amp;GC21-Wet Area Supply and apply 2 coats of cementitious coating to horizontally &amp; Vertically</t>
  </si>
  <si>
    <t>GC05&amp;GC21-Wet Area Supply and apply 2 coats of cementitious coating to horizontally &amp; Vertically Non-AC areas</t>
  </si>
  <si>
    <t>general</t>
  </si>
  <si>
    <t>Geo textile 100GSM</t>
  </si>
  <si>
    <t>geotextile filter membrane</t>
  </si>
  <si>
    <t>Geotextile Protection Layer-140gsm</t>
  </si>
  <si>
    <t>GF Two coats of cementitious waterproofing to Horizontally</t>
  </si>
  <si>
    <t>GF Two coats of cementitious waterproofing to Vertically</t>
  </si>
  <si>
    <t xml:space="preserve">GLOW MIXTURE </t>
  </si>
  <si>
    <t>GLOW MIXTURE</t>
  </si>
  <si>
    <t>Internal GNSS, LTE Antennas, Reliable 4G Connection, Internal Back-up Battery.</t>
  </si>
  <si>
    <t>GNSS/ LTE modules, Internal GNSS, LTE Antennas, Reliable 4G Connection, Internal Back-up Battery.</t>
  </si>
  <si>
    <t>GPS Installation Charges</t>
  </si>
  <si>
    <t>Gravel roofing system to roof and terraces</t>
  </si>
  <si>
    <t>GRC PANEL WORKS</t>
  </si>
  <si>
    <t>Green roofing system</t>
  </si>
  <si>
    <t>Green roofing system (One coat of Polyurethane coating)</t>
  </si>
  <si>
    <t>Green roofing system (Two coat of Cementitious coating)</t>
  </si>
  <si>
    <t>GRINDER SMALL</t>
  </si>
  <si>
    <t>GROOVE FIXING</t>
  </si>
  <si>
    <t>Ground Floor</t>
  </si>
  <si>
    <t>GRP Ladder 2.5m height</t>
  </si>
  <si>
    <t>GRP Ladder 2m height</t>
  </si>
  <si>
    <t>GRP Surface preparation (Angle fillet &amp; Creak repairs, pinholes repairing)</t>
  </si>
  <si>
    <t>GRP, Transportation &amp; Installation</t>
  </si>
  <si>
    <t>GRS</t>
  </si>
  <si>
    <t>GRS 72 mm</t>
  </si>
  <si>
    <t>GRS 72 mm Skirting</t>
  </si>
  <si>
    <t>GRS Skirting</t>
  </si>
  <si>
    <t>HIRE 66 SEATER BUS WITH DRIVER &amp; FUEL</t>
  </si>
  <si>
    <t>HIRE 66 SEATER BUS WITH DRIVER &amp; WITH FUEL</t>
  </si>
  <si>
    <t>HIRE BOOM LOADER</t>
  </si>
  <si>
    <t>WEEKS / MONTH / DAY</t>
  </si>
  <si>
    <t xml:space="preserve">HIRE OF 45 KVA GENERATOR </t>
  </si>
  <si>
    <t>HIRE OF JCB</t>
  </si>
  <si>
    <t>HIRE OF POWER FLOAT</t>
  </si>
  <si>
    <t>HIRE OF SKID LOADER (BOBCAT)</t>
  </si>
  <si>
    <t>Horizontal and Vertical - Supply &amp; apply of 2 coats of cementitious 
coating same as wet area - Nitocote CM210</t>
  </si>
  <si>
    <t>Horizontal and Vertical - Supply &amp; apply of 2 coats of cementitious  coating same as wet area - Nitocote CM210</t>
  </si>
  <si>
    <t>Horizontal and Vertical - Supply &amp; apply of 2 coats of polymer modified cementitious coating - Neoseal Flex 550</t>
  </si>
  <si>
    <t>HVAC System</t>
  </si>
  <si>
    <t xml:space="preserve">INITIAL SURFACE ABSORPTION OF CONCRETE </t>
  </si>
  <si>
    <t>Injection Hose</t>
  </si>
  <si>
    <t>INSTALLATION CHARGES FOR PRINTER</t>
  </si>
  <si>
    <t>INSTALLATION CHARGES</t>
  </si>
  <si>
    <t>INSURANCE PREMIUM</t>
  </si>
  <si>
    <t>INSURANCE</t>
  </si>
  <si>
    <t>INTERNAL PLASTER</t>
  </si>
  <si>
    <t>JACK HAMMER MEDIUM</t>
  </si>
  <si>
    <t>Joint Waterproofing at Metal Roof -Phase 2</t>
  </si>
  <si>
    <t>Joints / Shaft opening Treatment Tower A &amp; B</t>
  </si>
  <si>
    <t>Labour Supply</t>
  </si>
  <si>
    <t>Labor Supply</t>
  </si>
  <si>
    <t>HR</t>
  </si>
  <si>
    <t>LABOUR CAMP RENT</t>
  </si>
  <si>
    <t>PRINTER</t>
  </si>
  <si>
    <t>LEASE CHARGES ADVANCE FOR PRINTER</t>
  </si>
  <si>
    <t>LEASE CHARGES FOR PRINTER DOWNSTAIR</t>
  </si>
  <si>
    <t>LEASE CHARGES FOR PRINTER UPSTAIR</t>
  </si>
  <si>
    <t>lease charges printer</t>
  </si>
  <si>
    <t>LICENSE PAYMENT RENEWAL</t>
  </si>
  <si>
    <t xml:space="preserve">LOCATION AMEND </t>
  </si>
  <si>
    <t>LOCATION AMEND</t>
  </si>
  <si>
    <t xml:space="preserve">LOS ANGELES ABRASION TEST </t>
  </si>
  <si>
    <t>LPG SYSTEM</t>
  </si>
  <si>
    <t>LUBE SERVICE</t>
  </si>
  <si>
    <t>LV ROOM -CHEQUERED PLATE</t>
  </si>
  <si>
    <t>M4G Villa screed  (30,38,39,43,48)</t>
  </si>
  <si>
    <t>M4G Villa slope  (29,30,38)</t>
  </si>
  <si>
    <t>Mastic sealant at termination</t>
  </si>
  <si>
    <t>Membrane (overlap 15cm on both side and end</t>
  </si>
  <si>
    <t>Membrane Roofing system to roof and terrace</t>
  </si>
  <si>
    <t>Metal Roof Waterproofing at Horizontal Surface preparation and Joint Treatment</t>
  </si>
  <si>
    <t>Metal Roof Waterproofing System at Horizontal Surface Surface preparation &amp; Joint Treatment</t>
  </si>
  <si>
    <t>Minimum 50mm Thick Light Weight Concrete Laid (Material by Fibrex)</t>
  </si>
  <si>
    <t>MISCELLANEOUS (HANDLING CHARGES)</t>
  </si>
  <si>
    <t>MUNICIPALITY APPROVAL</t>
  </si>
  <si>
    <t>National 4G Data Charges by Etisalat, Billed Yearly</t>
  </si>
  <si>
    <t xml:space="preserve">OFFICE AGREEMENT </t>
  </si>
  <si>
    <t>OFFICE AGREEMENT</t>
  </si>
  <si>
    <t>One layers of 4mm thick SBS waterproofing membrane torch applied with 150mm side laps and end laps reinforced with Non-woven polyester "200</t>
  </si>
  <si>
    <t>OPEX Expenditure Routine Variable Work</t>
  </si>
  <si>
    <t>Area</t>
  </si>
  <si>
    <t>Option-1 Supply and apply of 1 Layer of 4mm thick APP mineral membrane 180/ GSM (-5) Vertical 500mm height</t>
  </si>
  <si>
    <t>Option-2 Supply and apply 3.2mm thick protection board on vertical</t>
  </si>
  <si>
    <t>OR ROOF COMBO WAERPROOFING SYSTEM- WITH 70MM THICKNESS OF PU FOAM</t>
  </si>
  <si>
    <t xml:space="preserve">ORGANIC CONTENT OF SOIL SAMPLE </t>
  </si>
  <si>
    <t xml:space="preserve">ORGANIC MATTER CONTENT </t>
  </si>
  <si>
    <t>OVERTIME FOR RENTAL MANPOWER</t>
  </si>
  <si>
    <t>PASSANGER  ELEVATOR PL2</t>
  </si>
  <si>
    <t>PASSANGER ELEVATOR PL1,PL3</t>
  </si>
  <si>
    <t>PASSANGER ELEVATOR PL4</t>
  </si>
  <si>
    <t>Passenger Hoist</t>
  </si>
  <si>
    <t>PASSENGER HOIST SUPPLY</t>
  </si>
  <si>
    <t>PASSENGER LIFT MRL</t>
  </si>
  <si>
    <t>Phase -1A Combo Roofing system</t>
  </si>
  <si>
    <t>Phase -1A Combo Roofing system (Non MEP Area)</t>
  </si>
  <si>
    <t>Phase -1A Community Center Combo Roofing system</t>
  </si>
  <si>
    <t>Phase -1A Community Center Skirting</t>
  </si>
  <si>
    <t>Phase -1A Skirting</t>
  </si>
  <si>
    <t>Phase -1A Supply and apply two coat of Acrylic cementitous coating for Garage</t>
  </si>
  <si>
    <t>Phase -1D Combo Roofing system</t>
  </si>
  <si>
    <t>Phase -1D Combo Roofing system (Non MEP area)</t>
  </si>
  <si>
    <t>Phase -1D Skirting</t>
  </si>
  <si>
    <t>Phase -1D Supply and apply two coat of Acrylic cementitous coating for Garage</t>
  </si>
  <si>
    <t>Phase -1D Supply and apply two coat of Polyurethane coating for Garage</t>
  </si>
  <si>
    <t>Phase -1E Combo Roofing system</t>
  </si>
  <si>
    <t>Phase -1E Combo Roofing system (Non MEP area)</t>
  </si>
  <si>
    <t>Phase -1E Skirting</t>
  </si>
  <si>
    <t>Phase -1E Supply and apply two coat of Acrylic cementitous coating for Garage</t>
  </si>
  <si>
    <t>Phase -1E Supply and apply two coat of Polyurethane coating for Garage</t>
  </si>
  <si>
    <t>PHOTOCOPY MACHINE LEASE CHARGES</t>
  </si>
  <si>
    <t>Pile 1000 mm</t>
  </si>
  <si>
    <t>Pile 1200 mm</t>
  </si>
  <si>
    <t>Pile 700 mm</t>
  </si>
  <si>
    <t>Pile 800 mm</t>
  </si>
  <si>
    <t xml:space="preserve">PILE INTEGRITY TEST </t>
  </si>
  <si>
    <t>Piling Work</t>
  </si>
  <si>
    <t>Pilling work</t>
  </si>
  <si>
    <t>Pipe Penetration</t>
  </si>
  <si>
    <t>Pipe penetration Treatment</t>
  </si>
  <si>
    <t>Planner</t>
  </si>
  <si>
    <t>PLANNER BASELINE PROGRAM</t>
  </si>
  <si>
    <t>Planter box waterproofing</t>
  </si>
  <si>
    <t>Planter or Landscape area waterproofing protection board to vertical surface</t>
  </si>
  <si>
    <t>Planter or Landscape area waterproofing to horizontal &amp; vertical surface</t>
  </si>
  <si>
    <t>Planter Wall waterproofing work</t>
  </si>
  <si>
    <t>Planter Waterproofing work</t>
  </si>
  <si>
    <t xml:space="preserve">PLATE LOAD TEST </t>
  </si>
  <si>
    <t>Plumbing system</t>
  </si>
  <si>
    <t>Plumbing, Electrical and HVAC system</t>
  </si>
  <si>
    <t>PLUNGE POOL WORKS 4 NO’S PLUNGE POOL WORKS AT 1ST FLOOR</t>
  </si>
  <si>
    <t xml:space="preserve">PODIUM </t>
  </si>
  <si>
    <t>PODIUM 1ST,2ND 1-8 FLOOR &amp; ROOF FLOOR</t>
  </si>
  <si>
    <t>PODIUMS</t>
  </si>
  <si>
    <t>Polyurethane coating to wet area shower area vertically 2000mm</t>
  </si>
  <si>
    <t>Polyurethane coating to wet area vertically 300mm</t>
  </si>
  <si>
    <t>Polyurethane Waterproofing (2 Component)</t>
  </si>
  <si>
    <t>Polyurethane Waterproofing Skirting (200mm)</t>
  </si>
  <si>
    <t>Post Paid SIM, Etisalat</t>
  </si>
  <si>
    <t>Preliminaries</t>
  </si>
  <si>
    <t>Professional services</t>
  </si>
  <si>
    <t>PROGRAMME PLANNING</t>
  </si>
  <si>
    <t>Provisional sum</t>
  </si>
  <si>
    <t>PS Adjustment</t>
  </si>
  <si>
    <t>PS adjustments</t>
  </si>
  <si>
    <t>PU foam rectification</t>
  </si>
  <si>
    <t xml:space="preserve">PULL OUT TEST </t>
  </si>
  <si>
    <t>Purchase Advance</t>
  </si>
  <si>
    <t>PURCHASE-ADVANCE</t>
  </si>
  <si>
    <t xml:space="preserve">RADIATOR COOLENT </t>
  </si>
  <si>
    <t>RADIATOR COOLENT</t>
  </si>
  <si>
    <t>Raising after 20m height (per 9mtr)</t>
  </si>
  <si>
    <t xml:space="preserve">RAPID CHLORIDE PERMEABILITY </t>
  </si>
  <si>
    <t>Re-waterproofing Work</t>
  </si>
  <si>
    <t>Reinjectable Hose</t>
  </si>
  <si>
    <t>Rent_Item</t>
  </si>
  <si>
    <t>RENTAL CARPENTER</t>
  </si>
  <si>
    <t>RENTAL HELPER</t>
  </si>
  <si>
    <t>RENTAL LABOUR</t>
  </si>
  <si>
    <t>RENTAL MASON</t>
  </si>
  <si>
    <t>RENTAL SKILLED WORKER</t>
  </si>
  <si>
    <t>RENTAL STEEL FIXER</t>
  </si>
  <si>
    <t>RENTAL</t>
  </si>
  <si>
    <t>RENTAL UNSKILLED WORKERS</t>
  </si>
  <si>
    <t>RENTAL VEHICAL</t>
  </si>
  <si>
    <t>RETENTION</t>
  </si>
  <si>
    <t>Retention Deduction</t>
  </si>
  <si>
    <t>RETENTION-DEDUCTION</t>
  </si>
  <si>
    <t>Retention Release</t>
  </si>
  <si>
    <t>RETENTION-RELEASE</t>
  </si>
  <si>
    <t>ROOF</t>
  </si>
  <si>
    <t>Roof Annex</t>
  </si>
  <si>
    <t>Roof Area Waterproofing</t>
  </si>
  <si>
    <t>Roof Coating Work</t>
  </si>
  <si>
    <t>Roof Combo Roofing System</t>
  </si>
  <si>
    <t>Roof Combo System</t>
  </si>
  <si>
    <t>Roof Combo Waterproofing</t>
  </si>
  <si>
    <t>Roof Combo Waterproofing system</t>
  </si>
  <si>
    <t>Roof Combo Waterproofing System (Polyurethane coating)</t>
  </si>
  <si>
    <t>Roof Combo Waterproofing System (Villa 4G-M)</t>
  </si>
  <si>
    <t>Roof Combo Waterproofing System (Villa 4G-M)-7cm</t>
  </si>
  <si>
    <t>Roof Combo Waterproofing System (Villa 5G-E)</t>
  </si>
  <si>
    <t>Roof Combo Waterproofing System (Villa 5G-E) -7cm</t>
  </si>
  <si>
    <t>Roof Combo Waterproofing System 120-125 mm</t>
  </si>
  <si>
    <t>Roof Combo Waterproofing System 72-75 mm</t>
  </si>
  <si>
    <t>Roof Re Waterproofing Work</t>
  </si>
  <si>
    <t>Roof Waterproofing System</t>
  </si>
  <si>
    <t>SAFETY AWARNESS FOR QUAD BIKE RIDER (CERTIFICATE)</t>
  </si>
  <si>
    <t>SAFETY TRAINING FOR BASIC FIRST AID</t>
  </si>
  <si>
    <t xml:space="preserve">SAFETY TRAINING FOR FLAGMAN </t>
  </si>
  <si>
    <t>SAFETY TRAINING FOR FLAGMAN</t>
  </si>
  <si>
    <t>SAFETY TRAINING FOR GRINDING MACHINE OP</t>
  </si>
  <si>
    <t>SAFETY TRAINING FOR RIGGER</t>
  </si>
  <si>
    <t xml:space="preserve">SAFETY TRAINING FOR STEEL BENDING &amp; CUTTING </t>
  </si>
  <si>
    <t>SAFETY TRAINING FOR STEEL BENDING &amp; CUTTING</t>
  </si>
  <si>
    <t>SAFETY TRAINING FOR TOWER CRANE OP</t>
  </si>
  <si>
    <t>SAFETY TRAINING LIFTING SUPERVISOR</t>
  </si>
  <si>
    <t>SALT WATER 2500GL</t>
  </si>
  <si>
    <t>SALT WATER</t>
  </si>
  <si>
    <t>Secure Deposit</t>
  </si>
  <si>
    <t>Security Deposit</t>
  </si>
  <si>
    <t xml:space="preserve">SEIVE TEST </t>
  </si>
  <si>
    <t>SERVICE AGREEMENT LABOR CAMP</t>
  </si>
  <si>
    <t>SERVICE AGREEMENT LABOR CAMP RENT</t>
  </si>
  <si>
    <t>SERVICE CHARGE</t>
  </si>
  <si>
    <t>SERVICE CHARGES FOR VEHICLES</t>
  </si>
  <si>
    <t>SHUTTERING - DESHUTTERING WORK</t>
  </si>
  <si>
    <t xml:space="preserve">SHUTTERWORK </t>
  </si>
  <si>
    <t>SHUTTERING WORK</t>
  </si>
  <si>
    <t>SHUTTERING WORK-1ST FLOOR SLAB- ROOF SLAB</t>
  </si>
  <si>
    <t>Skirting</t>
  </si>
  <si>
    <t>Skirting - 300mm high</t>
  </si>
  <si>
    <t>Skirting -200mm High</t>
  </si>
  <si>
    <t>Skirting -300mm High</t>
  </si>
  <si>
    <t>Skirting 200mm HT</t>
  </si>
  <si>
    <t>Skirting 20MM</t>
  </si>
  <si>
    <t>Skirting for Community Center</t>
  </si>
  <si>
    <t>Skirting Membrane</t>
  </si>
  <si>
    <t>Skirting of membrane upto 300mm high</t>
  </si>
  <si>
    <t>Skirting Vertical to Entrance &amp; Terrace</t>
  </si>
  <si>
    <t>Snagging of Villa TAG 90</t>
  </si>
  <si>
    <t>SNAGGING VILLA TAG94</t>
  </si>
  <si>
    <t>SNAGGING VILLA TAG95</t>
  </si>
  <si>
    <t>SOFTWARE INSTALLATION</t>
  </si>
  <si>
    <t>SOLID BLOCK</t>
  </si>
  <si>
    <t xml:space="preserve">SOUNDNESS TEST </t>
  </si>
  <si>
    <t>PECIFIC GRAVITY TEST ON FINE &amp; COARSE SOILS</t>
  </si>
  <si>
    <t>SPRAY PLASTER</t>
  </si>
  <si>
    <t>STEEL WORK BY GRADE SLAB</t>
  </si>
  <si>
    <t>Strip waterproofing membrane 300mm wide</t>
  </si>
  <si>
    <t>Substation/ LV Room/ Tel. Room Waterproofing 
Supply and apply CRC 16 Cementitious Waterproof coating or equivalent approved, in 2 coats wit</t>
  </si>
  <si>
    <t>Substation/ LV Room/ Tel. Room Waterproofing  Supply and apply CRC 16 Cementitious Waterproof coating or equivalent approved, in 2 coats wit</t>
  </si>
  <si>
    <t>Substructure Waterproofing works</t>
  </si>
  <si>
    <t xml:space="preserve">SULPHATE CONTENT </t>
  </si>
  <si>
    <t xml:space="preserve">SULPHATE CONTENT OF SOIL &amp; WATER SAMPLES </t>
  </si>
  <si>
    <t>Superstructure Waterproofing Works</t>
  </si>
  <si>
    <t>SUPERVISION</t>
  </si>
  <si>
    <t>Supply &amp; Application Of Single Layer 4mm SBS Membrane For Water Tank</t>
  </si>
  <si>
    <t>Supply &amp; Apply 1 Coat of Primer and 2 Layers of 4mm SBS Membrane 180 GSM</t>
  </si>
  <si>
    <t>Supply &amp; Apply 1 layer of 4mm thick protection board</t>
  </si>
  <si>
    <t>Supply &amp; apply 2 coat cementitious coating along with Mesh on angle fillet to Balcony Terraces</t>
  </si>
  <si>
    <t>Supply &amp; apply 2 coat cementitious coating along with Mesh on angle fillet to horizontal</t>
  </si>
  <si>
    <t>Supply &amp; apply 2 coat cementitious coating along with Mesh on angle fillet to lift pit area</t>
  </si>
  <si>
    <t>Supply &amp; apply 2 coat cementitious coating along with Mesh on angle fillet to Terraces</t>
  </si>
  <si>
    <t>Supply &amp; apply 2 coat cementitious coating along with Mesh on angle fillet to Vertically</t>
  </si>
  <si>
    <t>Supply &amp; Apply 2 coat of cementitious waterproof coating for shower area</t>
  </si>
  <si>
    <t>Supply &amp; Apply 2 Coat of liquid applied polyurethane coating for balcony</t>
  </si>
  <si>
    <t>Supply &amp; Apply 2 coat of liquid applied polyurethane coating for bathroom/ toilets</t>
  </si>
  <si>
    <t>Supply &amp; apply 2 coats of acrylic cementitious waterproofing. Nitocote CM2 1O (Horizantallv &amp; Vertically)</t>
  </si>
  <si>
    <t>Supply &amp; apply 2 coats of cementitious coating with mesh on angle fillet</t>
  </si>
  <si>
    <t>Supply &amp; apply 2 coats of Polyurethane coating</t>
  </si>
  <si>
    <t>Supply &amp; apply 2 coats of Polyurethane coating to Balcony and Terrace</t>
  </si>
  <si>
    <t>Supply &amp; apply 2 coats of Polyurethane coating to Toilet and Pantry</t>
  </si>
  <si>
    <t>Supply &amp; Apply 2 layer of 4mm thick SBS membrane for pool deck</t>
  </si>
  <si>
    <t>Supply &amp; Apply 2 layer of 4mm thick SBS membrane for terrace</t>
  </si>
  <si>
    <t>Supply &amp; Apply 2 layers 4mm thick SBS membrane</t>
  </si>
  <si>
    <t>SUPPLY &amp; APPLY 2MM SBS MEMBRANE</t>
  </si>
  <si>
    <t>Supply &amp; Apply 3.2mm Protection Board</t>
  </si>
  <si>
    <t>Supply &amp; Apply 3.2mm Thick SBS Protection Board</t>
  </si>
  <si>
    <t>Supply &amp; Apply 6mm Protection board Vertically</t>
  </si>
  <si>
    <t>Supply &amp; Apply 6mm thick Protection Board</t>
  </si>
  <si>
    <t>Supply &amp; Apply Double Layer 4mm Membrane including Primer</t>
  </si>
  <si>
    <t>Supply &amp; Apply Layer 3.2mm Protection Board</t>
  </si>
  <si>
    <t>Supply &amp; Apply of 100mm thick Extruded Polyurethane insulation board</t>
  </si>
  <si>
    <t>Supply &amp; apply of 2 coat of Polyurethane Coating Weberdry 360 PU</t>
  </si>
  <si>
    <t>Supply &amp; apply of 2 coats of cementitious coating - Nitocote CM2 10 (Horizontally &amp; Vertically)</t>
  </si>
  <si>
    <t>Supply &amp; apply of 2 coats of cementitious coating with mesh on angle fillet</t>
  </si>
  <si>
    <t>Supply &amp; Apply Of 3mm Protection Board For Water Tank</t>
  </si>
  <si>
    <t>Supply &amp; apply of I coat of UV coating if exposed area. SIKA</t>
  </si>
  <si>
    <t>Supply &amp; apply of I coat of UV coating if exposed area. Weberfloor 220 PU RAL 9035</t>
  </si>
  <si>
    <t>Supply &amp; apply of protection board 6mm thick for vertical</t>
  </si>
  <si>
    <t>Supply &amp; apply of single layer 4mm SBS Membrane</t>
  </si>
  <si>
    <t>Supply &amp; Apply of Three Coats of Cementitious Coating</t>
  </si>
  <si>
    <t>Supply &amp; apply of two layer 4mm SBS Membrane</t>
  </si>
  <si>
    <t>Supply &amp; Apply on coat of primer and Two layer 4mm SBS membrane 200gsm Horizontally (Awazel)</t>
  </si>
  <si>
    <t>Supply &amp; Apply on coat of primer and Two layer 4mm SBS membrane 200gsm Vertically (Awazel)</t>
  </si>
  <si>
    <t>Supply &amp; Apply one layer 6mm thick protection board (Awazel)</t>
  </si>
  <si>
    <t>Supply &amp; Apply one Layer of 3.2 mm protection board for vertical</t>
  </si>
  <si>
    <t>Supply &amp; Apply One Layer of 4mm SBS Membrane</t>
  </si>
  <si>
    <t>Supply &amp; Apply One Layer of 4mm SBS Membrane for water tank</t>
  </si>
  <si>
    <t>Supply &amp; Apply one Layer of 6 mm protection board</t>
  </si>
  <si>
    <t>Supply &amp; Apply Single Layer 4mm Membrane including Primer</t>
  </si>
  <si>
    <t>Supply &amp; Apply Two Coats of Cementitious Coating</t>
  </si>
  <si>
    <t>Supply &amp; Apply Two coats of Cementitious coating for Swimming Pool</t>
  </si>
  <si>
    <t>Supply &amp; Apply Two Layers 4mm Membrane</t>
  </si>
  <si>
    <t>Supply &amp; Apply Two Layers 4mm Membrane Horizontally</t>
  </si>
  <si>
    <t>Supply &amp; Apply Two Layers 4mm Membrane including Primer for Swimming Pool &amp; Wet Area</t>
  </si>
  <si>
    <t>Supply &amp; Apply Two Layers 4mm Membrane Vertically</t>
  </si>
  <si>
    <t>Supply &amp; Apply two Layers of 4mm SBS Membrane</t>
  </si>
  <si>
    <t>Supply &amp; Apply two Layers of 4mm SBS Membrane for water tank</t>
  </si>
  <si>
    <t>Supply &amp; install approved waterproofing to changing room wet areas floor public area</t>
  </si>
  <si>
    <t>Supply &amp; install approved waterproofing to changing room wet areas wall public area</t>
  </si>
  <si>
    <t>Supply &amp; install approved waterproofing to wet area floors Apartment</t>
  </si>
  <si>
    <t>Supply &amp; install approved waterproofing to wet area floors BOH</t>
  </si>
  <si>
    <t>Supply &amp; install approved waterproofing to wet area floors public area</t>
  </si>
  <si>
    <t>Supply &amp; install approved waterproofing to wet areas walls Apartment</t>
  </si>
  <si>
    <t>Supply &amp; install approved waterproofing to wet areas walls BOH</t>
  </si>
  <si>
    <t>Supply &amp; install approved waterproofing to wet areas walls public area</t>
  </si>
  <si>
    <t>SUPPLY &amp; INSTALLATION OF ALUMINUM AND GLASS</t>
  </si>
  <si>
    <t>Supply &amp; Installation of combo Roofing system at (3rd, 7th, 11th, 15th, 18th, 20th and 21st floor. (With no screed and final coat)</t>
  </si>
  <si>
    <t>Supply &amp; Installation of combo Roofing system at 1st floor Terrace Area, (Include Screed and Final Coat)</t>
  </si>
  <si>
    <t>Supply &amp; Installation of combo Roofing system at roof floor, (Include Screed and Final Coat)</t>
  </si>
  <si>
    <t>SUPPLY &amp; INSTALLATION OF LANDSCAPE WORKS AT G. F 1ST FL MAIN POOL</t>
  </si>
  <si>
    <t>Supply &amp; Installation of MEP filtration system in GRP</t>
  </si>
  <si>
    <t>Supply &amp; installation of Re-injectable Hose System</t>
  </si>
  <si>
    <t>Supply &amp; installation of Re-injectable Hose System - Soprajoint RIH</t>
  </si>
  <si>
    <t>SUPPLY &amp; INSTALLATION OF SOFT &amp; HARD LANDSCAPE WORKS</t>
  </si>
  <si>
    <t>SUPPLY &amp;amp; INSTALLATION OF STEEL STRUCTURE LIGHT WEIGHT PERGOLA CANOPY</t>
  </si>
  <si>
    <t>Supply and Application for Dewatering Including Epoxy Grout &amp; Injection Hose</t>
  </si>
  <si>
    <t>Supply and application of 1 coat of primer and 2 Layers of 4mm thick APP membrane To Horizontal</t>
  </si>
  <si>
    <t>Supply and application of 1 coat of primer and 2 Layers of 4mm thick APP membrane To To Vertical 500mm height</t>
  </si>
  <si>
    <t>Supply and application of 1 coat of primer and 2 Layers of 4mm thick SBS Modified membrane To Vertical</t>
  </si>
  <si>
    <t>Supply and application of 1 layer of 4mm SBS Membrane 180GSM</t>
  </si>
  <si>
    <t>Supply and application of 1 layer of 4mm SBS Membrane 180GSM. (First Floor)</t>
  </si>
  <si>
    <t>Supply and Application of 1 layer of mesh with 2 coats of PU coating at Drainage Area (Gutter)</t>
  </si>
  <si>
    <t>Supply and Application of 1 layer of mesh with 2 coats of PU coating at the perimeter of Electrical Fan Area</t>
  </si>
  <si>
    <t>Supply and Application of 1 layer of mesh with 2 coats of PU coating at the perimeter of Sky Lights</t>
  </si>
  <si>
    <t>Supply and application of 2 layers of 4mm SBS Membrane 180GSM + Cementitious.</t>
  </si>
  <si>
    <t>Supply and application of 2 layers of 4mm SBS Membrane 180GSM.</t>
  </si>
  <si>
    <t>Supply and application of 2 layers of 4mm SBS Membrane 180GSM. (Pool Deck)</t>
  </si>
  <si>
    <t>Supply and application of 3mm thick protection board</t>
  </si>
  <si>
    <t>Supply and application of liquid applied RBE coating</t>
  </si>
  <si>
    <t>Supply and application of Mesh with RBE Coating at termination grove</t>
  </si>
  <si>
    <t>Supply and apply 1 coat of primer &amp; 1 layer 4mm APP membrane &amp; 4mm Mineral membrane to Al kharan</t>
  </si>
  <si>
    <t>Supply and apply 1 coat of primer &amp; 1 layer 4mm APP membrane &amp; 4mm Mineral membrane to Digdaga</t>
  </si>
  <si>
    <t>Supply and apply 1 coat of primer &amp; 1 layer 4mm APP membrane &amp; 4mm Mineral membrane to Jazeera</t>
  </si>
  <si>
    <t>Supply and apply 1 coat of primer &amp; 1 layer of 4mm thick 200g/m2 (-20) membrane</t>
  </si>
  <si>
    <t>Supply and apply 1 coat of Primer &amp; 2 layers of 4mm thick SBS waterproofing membrane</t>
  </si>
  <si>
    <t>Supply and apply 1 coat of primer 1 Layer of 4mm thick SBS Modified Membrane</t>
  </si>
  <si>
    <t>Supply and apply 1 coat of primer and 1 layer of 4mm 180gsm SBS membrane</t>
  </si>
  <si>
    <t>Supply and apply 1 coat of Primer and 1 layer of 4mm thick</t>
  </si>
  <si>
    <t>Supply and apply 1 coat of Primer and 1 layer of 4mm thick SBS membrane and 1 layer of 4mm thick Anti root membrane</t>
  </si>
  <si>
    <t>Supply and apply 1 coat of primer and 2 layers of 4mm 180gsm SBS membrane</t>
  </si>
  <si>
    <t>Supply and apply 1 coat primer and 1 layer of 4mm SBS membrane to floors</t>
  </si>
  <si>
    <t>Supply and apply 1 coats of Cementitious Coating to Pool Deck</t>
  </si>
  <si>
    <t>Supply and apply 1 layer 3mm Protection Board</t>
  </si>
  <si>
    <t>Supply and apply 1 layer 4mm anti root membrane</t>
  </si>
  <si>
    <t>Supply and apply 1 layer 4mm SBS membrane</t>
  </si>
  <si>
    <t>Supply and apply 1 Layer of 4mm SBS 180 gsm Membrane (-20 Cold flex)</t>
  </si>
  <si>
    <t>Supply and apply 1 layer of 4mm SBS membrane</t>
  </si>
  <si>
    <t>Supply and apply 1 layer of 4mm SBS Membrane 180 gsm to pool deck, terraces and kids play area at First floor</t>
  </si>
  <si>
    <t>Supply and apply 1 layer of 4mm SBS Membrane 180 gsm Vertically to pool deck, terraces and kids play area at First floor</t>
  </si>
  <si>
    <t>Supply and apply 1 layer of 4mm SBS Membrane to Horizontal and vertical</t>
  </si>
  <si>
    <t>Supply and apply 1 Layer of 4mm thick Mineral Membrane</t>
  </si>
  <si>
    <t>Supply and apply 1 Layer of Geotextile filter membrane 250GSM</t>
  </si>
  <si>
    <t>Supply and apply 1 layer of SBS 4mm membrane and 1 layer of 4mm anti root membrane</t>
  </si>
  <si>
    <t>Supply and apply 1 layers of 4mm thick Anti-root waterproofing membrane to Planter Box</t>
  </si>
  <si>
    <t>Supply and apply 1.2mm thickness WFT one component cold applied water based modified polyurethane coating</t>
  </si>
  <si>
    <t>Supply and apply 2 coats of Acrylic cementitious coating at foundation area</t>
  </si>
  <si>
    <t>Supply and apply 2 coats of acrylic cementitious waterproofing</t>
  </si>
  <si>
    <t>Supply and apply 2 coats of acrylic modified cementitious coating Masterseal 588</t>
  </si>
  <si>
    <t>Supply and apply 2 coats of acrylic modified cementatious coating Masterseal 588</t>
  </si>
  <si>
    <t>Supply and apply 2 coats of acrylic modified cementatious coating Nitocote CM210</t>
  </si>
  <si>
    <t>Supply and apply 2 coats of acrylic modified cementatious coating to walls</t>
  </si>
  <si>
    <t>Supply and apply 2 coats of acrylic modified cementitious coating Nitocote CM210</t>
  </si>
  <si>
    <t>Supply and apply 2 coats of acrylic polyurethane coating</t>
  </si>
  <si>
    <t>Supply and apply 2 coats of bituminous coating to boundary wall horizontal</t>
  </si>
  <si>
    <t>Supply and apply 2 coats of bituminous coating to boundary wall Vertically</t>
  </si>
  <si>
    <t>Supply and apply 2 coats of bituminous coating to horizontal</t>
  </si>
  <si>
    <t>Supply and apply 2 coats of bituminous coating to vertical</t>
  </si>
  <si>
    <t>Supply and apply 2 coats of cementitious coating</t>
  </si>
  <si>
    <t>Supply and apply 2 coats of cementitious coating at the entire roof</t>
  </si>
  <si>
    <t>Supply and apply 2 coats of Cementitious Coating to balconies and Terraces</t>
  </si>
  <si>
    <t>Supply and apply 2 coats of cementitious coating to behind shower (2.6m high)</t>
  </si>
  <si>
    <t>Supply and apply 2 coats of cementitious coating to Ditto to upstands</t>
  </si>
  <si>
    <t>Supply and apply 2 coats of cementitious coating to floor</t>
  </si>
  <si>
    <t>Supply and apply 2 coats of cementitious coating to floor (Excludes surface and angle fillet)</t>
  </si>
  <si>
    <t>Supply and apply 2 coats of cementitious coating to floor (Including surface and angle fillet)</t>
  </si>
  <si>
    <t>Supply and apply 2 coats of cementitious coating to ground terraces</t>
  </si>
  <si>
    <t>Supply and apply 2 coats of cementitious coating to horizontally</t>
  </si>
  <si>
    <t>Supply and apply 2 coats of cementitious coating to horizontally &amp; Vertically</t>
  </si>
  <si>
    <t>Supply and apply 2 coats of cementitious coating to horizontally &amp; Vertically at Garage</t>
  </si>
  <si>
    <t>Supply and apply 2 coats of cementitious coating to horizontally &amp; Vertically Horizontal</t>
  </si>
  <si>
    <t>Supply and apply 2 coats of cementitious coating to horizontally Balconies</t>
  </si>
  <si>
    <t>Supply and apply 2 coats of Cementitious Coating to Toilets,Bath,Kitchen &amp; Garbage</t>
  </si>
  <si>
    <t>Supply and apply 2 coats of cementitious coating to vertically Balconies</t>
  </si>
  <si>
    <t>Supply and apply 2 coats of Cementitious Waterproofing Applied Horizontally</t>
  </si>
  <si>
    <t>Supply and apply 2 coats of Cementitious Waterproofing Applied Vertically</t>
  </si>
  <si>
    <t>Supply and apply 2 coats of Cementitious Waterproofing Applied Vertically Shower Wall</t>
  </si>
  <si>
    <t>Supply and apply 2 coats of polymer modified cementitious coating to Garage</t>
  </si>
  <si>
    <t>Supply and apply 2 coats of polyurethane coating</t>
  </si>
  <si>
    <t>Supply and apply 2 coats of Rubberized Bitumen Emulsion paint coating</t>
  </si>
  <si>
    <t>Supply and apply 2 coats of Rubberised Bitumen Emulsion paint coating</t>
  </si>
  <si>
    <t>Supply and apply 2 coats of single component PU coating to horizontally &amp; Vertically</t>
  </si>
  <si>
    <t>Supply and apply 2 coats of waterproofing coating</t>
  </si>
  <si>
    <t>Supply and apply 2 layer 4mm Membrane SBS 180 gsm Horizontally &amp; Vertically to Pool house &amp; Beach house footings ,Columns and Walls</t>
  </si>
  <si>
    <t>Supply and apply 2 layer 4mm Membrane SBS 180 gsm Horizontally &amp; Vertically to villa footings ,Columns and Walls</t>
  </si>
  <si>
    <t>Supply and apply 2 Layer of 4mm SBS 180 gsm Membrane (-5 Cold flex)</t>
  </si>
  <si>
    <t>Supply and apply 2 Layer of 4mm SBS 180 gsm Membrane horizontal surface to Substructure</t>
  </si>
  <si>
    <t>Supply and apply 2 layers 4mm membrane (Awazel)</t>
  </si>
  <si>
    <t>Supply and apply 2 layers 4mm SBS membrane</t>
  </si>
  <si>
    <t>Supply and apply 2 layers 4mm SBS Membrane 180GSM</t>
  </si>
  <si>
    <t>Supply and apply 2 layers 4mm SBS membrane including primer</t>
  </si>
  <si>
    <t>Supply and apply 2 layers of 3mm thick protection board</t>
  </si>
  <si>
    <t>Supply and apply 2 Layers of 4mm SBS 200 GSM Membrane</t>
  </si>
  <si>
    <t>Supply and apply 2 layers of 4mm SBS membrane 180 g/m2 including 1 coat of primer</t>
  </si>
  <si>
    <t>Supply and apply 3 Layers of 4mm SBS 200 GSM Membrane</t>
  </si>
  <si>
    <t>Supply and apply 3.2mm thick protection board To Vertical</t>
  </si>
  <si>
    <t>Supply and apply 3mm protection board</t>
  </si>
  <si>
    <t>Supply and apply 3mm thick protection board</t>
  </si>
  <si>
    <t>Supply and apply 3mm thick protection board to planter box</t>
  </si>
  <si>
    <t>Supply and apply 4mm Bitumen membrane -accessible Terrace Balcony</t>
  </si>
  <si>
    <t>Supply and apply 4mm Bitumen membrane -non accessible accessible Terrace</t>
  </si>
  <si>
    <t>Supply and apply 4mm thick GRP lining with gel coat</t>
  </si>
  <si>
    <t>Supply and apply 4mm Thick Protection board</t>
  </si>
  <si>
    <t>Supply and apply 50mm thick protection screed</t>
  </si>
  <si>
    <t>Supply and apply 5mm Bitumen Membrane -Optional</t>
  </si>
  <si>
    <t>Supply and apply 6mm Bitumen Impregnated Board -non accessible accessible Terrace</t>
  </si>
  <si>
    <t>Supply and apply 6mm protection board</t>
  </si>
  <si>
    <t>Supply and apply 6mm protection board vertical surface to substructure</t>
  </si>
  <si>
    <t>Supply and apply 6mm Thick Protection board</t>
  </si>
  <si>
    <t>Supply and apply 80mm Thick Foam Concrete</t>
  </si>
  <si>
    <t>Supply and apply aluminum flashing with Polyurethane sealant -accessible Terrace Balcony</t>
  </si>
  <si>
    <t>Supply and apply application of light weight concrete of thickness 80 mm of density 650kg/m2 to horizontally</t>
  </si>
  <si>
    <t>Supply and apply Bituminous primer coating -accessible Terrace Balcony</t>
  </si>
  <si>
    <t>Supply and apply Bituminous primer coating -non accessible accessible Terrace</t>
  </si>
  <si>
    <t>Supply and apply combo waterproofing system (including rain outlets)</t>
  </si>
  <si>
    <t>Supply and apply CRC\6 Cementitious Waterproof coating or equivalent approved, in 2 coats with total thickness not less than 1.2 mm.</t>
  </si>
  <si>
    <t>Roof Waterproofing: 
Supply and apply DCL (Dubai Central Laboratory) certified heat insulated roofing system (COMBO-ROOF) from Roof Care or</t>
  </si>
  <si>
    <t>Supply and apply DCL (Dubai Central Laboratory) certified heat insulated roofing system (COMBO-ROOF) from Roof Care or</t>
  </si>
  <si>
    <t>Supply and apply for 4mm GRP lining for 4 coats to main water tank in Ceiling</t>
  </si>
  <si>
    <t>Supply and apply for 4mm GRP lining for 4 coats to main water tank in Floor</t>
  </si>
  <si>
    <t>Supply and apply for 4mm GRP lining for 4 coats to main water tank in Wall</t>
  </si>
  <si>
    <t>Supply and apply Injection work at Cold storage area</t>
  </si>
  <si>
    <t>Supply and apply Injection work at Gym store room area</t>
  </si>
  <si>
    <t>Supply and apply of 1 coat of primer and 2 Layers of 4mm thick SBS Modified membrane To Horizontal</t>
  </si>
  <si>
    <t>Supply and apply of 1 Layer of 100 gsm Geo-Textile to Horizontal</t>
  </si>
  <si>
    <t>Supply and apply of 1 Layer of 100 gsm Geo-Textile to Vertically</t>
  </si>
  <si>
    <t>Supply and apply of 1 Layer of 100gsm Geotextile -Geotec 100</t>
  </si>
  <si>
    <t>Supply and apply of 100mm extruded Insulation board-Expo foam</t>
  </si>
  <si>
    <t>Supply and apply of 1side mill finish aluminum flashing</t>
  </si>
  <si>
    <t>Supply and apply of 2 coats of acrylic coating as top coat 800 microns-Neotex SP</t>
  </si>
  <si>
    <t>Supply and apply of 2mm thk Hybrid polyurea including primer and 
minor surface preparation</t>
  </si>
  <si>
    <t>Supply and apply of 2mm thk Hybrid polyurea including primer and  minor surface preparation</t>
  </si>
  <si>
    <t>Supply and apply of 3mm protection board in Vertical to first floor terrace area</t>
  </si>
  <si>
    <t>Supply and apply of 3mm protection board in Vertical to Planter Box</t>
  </si>
  <si>
    <t>Supply and apply of 4mm thick protection board in Vertical</t>
  </si>
  <si>
    <t>Supply and Apply of light weight foam concrete 15cm thick</t>
  </si>
  <si>
    <t>Supply and apply of Mastic Sealant at termination groove</t>
  </si>
  <si>
    <t>Supply and apply of PU Foam 40mm Thick</t>
  </si>
  <si>
    <t>Supply and Apply of Re-injectable Hose</t>
  </si>
  <si>
    <t>Supply and apply of two coat Polythrne P polyurethane waterproofing coating for wet area -Henkel Polybit</t>
  </si>
  <si>
    <t>Supply and apply One Layer Filter Membrane 100gsm-Optional</t>
  </si>
  <si>
    <t>Supply and apply One Layer of 6mm Thick Protection Board -Optional</t>
  </si>
  <si>
    <t>Supply and apply one layer of Colphene BSW H 3.5mm thick fully bonded water proofing membrane</t>
  </si>
  <si>
    <t>Supply and apply one layer of SBS membrane to Ditto but vertically</t>
  </si>
  <si>
    <t>Supply and apply one layer of SBS membrane to horizontally</t>
  </si>
  <si>
    <t>Supply and apply Polyurethane sealant with backing rod -accessible Terrace Balcony</t>
  </si>
  <si>
    <t>Supply and apply Primer &amp; 1 layers of 4mm thick SBS waterproofing membrane to first floor terrace area</t>
  </si>
  <si>
    <t>Supply and apply Primer &amp; 1 layers of 4mm thick SBS waterproofing membrane to Planter Box</t>
  </si>
  <si>
    <t>Supply and apply Primer and double layer of 4mm SBS Membrane 200g/m2</t>
  </si>
  <si>
    <t>Supply and apply protection board</t>
  </si>
  <si>
    <t>Supply and apply protection board (Awazel)</t>
  </si>
  <si>
    <t>Supply and apply PVC Water Stopper 25mm width double sided</t>
  </si>
  <si>
    <t>Supply and apply Rubberized Bitumen Emulsion Coating</t>
  </si>
  <si>
    <t>Supply and apply single layer 6 mm thick protection board</t>
  </si>
  <si>
    <t>Supply and apply single layer of 4mm thick protection board</t>
  </si>
  <si>
    <t>Supply and apply THOROSEAL FX 100 Acrylic Cementious for Water Tanks Flooring</t>
  </si>
  <si>
    <t>Supply and apply Two coats of bitumenous coating to Horizontal</t>
  </si>
  <si>
    <t>Supply and apply Two coats of bitumenous coating to Vertical</t>
  </si>
  <si>
    <t>Supply and apply two coats of cementitious including pipe penetration -Swimming pool</t>
  </si>
  <si>
    <t>Supply and apply two coats Polythene P, polyurethane waterproofing coating for wet area</t>
  </si>
  <si>
    <t>Supply and apply two layers of SBS membrane to Ditto but vertically</t>
  </si>
  <si>
    <t>Supply and apply two layers of SBS membrane to horizontally</t>
  </si>
  <si>
    <t>SUPPLY AND INSTALLATION (ELECTRIC)</t>
  </si>
  <si>
    <t>Supply and installation of 40mm thick PU Foam at 3rd floor</t>
  </si>
  <si>
    <t>Supply and Installation of Combo for Balconies</t>
  </si>
  <si>
    <t>Supply and Installation of Combo for Balconies with out screed including skirting</t>
  </si>
  <si>
    <t>Supply and Installation of Combo for driver room roof</t>
  </si>
  <si>
    <t>Supply and installation of combo roofing system at 21st floor terrace area</t>
  </si>
  <si>
    <t>Supply and Installation of Combo Villas Roof</t>
  </si>
  <si>
    <t>SUPPLY AND INSULATION OF GRP</t>
  </si>
  <si>
    <t>Supply and Installation of GRP Ladder.</t>
  </si>
  <si>
    <t>Supply and Installation of vertical waterproofing, 300mm high for balconies</t>
  </si>
  <si>
    <t>Supply and Installation of wet area horizontal for driver room</t>
  </si>
  <si>
    <t>Supply and Installation of wet area horizontal for villa</t>
  </si>
  <si>
    <t>Supply and Installation of wet area vertical for driver room</t>
  </si>
  <si>
    <t>Supply and Installation of wet area vertical for villa</t>
  </si>
  <si>
    <t xml:space="preserve">SUPPLY AND INSTALLATION WATER TAP </t>
  </si>
  <si>
    <t>SUPPLY AND INSTALLATION WATER TAP</t>
  </si>
  <si>
    <t>Supply and Installation wet area skirting waterproofing 300mm thick</t>
  </si>
  <si>
    <t>Supply and laying of Screed to slope</t>
  </si>
  <si>
    <t>SUPPLY, INSTALLATION, TESTING, AND COMMISSIONING OF MEP FILTRATION SYSTEMS IN GRP PLUNGE POOL BASES</t>
  </si>
  <si>
    <t>Surface Preparation - Floor, Wall(300mm)</t>
  </si>
  <si>
    <t>Surface Preparation - Floor,Wall(300mm)</t>
  </si>
  <si>
    <t>SURFACE PREPARATION , SUPPLY &amp; APPLY FRINDING UP TO 5MM</t>
  </si>
  <si>
    <t>Surface Preparation for waterproofing</t>
  </si>
  <si>
    <t>Swellable bar at Construction Joints</t>
  </si>
  <si>
    <t>Termination using aluminum flashing with 1mm thick and 50mm total girth including bituminous sealant</t>
  </si>
  <si>
    <t>Terrace and Balcony</t>
  </si>
  <si>
    <t>Terrace and Balcony as per Agreement</t>
  </si>
  <si>
    <t>Thermal and Moisture Protection</t>
  </si>
  <si>
    <t>Thermal and moisture protection system to balcony floor to non AC area</t>
  </si>
  <si>
    <t xml:space="preserve">THIRD PARTY INSPECTION </t>
  </si>
  <si>
    <t>THIRD PARTY INSPECTION</t>
  </si>
  <si>
    <t>To balcony; horizontally</t>
  </si>
  <si>
    <t>To balcony; vertically</t>
  </si>
  <si>
    <t>To Column Pedestal; Vertically</t>
  </si>
  <si>
    <t>To External RC wall; Vertically</t>
  </si>
  <si>
    <t>To Footing; horizontally</t>
  </si>
  <si>
    <t>To Footing; Vertically</t>
  </si>
  <si>
    <t>To Foundation slab; horizontally</t>
  </si>
  <si>
    <t>To Foundation slab; Vertically</t>
  </si>
  <si>
    <t>To garbage room; horizontally</t>
  </si>
  <si>
    <t>To garbage room; vertically</t>
  </si>
  <si>
    <t>To Grade beam; horizontally</t>
  </si>
  <si>
    <t>To Grade beam; Vertically</t>
  </si>
  <si>
    <t>To ground floor landscape area</t>
  </si>
  <si>
    <t>To parapet; vertically</t>
  </si>
  <si>
    <t>To Pilecap; Horizontally</t>
  </si>
  <si>
    <t>To Pilecap; Vertically</t>
  </si>
  <si>
    <t>To roof</t>
  </si>
  <si>
    <t>To roof; Vertical 300mm high</t>
  </si>
  <si>
    <t>To slab; horizontally</t>
  </si>
  <si>
    <t>To toilet &amp; kitchen; horizontally</t>
  </si>
  <si>
    <t>To toilet &amp; kitchen; vertically</t>
  </si>
  <si>
    <t>To toilets; horizontally</t>
  </si>
  <si>
    <t>To toilets; vertically</t>
  </si>
  <si>
    <t>To vertical areas</t>
  </si>
  <si>
    <t>To; podium slab (landscape)</t>
  </si>
  <si>
    <t>TONER</t>
  </si>
  <si>
    <t>TONER YIELD COLOR</t>
  </si>
  <si>
    <t>Top Coat Layer optional</t>
  </si>
  <si>
    <t>TORCHER</t>
  </si>
  <si>
    <t>Tower Crane</t>
  </si>
  <si>
    <t>TOWER CRANE SUPPLY</t>
  </si>
  <si>
    <t>TRADE LICENSE</t>
  </si>
  <si>
    <t xml:space="preserve">TRANSPORT CHARGES </t>
  </si>
  <si>
    <t>TRANSPORT CHARGES</t>
  </si>
  <si>
    <t>TRANSPORTATION CHARGES (DON'T USE THIS ITEM)</t>
  </si>
  <si>
    <t>TRANSPORTATION CHARGES</t>
  </si>
  <si>
    <t>TRAVEL-SERVICE-001</t>
  </si>
  <si>
    <t>Treatment to pile Heads 1000 mm Dia</t>
  </si>
  <si>
    <t>Treatment to pile Heads 700 mm Dia</t>
  </si>
  <si>
    <t>Treatment to starter Bars in Piles 1000 mm Dia</t>
  </si>
  <si>
    <t>Treatment to starter Bars in Piles 700 mm Dia</t>
  </si>
  <si>
    <t>Two layers of 4mm thick waterproofing anti- root membrane torch applied with 100mm side laps and end laps doubly reinforced with 50 gm/sq. m</t>
  </si>
  <si>
    <t xml:space="preserve">ULTRASONIC PULSE VELOCITY </t>
  </si>
  <si>
    <t>upply and application of Mastic Sealant at termination grove</t>
  </si>
  <si>
    <t>upply and apply CRC\6 Cementitious
Waterproof coating or equivalent approved, in 2 coats with total thickness not less than 1.2 mm To Horizo</t>
  </si>
  <si>
    <t>upply and apply CRC\6 Cementitious Waterproof coating or equivalent approved, in 2 coats with total thickness not less than 1.2 mm To Horizo</t>
  </si>
  <si>
    <t>VAN CHARGES WITH PETROL AND DRIVER</t>
  </si>
  <si>
    <t>VARIANCE-ITEM</t>
  </si>
  <si>
    <t>Variation</t>
  </si>
  <si>
    <t>Vertical</t>
  </si>
  <si>
    <t>Vertical to balconies</t>
  </si>
  <si>
    <t>Vertical to Roof</t>
  </si>
  <si>
    <t>Vertically to carpet</t>
  </si>
  <si>
    <t xml:space="preserve">WATER ABSORPTION TEST ON CONCRETE FLAGSTONE </t>
  </si>
  <si>
    <t>WATER REMOVAL</t>
  </si>
  <si>
    <t>Water Stopper</t>
  </si>
  <si>
    <t>Water Stopper 25cm</t>
  </si>
  <si>
    <t>Water Stopper to Water tanks, Sump Pits &amp; Lift pits</t>
  </si>
  <si>
    <t>Water Tank</t>
  </si>
  <si>
    <t>WATERPROOFING APPLIED HORIZONTALLY</t>
  </si>
  <si>
    <t>WATERPROOFING BEHIND SHOWER (2.6m HIGH)</t>
  </si>
  <si>
    <t>Waterproofing Coating at Metal Roof</t>
  </si>
  <si>
    <t>Waterproofing to Balcony /Terrace to Horizontally</t>
  </si>
  <si>
    <t>Waterproofing to Balcony /Terrace to Vertically</t>
  </si>
  <si>
    <t>Waterproofing to Shared Retaining Wall for substructure</t>
  </si>
  <si>
    <t>Waterproofing work at dewatering pit and termination of the membrane</t>
  </si>
  <si>
    <t>Wet Are Waterproofing</t>
  </si>
  <si>
    <t>Wet Area</t>
  </si>
  <si>
    <t>Wet Area Skirting</t>
  </si>
  <si>
    <t>Wet Area Supply and apply 2 coats of cementitious coating to horizontally &amp; Vertically</t>
  </si>
  <si>
    <t>Wet Area Supply and apply 2 coats of cementitious coating to horizontally &amp; Vertically Horizontal</t>
  </si>
  <si>
    <t>Wet Area Supply and apply 2 coats of cementitious coating to horizontally &amp; Vertically Vertical</t>
  </si>
  <si>
    <t>Megacoulomb</t>
  </si>
  <si>
    <t>Wet Area Toilet and Kitchen - Horizontal</t>
  </si>
  <si>
    <t>Wet Area Toilet and Kitchen - Vertical</t>
  </si>
  <si>
    <t>WET AREA WATER PROOFING</t>
  </si>
  <si>
    <t>Wet Area Waterproofing</t>
  </si>
  <si>
    <t>Wet area waterproofing to Horizontal</t>
  </si>
  <si>
    <t>Wet area waterproofing to Vertical</t>
  </si>
  <si>
    <t>Wet area waterproofing works</t>
  </si>
  <si>
    <t>SHUTERING OIL</t>
  </si>
  <si>
    <t>NEORELEASE SB</t>
  </si>
  <si>
    <t>SHUTTERING OIL</t>
  </si>
  <si>
    <t>STATIONARY</t>
  </si>
  <si>
    <t>BINDER CLIP 15MM 12 PCS PER PKT</t>
  </si>
  <si>
    <t xml:space="preserve">BINDER CLIP 19MM </t>
  </si>
  <si>
    <t xml:space="preserve">BINDER CLIP 32MM </t>
  </si>
  <si>
    <t xml:space="preserve">BINDER CLIP 51MM </t>
  </si>
  <si>
    <t xml:space="preserve">DIVIDER A5 CUTTING </t>
  </si>
  <si>
    <t xml:space="preserve">ERASER </t>
  </si>
  <si>
    <t>GLUE STICK</t>
  </si>
  <si>
    <t xml:space="preserve">HANGING FILE -GREEN 50 PCS PER CTN </t>
  </si>
  <si>
    <t>HANGING FILE -GREEN 50 PCS PER CTN</t>
  </si>
  <si>
    <t xml:space="preserve">PAPER A3 </t>
  </si>
  <si>
    <t>PAPER A3</t>
  </si>
  <si>
    <t xml:space="preserve">PAPER CLIP </t>
  </si>
  <si>
    <t>PAPER CLIP</t>
  </si>
  <si>
    <t xml:space="preserve">PEN CELLO SOFT TIP </t>
  </si>
  <si>
    <t xml:space="preserve">PEN HOLDER </t>
  </si>
  <si>
    <t>PEN HOLDER</t>
  </si>
  <si>
    <t xml:space="preserve">PEN UNIBALL UB157 12 PCS PER PKT </t>
  </si>
  <si>
    <t>PEN UNIBALL UB157 12 PCS PER PKT</t>
  </si>
  <si>
    <t xml:space="preserve">SHORT HAND NOTE BOOK </t>
  </si>
  <si>
    <t>STAMP PAD</t>
  </si>
  <si>
    <t>STAPLER PIN REMOVER</t>
  </si>
  <si>
    <t xml:space="preserve">STEEL SCALE </t>
  </si>
  <si>
    <t>STEEL SCALE</t>
  </si>
  <si>
    <t xml:space="preserve">WHITE BOARD MARKER </t>
  </si>
  <si>
    <t>WHITE BOARD MARKER</t>
  </si>
  <si>
    <t>STEEL WORK</t>
  </si>
  <si>
    <t>DEFORMED STEEL</t>
  </si>
  <si>
    <t>DEFORMED STEEL 16MM</t>
  </si>
  <si>
    <t>REDUCER COUPLER THREADED 32MM TO 25MM</t>
  </si>
  <si>
    <t xml:space="preserve">STEEL DOOR FOR SITE OFFICE </t>
  </si>
  <si>
    <t>STEEL DOOR FOR SITE OFFICE</t>
  </si>
  <si>
    <t xml:space="preserve">WIRE CUTTER KNIPEX 6" </t>
  </si>
  <si>
    <t>Sub Assemblies</t>
  </si>
  <si>
    <t>SUBCONTRACTOR SERVICES</t>
  </si>
  <si>
    <t>1*PVA PRIMER, 2*STUCCO, 2*Antifungal Paint(Wet Areas)</t>
  </si>
  <si>
    <t>1*PVA PRIMER, 2*STUCCO, 2*FENOMASTIC MATT</t>
  </si>
  <si>
    <t>Acess Panel Works</t>
  </si>
  <si>
    <t xml:space="preserve">FABRICATION WORK </t>
  </si>
  <si>
    <t>FABRICATION WORK</t>
  </si>
  <si>
    <t>Metal Ladder Works</t>
  </si>
  <si>
    <t>Plumbing ,Electrical and HVAC system</t>
  </si>
  <si>
    <t>POST TENSION WORK</t>
  </si>
  <si>
    <t xml:space="preserve">POST TENSION WORKS </t>
  </si>
  <si>
    <t>POST TENSION WORKS</t>
  </si>
  <si>
    <t xml:space="preserve">Fixing of steel reinforcement </t>
  </si>
  <si>
    <t>Steel reinforcement binding</t>
  </si>
  <si>
    <t>SUBSTRUCTURE WATERPROOFING</t>
  </si>
  <si>
    <t>Dewatering well waterproofing</t>
  </si>
  <si>
    <t>Earthing Rod Waterproofing, Pipe Penetration</t>
  </si>
  <si>
    <t>Supply &amp; Apply 1 coat primer (SOPRADERE HT Primer) Supply &amp; Apply 1 Layer of 4mm thick 200g/m2 (-20) membrane- BSW Base Colphene</t>
  </si>
  <si>
    <t>Supply &amp; Apply 2 coats of Rubberised Bitumen emulsion paint SOPRADERE HT</t>
  </si>
  <si>
    <t>Supply &amp; Apply 3mm thick protection board</t>
  </si>
  <si>
    <t>Supply &amp; Installation of Re-injection Hose System - Soprajoint RIH</t>
  </si>
  <si>
    <t>Supply &amp; installation of Swellable bar - Soprajoint HP</t>
  </si>
  <si>
    <t>Supply&amp;Apply 1 Layer of Colphene BSW H 3.5mm thick fully bonded Waterproofing membrane,Colphene BSW SP laps on Construction Joints &amp; Corners</t>
  </si>
  <si>
    <t>TILE PROTECTION</t>
  </si>
  <si>
    <t>POLYPROPELENE SHEET 4MM  ( SIZE : 09M X  2M )</t>
  </si>
  <si>
    <t>VEHICLE  MAINTENANCE</t>
  </si>
  <si>
    <t>TYRE</t>
  </si>
  <si>
    <t xml:space="preserve">VEHICLE BATTERY </t>
  </si>
  <si>
    <t>VEHICLE BATTERY</t>
  </si>
  <si>
    <t>WATERPRROFING GAS</t>
  </si>
  <si>
    <t xml:space="preserve">CYLINDER 50 LBS REFILLING </t>
  </si>
  <si>
    <t xml:space="preserve">PROPANE HIGH PRESSURE REGULATOR WITH GUAGE </t>
  </si>
  <si>
    <t>WATERPRROFING GAS 22 KG</t>
  </si>
  <si>
    <t>CYLINDER</t>
  </si>
  <si>
    <t>Item</t>
  </si>
  <si>
    <t>RATE</t>
  </si>
  <si>
    <t>Anchor Allied</t>
  </si>
  <si>
    <t>GEOTEC 250 GSM (6 X 100) 600 M² /ROLL</t>
  </si>
  <si>
    <t>Royal Industries</t>
  </si>
  <si>
    <t>Fibre Mesh</t>
  </si>
  <si>
    <t>FABRIC 1MX  50M ROLL</t>
  </si>
  <si>
    <t>AWAZEL</t>
  </si>
  <si>
    <t>KANZ</t>
  </si>
  <si>
    <t>SODAMCO</t>
  </si>
  <si>
    <t>GS ENTERPRISES</t>
  </si>
  <si>
    <t>PETROZO</t>
  </si>
  <si>
    <t>GEOBIT</t>
  </si>
  <si>
    <t>HUNTSMAN</t>
  </si>
  <si>
    <t>JK CEMENT</t>
  </si>
  <si>
    <t xml:space="preserve">al gurg fosroc </t>
  </si>
  <si>
    <t>POLYBIT</t>
  </si>
  <si>
    <t>SIKA</t>
  </si>
  <si>
    <t>Description= ITEM NAME (PACKAGING)</t>
  </si>
  <si>
    <t>Unit Price</t>
  </si>
  <si>
    <t>NW 100 GSM PET -WHITE (3 MTR *100 MTR)</t>
  </si>
  <si>
    <t>HUNTSMAN 200 (250KG Drum)</t>
  </si>
  <si>
    <t>HUNTSMAN SP 40 (220KG Drum)</t>
  </si>
  <si>
    <t>HUNTSMAN SP 45 (220KG Drum)</t>
  </si>
  <si>
    <t>SHERIDAN</t>
  </si>
  <si>
    <t>GROUT</t>
  </si>
  <si>
    <t>NEOGROUT NS (20 KG/BAG)</t>
  </si>
  <si>
    <t>BIFLEX PL 4MM /180 GSM (1*10 MTR ROLL)</t>
  </si>
  <si>
    <t>MIX GROUT NS (25 KG BAG)</t>
  </si>
  <si>
    <t>3.2mm Protection Board (1M*2M )</t>
  </si>
  <si>
    <t>4mm Protection Board (1M*2M )</t>
  </si>
  <si>
    <t>6mm Protection Board  (1M*2M )</t>
  </si>
  <si>
    <t xml:space="preserve">ITEM GROUPS EXTRACT FROM REDTRA </t>
  </si>
  <si>
    <t>S.NO.</t>
  </si>
  <si>
    <t>ITEM GROUP LIST AS PER TREE STOCK</t>
  </si>
  <si>
    <t>All hardware accessories like hammer,chisel etc</t>
  </si>
  <si>
    <t>Shift to plaster</t>
  </si>
  <si>
    <t>Block items</t>
  </si>
  <si>
    <t xml:space="preserve">GROUT AND TILES </t>
  </si>
  <si>
    <t>MACHINERY</t>
  </si>
  <si>
    <t>WATERPROOFING GAS</t>
  </si>
  <si>
    <t>FIXED ASSTES</t>
  </si>
  <si>
    <t>CONSUMABLES</t>
  </si>
  <si>
    <t>SUBCONTRACTOR</t>
  </si>
  <si>
    <t>mrg - faiz</t>
  </si>
  <si>
    <t>DIESEL, PETROL ETC</t>
  </si>
  <si>
    <t>All Item Groups</t>
  </si>
  <si>
    <t>rate</t>
  </si>
  <si>
    <t>unit</t>
  </si>
  <si>
    <t>G.I PLASTER STOPPER</t>
  </si>
  <si>
    <t>`</t>
  </si>
  <si>
    <t>PLASTER ITEMS</t>
  </si>
  <si>
    <t>G.I ANGLE BEAD ( 50 X 50 X 13MM )</t>
  </si>
  <si>
    <t>S.S ANGLE BEAD  ( 50 X 50 X 13MM )</t>
  </si>
  <si>
    <t>TRANSPORT &amp; MACHINERY</t>
  </si>
  <si>
    <t>nos</t>
  </si>
  <si>
    <t>DEFORMED STEEL  BAR 16MM</t>
  </si>
  <si>
    <t>GEOTEXTILE WHITE PP 120 3X100 (300M2) double entry</t>
  </si>
  <si>
    <t>3mm protection board sika</t>
  </si>
  <si>
    <t>PROTECTION BOARD  (3.2mmx2mx1m) awazel</t>
  </si>
  <si>
    <t>PROTECTION BOARD  (6MMX2MX1M) SHEET fosroc</t>
  </si>
  <si>
    <t>AWAZEL PU FLEX  ( 600 ML )</t>
  </si>
  <si>
    <t xml:space="preserve">DUMASTIC (20 KG PAIL ) </t>
  </si>
  <si>
    <t>RHEO MASTIC SEALANT (20KG PER PAIL)</t>
  </si>
  <si>
    <t>SOPRAMASTIC LM ( 20 LTR PAIL)</t>
  </si>
  <si>
    <t xml:space="preserve">WEBER JOINTSEAL PU 300 GREY (600 ML )  </t>
  </si>
  <si>
    <t xml:space="preserve">SIKAFLEX-428 PRECAST CONCRETE GREY  (600 ML )  </t>
  </si>
  <si>
    <t xml:space="preserve">NEOFLEX PU 25 LM GREY  (POLYURETHENE SEALANT)  (600 ML )  </t>
  </si>
  <si>
    <t xml:space="preserve">NEOSULPHIDE SEALANT-GUN GRADE PART 4 4KG+PART B 0.250KG ( 2.5LTR PER PACK ) </t>
  </si>
  <si>
    <t xml:space="preserve">TILES ITEMS </t>
  </si>
  <si>
    <t>SIKALATIC 311- AE ( 20 LTR PAIL )</t>
  </si>
  <si>
    <t>FLEXIBLE CABLE 6MM X 4 C ( 100 YRD )</t>
  </si>
  <si>
    <t>KRISH BALL PEN RED (50PCS/PKT)</t>
  </si>
  <si>
    <t>A4 PAPER80 GSM (5 REAM/BOX) (2500 SHEETS)</t>
  </si>
  <si>
    <t>MARKER PEN ROUND TIP RED</t>
  </si>
  <si>
    <t>HIGHLIGHTER ASSORTED COLOR(5 PCS/PKT)</t>
  </si>
  <si>
    <t>CORRECTION PEN (12PCS/BOX)</t>
  </si>
  <si>
    <t>PAPER A3  (5 REAM/BOX) (2500 SHEETS)</t>
  </si>
  <si>
    <t>BOX FILE -PVC (GREEN)</t>
  </si>
  <si>
    <t>ENVELOPE A4 BROWN (50 PCS/PKT)</t>
  </si>
  <si>
    <t>ENVELOPE A5 BROWN (50 PCS/PKT)</t>
  </si>
  <si>
    <t>KRISH BALL PEN BLACK (50PCS/PKT)</t>
  </si>
  <si>
    <t>KRISH BALL PEN BLUE(50 PCS/BOX)</t>
  </si>
  <si>
    <t>STICKY NOTES 3X3(12 PCS/PKT)</t>
  </si>
  <si>
    <t>STICKY NOTES 1.5X2 (12 PCS/PKT)</t>
  </si>
  <si>
    <t xml:space="preserve">SDS MAX POINTED CHISEL 400 MM </t>
  </si>
  <si>
    <t xml:space="preserve">SDS MAX POINTED CHISEL 600 MM </t>
  </si>
  <si>
    <t>COTTON WASTE CLOTH ( WHITE)</t>
  </si>
  <si>
    <t>HAND SHOVEL ( CONCRETE WORK)</t>
  </si>
  <si>
    <t>MASON TROWEL 5'' ( KARANDI)</t>
  </si>
  <si>
    <t>BITUMEN IMPEREGNATED BOARD 10MM-CUTTING 7CM</t>
  </si>
  <si>
    <t>LOYD BUILDING MATERIALS TRADING L.L.C</t>
  </si>
  <si>
    <t xml:space="preserve">ALUMINIUM  FLASHING (13CM X 1MM X 3 BEND X 2.44M LONG ) </t>
  </si>
  <si>
    <t>ALUMINIUM FLASHING (10CM X 1MM X 1BEND X 2.44M LONG )</t>
  </si>
  <si>
    <t>CANVAS CLOTH (25 PCS PER BUNDLE )</t>
  </si>
  <si>
    <t>ALRIMH AL THAHABI BUILDING MATERIAL TRADING L.L.C</t>
  </si>
  <si>
    <t xml:space="preserve"> MC-0130 DPM - 20 KG</t>
  </si>
  <si>
    <t>KT-00101 GAMA TRANSFER PUMB KIT</t>
  </si>
  <si>
    <t>GR-118665 LUBRICANT GREASE(WB)</t>
  </si>
  <si>
    <t>GR-248133 CHECK VALVE FACE O RING</t>
  </si>
  <si>
    <t>GR-248129 ORING KIT (PACK OF 6)</t>
  </si>
  <si>
    <t>GR-248130 SEAL ORING(PACK OF 6)</t>
  </si>
  <si>
    <t>MC-0127 DOP-20KG</t>
  </si>
  <si>
    <t>GR-246357 SCREEN MESH 40</t>
  </si>
  <si>
    <t>GR-157630 SPRING TAPERED</t>
  </si>
  <si>
    <t>GR-246354 GUN REPAIR KIT,AIR VALVE O-RING</t>
  </si>
  <si>
    <t>GR-15B210 FUSION AIR CAP ROUND TIP</t>
  </si>
  <si>
    <t>MC-0112 SCUFF JACKET 3"X30 MTR</t>
  </si>
  <si>
    <t>MC-0151 OR -00112 O-RING</t>
  </si>
  <si>
    <t>AL BARSHA TYRE &amp; BATTERY TRADING L.L.C</t>
  </si>
  <si>
    <t>TYRE PUNTURE REPAIR</t>
  </si>
  <si>
    <t>YOMAR CH Y26</t>
  </si>
  <si>
    <t>AUSTONE CH Y26</t>
  </si>
  <si>
    <t>EZDRIVE 60 AH</t>
  </si>
  <si>
    <t>PRIMEWAY PW07</t>
  </si>
  <si>
    <t>WHEEL ALIGNMENT</t>
  </si>
  <si>
    <t>MOTOR LAND GARAGE</t>
  </si>
  <si>
    <t>WIPER BLADE REPLACING WITH PARTS</t>
  </si>
  <si>
    <t>GIVE WAY STICKER REPLACING WITH PARTS</t>
  </si>
  <si>
    <t>POST PAID SIM, ETISALAT</t>
  </si>
  <si>
    <t>ZAHOOR AL HIRA TRADING LLC</t>
  </si>
  <si>
    <t>NATIONAL 4G DATA CHARGES BY ETISALAT, BILLED YEARLY</t>
  </si>
  <si>
    <t>GNSS/ LTE MODULES, INTERNAL GNSS, LTE ANTENNAS, RELIABLE 4G CONNECTION, INTERNAL BACK-UP BATTERY.</t>
  </si>
  <si>
    <t>GPS INSTALLATION CHARGES</t>
  </si>
  <si>
    <t>FALCON TRACKERS EZ+ FLEET MONITORING SOFTWARE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</si>
</sst>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Trebuchet MS"/>
      <charset val="134"/>
    </font>
    <font>
      <sz val="9"/>
      <color theme="1"/>
      <name val="Arial"/>
      <charset val="134"/>
    </font>
    <font>
      <sz val="10"/>
      <color theme="1"/>
      <name val="Trebuchet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/>
  </cellStyleXfs>
  <cellXfs count="10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176" fontId="0" fillId="0" borderId="0" xfId="1" applyAlignment="1"/>
    <xf numFmtId="176" fontId="0" fillId="0" borderId="0" xfId="1" applyAlignment="1">
      <alignment horizontal="right"/>
    </xf>
    <xf numFmtId="0" fontId="0" fillId="0" borderId="1" xfId="0" applyBorder="1"/>
    <xf numFmtId="0" fontId="0" fillId="3" borderId="1" xfId="49" applyFill="1" applyBorder="1"/>
    <xf numFmtId="0" fontId="0" fillId="0" borderId="1" xfId="0" applyBorder="1" applyAlignment="1">
      <alignment horizontal="center"/>
    </xf>
    <xf numFmtId="176" fontId="0" fillId="0" borderId="1" xfId="1" applyBorder="1" applyAlignment="1"/>
    <xf numFmtId="176" fontId="0" fillId="0" borderId="1" xfId="1" applyBorder="1" applyAlignment="1">
      <alignment horizontal="right"/>
    </xf>
    <xf numFmtId="0" fontId="1" fillId="0" borderId="1" xfId="0" applyFont="1" applyBorder="1"/>
    <xf numFmtId="0" fontId="1" fillId="3" borderId="1" xfId="49" applyFont="1" applyFill="1" applyBorder="1"/>
    <xf numFmtId="0" fontId="1" fillId="0" borderId="1" xfId="0" applyFont="1" applyBorder="1" applyAlignment="1">
      <alignment horizontal="left"/>
    </xf>
    <xf numFmtId="176" fontId="1" fillId="0" borderId="1" xfId="1" applyFont="1" applyBorder="1" applyAlignment="1"/>
    <xf numFmtId="176" fontId="1" fillId="0" borderId="1" xfId="1" applyFont="1" applyBorder="1" applyAlignment="1">
      <alignment horizontal="right"/>
    </xf>
    <xf numFmtId="176" fontId="0" fillId="0" borderId="1" xfId="1" applyFont="1" applyFill="1" applyBorder="1" applyAlignment="1">
      <alignment horizontal="right"/>
    </xf>
    <xf numFmtId="0" fontId="2" fillId="0" borderId="1" xfId="0" applyFont="1" applyBorder="1"/>
    <xf numFmtId="176" fontId="2" fillId="0" borderId="1" xfId="1" applyFont="1" applyBorder="1" applyAlignment="1"/>
    <xf numFmtId="176" fontId="2" fillId="0" borderId="1" xfId="1" applyFont="1" applyFill="1" applyBorder="1" applyAlignment="1">
      <alignment horizontal="right"/>
    </xf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176" fontId="0" fillId="2" borderId="1" xfId="1" applyFont="1" applyFill="1" applyBorder="1" applyAlignment="1">
      <alignment horizontal="right"/>
    </xf>
    <xf numFmtId="0" fontId="0" fillId="4" borderId="1" xfId="0" applyFill="1" applyBorder="1"/>
    <xf numFmtId="176" fontId="0" fillId="4" borderId="1" xfId="1" applyFill="1" applyBorder="1" applyAlignment="1"/>
    <xf numFmtId="176" fontId="0" fillId="4" borderId="1" xfId="1" applyFont="1" applyFill="1" applyBorder="1" applyAlignment="1">
      <alignment horizontal="right"/>
    </xf>
    <xf numFmtId="0" fontId="3" fillId="0" borderId="1" xfId="0" applyFont="1" applyBorder="1"/>
    <xf numFmtId="0" fontId="0" fillId="2" borderId="1" xfId="49" applyFill="1" applyBorder="1"/>
    <xf numFmtId="0" fontId="0" fillId="5" borderId="1" xfId="49" applyFill="1" applyBorder="1"/>
    <xf numFmtId="0" fontId="4" fillId="0" borderId="1" xfId="0" applyFont="1" applyBorder="1"/>
    <xf numFmtId="176" fontId="0" fillId="0" borderId="1" xfId="1" applyBorder="1" applyAlignment="1">
      <alignment vertical="center"/>
    </xf>
    <xf numFmtId="176" fontId="0" fillId="0" borderId="1" xfId="1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176" fontId="0" fillId="0" borderId="1" xfId="1" applyFill="1" applyBorder="1" applyAlignment="1">
      <alignment horizontal="right" vertical="center"/>
    </xf>
    <xf numFmtId="0" fontId="0" fillId="0" borderId="2" xfId="0" applyBorder="1"/>
    <xf numFmtId="176" fontId="0" fillId="2" borderId="1" xfId="1" applyFill="1" applyBorder="1" applyAlignment="1">
      <alignment vertical="center"/>
    </xf>
    <xf numFmtId="0" fontId="0" fillId="3" borderId="3" xfId="49" applyFill="1" applyBorder="1"/>
    <xf numFmtId="0" fontId="0" fillId="2" borderId="1" xfId="0" applyFill="1" applyBorder="1" applyAlignment="1">
      <alignment vertical="center"/>
    </xf>
    <xf numFmtId="176" fontId="0" fillId="2" borderId="1" xfId="1" applyFont="1" applyFill="1" applyBorder="1" applyAlignment="1">
      <alignment vertical="center"/>
    </xf>
    <xf numFmtId="176" fontId="0" fillId="2" borderId="1" xfId="1" applyFont="1" applyFill="1" applyBorder="1" applyAlignment="1">
      <alignment horizontal="right" vertical="center"/>
    </xf>
    <xf numFmtId="176" fontId="0" fillId="2" borderId="1" xfId="1" applyFill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176" fontId="0" fillId="0" borderId="1" xfId="1" applyBorder="1" applyAlignment="1">
      <alignment horizontal="right" vertical="center"/>
    </xf>
    <xf numFmtId="0" fontId="0" fillId="2" borderId="3" xfId="49" applyFill="1" applyBorder="1"/>
    <xf numFmtId="176" fontId="0" fillId="0" borderId="0" xfId="1" applyAlignment="1">
      <alignment vertical="center"/>
    </xf>
    <xf numFmtId="176" fontId="0" fillId="0" borderId="0" xfId="1" applyFill="1" applyAlignment="1">
      <alignment horizontal="righ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176" fontId="0" fillId="4" borderId="1" xfId="1" applyFill="1" applyBorder="1" applyAlignment="1">
      <alignment horizontal="right"/>
    </xf>
    <xf numFmtId="0" fontId="0" fillId="4" borderId="1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1" xfId="1" applyFont="1" applyBorder="1" applyAlignment="1">
      <alignment horizontal="right"/>
    </xf>
    <xf numFmtId="176" fontId="2" fillId="0" borderId="1" xfId="1" applyFont="1" applyBorder="1" applyAlignment="1">
      <alignment vertical="center"/>
    </xf>
    <xf numFmtId="176" fontId="2" fillId="0" borderId="1" xfId="1" applyFont="1" applyFill="1" applyBorder="1" applyAlignment="1">
      <alignment horizontal="right" vertical="center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176" fontId="6" fillId="0" borderId="1" xfId="1" applyFont="1" applyBorder="1" applyAlignment="1" applyProtection="1">
      <alignment horizontal="right" vertical="center"/>
    </xf>
    <xf numFmtId="0" fontId="0" fillId="4" borderId="1" xfId="49" applyFill="1" applyBorder="1"/>
    <xf numFmtId="0" fontId="0" fillId="0" borderId="1" xfId="0" applyBorder="1" applyAlignment="1">
      <alignment horizontal="left" vertical="center"/>
    </xf>
    <xf numFmtId="176" fontId="0" fillId="0" borderId="1" xfId="1" applyBorder="1" applyAlignment="1">
      <alignment horizontal="center" vertical="center"/>
    </xf>
    <xf numFmtId="0" fontId="0" fillId="3" borderId="0" xfId="0" applyFill="1"/>
    <xf numFmtId="176" fontId="0" fillId="0" borderId="1" xfId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3" fillId="0" borderId="0" xfId="0" applyFont="1"/>
    <xf numFmtId="0" fontId="0" fillId="0" borderId="0" xfId="0" applyAlignment="1">
      <alignment horizontal="center"/>
    </xf>
    <xf numFmtId="176" fontId="1" fillId="0" borderId="0" xfId="1" applyFont="1" applyAlignment="1"/>
    <xf numFmtId="0" fontId="0" fillId="0" borderId="1" xfId="0" applyBorder="1" applyAlignment="1">
      <alignment horizontal="left"/>
    </xf>
    <xf numFmtId="0" fontId="0" fillId="6" borderId="1" xfId="49" applyFill="1" applyBorder="1"/>
    <xf numFmtId="176" fontId="0" fillId="0" borderId="0" xfId="1" applyFont="1" applyFill="1" applyAlignment="1"/>
    <xf numFmtId="176" fontId="3" fillId="0" borderId="0" xfId="1" applyFont="1" applyFill="1" applyAlignment="1"/>
    <xf numFmtId="176" fontId="2" fillId="0" borderId="0" xfId="1" applyFont="1" applyFill="1" applyAlignment="1"/>
    <xf numFmtId="0" fontId="0" fillId="7" borderId="1" xfId="49" applyFill="1" applyBorder="1"/>
    <xf numFmtId="178" fontId="0" fillId="0" borderId="0" xfId="0" applyNumberFormat="1"/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176" fontId="0" fillId="0" borderId="0" xfId="1" applyFont="1" applyAlignment="1">
      <alignment horizontal="center"/>
    </xf>
    <xf numFmtId="176" fontId="1" fillId="0" borderId="1" xfId="1" applyFont="1" applyBorder="1" applyAlignment="1">
      <alignment horizontal="center"/>
    </xf>
    <xf numFmtId="176" fontId="0" fillId="0" borderId="1" xfId="1" applyFont="1" applyBorder="1" applyAlignment="1">
      <alignment horizontal="center"/>
    </xf>
    <xf numFmtId="0" fontId="0" fillId="6" borderId="0" xfId="0" applyFill="1"/>
    <xf numFmtId="0" fontId="1" fillId="2" borderId="0" xfId="0" applyFont="1" applyFill="1"/>
    <xf numFmtId="0" fontId="2" fillId="3" borderId="0" xfId="0" applyFont="1" applyFill="1"/>
    <xf numFmtId="176" fontId="0" fillId="0" borderId="0" xfId="1" applyFont="1" applyAlignment="1"/>
    <xf numFmtId="176" fontId="0" fillId="0" borderId="1" xfId="1" applyFont="1" applyBorder="1" applyAlignment="1"/>
    <xf numFmtId="176" fontId="0" fillId="0" borderId="1" xfId="1" applyFont="1" applyFill="1" applyBorder="1" applyAlignment="1">
      <alignment horizontal="center"/>
    </xf>
    <xf numFmtId="176" fontId="2" fillId="0" borderId="1" xfId="1" applyFont="1" applyFill="1" applyBorder="1" applyAlignment="1">
      <alignment horizontal="center"/>
    </xf>
    <xf numFmtId="176" fontId="0" fillId="2" borderId="1" xfId="1" applyFont="1" applyFill="1" applyBorder="1" applyAlignment="1">
      <alignment horizontal="center"/>
    </xf>
    <xf numFmtId="176" fontId="0" fillId="0" borderId="1" xfId="1" applyFont="1" applyBorder="1" applyAlignment="1">
      <alignment vertical="center"/>
    </xf>
    <xf numFmtId="176" fontId="0" fillId="0" borderId="1" xfId="1" applyFont="1" applyBorder="1" applyAlignment="1">
      <alignment horizontal="center" vertical="center"/>
    </xf>
    <xf numFmtId="176" fontId="0" fillId="0" borderId="1" xfId="1" applyFont="1" applyFill="1" applyBorder="1" applyAlignment="1">
      <alignment vertical="center"/>
    </xf>
    <xf numFmtId="176" fontId="0" fillId="0" borderId="1" xfId="1" applyFont="1" applyFill="1" applyBorder="1" applyAlignment="1">
      <alignment horizontal="center" vertical="center"/>
    </xf>
    <xf numFmtId="176" fontId="0" fillId="2" borderId="1" xfId="1" applyFont="1" applyFill="1" applyBorder="1" applyAlignment="1">
      <alignment horizontal="center" vertical="center"/>
    </xf>
    <xf numFmtId="176" fontId="0" fillId="0" borderId="0" xfId="1" applyFont="1" applyAlignment="1">
      <alignment vertical="center"/>
    </xf>
    <xf numFmtId="176" fontId="0" fillId="0" borderId="0" xfId="1" applyFont="1" applyFill="1" applyAlignment="1">
      <alignment horizontal="center" vertical="center"/>
    </xf>
    <xf numFmtId="176" fontId="2" fillId="0" borderId="1" xfId="1" applyFont="1" applyBorder="1" applyAlignment="1">
      <alignment horizontal="center"/>
    </xf>
    <xf numFmtId="176" fontId="2" fillId="0" borderId="1" xfId="1" applyFont="1" applyFill="1" applyBorder="1" applyAlignment="1">
      <alignment vertical="center"/>
    </xf>
    <xf numFmtId="176" fontId="6" fillId="0" borderId="1" xfId="1" applyFont="1" applyBorder="1" applyAlignment="1" applyProtection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7"/>
  <sheetViews>
    <sheetView topLeftCell="A507" workbookViewId="0">
      <selection activeCell="B396" sqref="B396"/>
    </sheetView>
  </sheetViews>
  <sheetFormatPr defaultColWidth="9" defaultRowHeight="15"/>
  <cols>
    <col min="1" max="1" width="27" customWidth="1"/>
    <col min="2" max="2" width="80.8571428571429" customWidth="1"/>
    <col min="3" max="3" width="58.4285714285714" customWidth="1"/>
    <col min="4" max="4" width="9" style="86"/>
    <col min="5" max="5" width="9" style="80"/>
    <col min="6" max="6" width="18.5714285714286" customWidth="1"/>
    <col min="9" max="9" width="87.5714285714286" customWidth="1"/>
  </cols>
  <sheetData>
    <row r="1" spans="1:6">
      <c r="A1" s="6"/>
      <c r="B1" s="7" t="s">
        <v>0</v>
      </c>
      <c r="C1" s="8"/>
      <c r="D1" s="87"/>
      <c r="E1" s="82"/>
      <c r="F1" s="6"/>
    </row>
    <row r="2" s="1" customFormat="1" spans="1:6">
      <c r="A2" s="11" t="s">
        <v>1</v>
      </c>
      <c r="B2" s="12" t="s">
        <v>2</v>
      </c>
      <c r="C2" s="13" t="s">
        <v>3</v>
      </c>
      <c r="D2" s="14" t="s">
        <v>4</v>
      </c>
      <c r="E2" s="81" t="s">
        <v>5</v>
      </c>
      <c r="F2" s="11" t="s">
        <v>6</v>
      </c>
    </row>
    <row r="3" spans="1:6">
      <c r="A3" s="6" t="s">
        <v>0</v>
      </c>
      <c r="B3" s="6" t="s">
        <v>7</v>
      </c>
      <c r="C3" s="6" t="s">
        <v>8</v>
      </c>
      <c r="D3" s="87" t="s">
        <v>9</v>
      </c>
      <c r="E3" s="88">
        <f>11.7*220</f>
        <v>2574</v>
      </c>
      <c r="F3" s="6" t="s">
        <v>10</v>
      </c>
    </row>
    <row r="4" spans="1:6">
      <c r="A4" s="6" t="s">
        <v>0</v>
      </c>
      <c r="B4" s="6" t="s">
        <v>11</v>
      </c>
      <c r="C4" s="6" t="s">
        <v>8</v>
      </c>
      <c r="D4" s="87" t="s">
        <v>9</v>
      </c>
      <c r="E4" s="88">
        <f>11.7*250</f>
        <v>2925</v>
      </c>
      <c r="F4" s="6" t="s">
        <v>10</v>
      </c>
    </row>
    <row r="5" spans="1:6">
      <c r="A5" s="6" t="s">
        <v>0</v>
      </c>
      <c r="B5" s="6" t="s">
        <v>12</v>
      </c>
      <c r="C5" s="6" t="s">
        <v>13</v>
      </c>
      <c r="D5" s="87" t="s">
        <v>9</v>
      </c>
      <c r="E5" s="88">
        <f>12.5*250</f>
        <v>3125</v>
      </c>
      <c r="F5" s="6" t="s">
        <v>10</v>
      </c>
    </row>
    <row r="6" spans="1:6">
      <c r="A6" s="6" t="s">
        <v>0</v>
      </c>
      <c r="B6" s="6" t="s">
        <v>14</v>
      </c>
      <c r="C6" s="6" t="s">
        <v>13</v>
      </c>
      <c r="D6" s="87" t="s">
        <v>9</v>
      </c>
      <c r="E6" s="88">
        <f>12.5*220</f>
        <v>2750</v>
      </c>
      <c r="F6" s="6" t="s">
        <v>10</v>
      </c>
    </row>
    <row r="7" spans="1:6">
      <c r="A7" s="6" t="s">
        <v>0</v>
      </c>
      <c r="B7" s="6" t="s">
        <v>15</v>
      </c>
      <c r="C7" s="6" t="s">
        <v>13</v>
      </c>
      <c r="D7" s="87" t="s">
        <v>9</v>
      </c>
      <c r="E7" s="88">
        <f>220*12.5</f>
        <v>2750</v>
      </c>
      <c r="F7" s="6" t="s">
        <v>10</v>
      </c>
    </row>
    <row r="8" spans="1:6">
      <c r="A8" s="6" t="s">
        <v>0</v>
      </c>
      <c r="B8" s="6" t="s">
        <v>16</v>
      </c>
      <c r="C8" s="6" t="s">
        <v>13</v>
      </c>
      <c r="D8" s="87" t="s">
        <v>9</v>
      </c>
      <c r="E8" s="88">
        <f>220*12.5</f>
        <v>2750</v>
      </c>
      <c r="F8" s="6" t="s">
        <v>10</v>
      </c>
    </row>
    <row r="9" spans="1:6">
      <c r="A9" s="6" t="s">
        <v>0</v>
      </c>
      <c r="B9" s="6" t="s">
        <v>17</v>
      </c>
      <c r="C9" s="6" t="s">
        <v>18</v>
      </c>
      <c r="D9" s="87" t="s">
        <v>9</v>
      </c>
      <c r="E9" s="88">
        <v>2200</v>
      </c>
      <c r="F9" s="6" t="s">
        <v>10</v>
      </c>
    </row>
    <row r="10" spans="1:6">
      <c r="A10" s="6" t="s">
        <v>0</v>
      </c>
      <c r="B10" s="6" t="s">
        <v>19</v>
      </c>
      <c r="C10" s="6" t="s">
        <v>18</v>
      </c>
      <c r="D10" s="87" t="s">
        <v>9</v>
      </c>
      <c r="E10" s="88">
        <v>2500</v>
      </c>
      <c r="F10" s="6" t="s">
        <v>10</v>
      </c>
    </row>
    <row r="11" spans="1:6">
      <c r="A11" s="6" t="s">
        <v>0</v>
      </c>
      <c r="B11" s="6" t="s">
        <v>20</v>
      </c>
      <c r="C11" s="6" t="s">
        <v>21</v>
      </c>
      <c r="D11" s="87" t="s">
        <v>9</v>
      </c>
      <c r="E11" s="88">
        <f>250*11.7</f>
        <v>2925</v>
      </c>
      <c r="F11" s="6" t="s">
        <v>10</v>
      </c>
    </row>
    <row r="12" spans="1:6">
      <c r="A12" s="6" t="s">
        <v>0</v>
      </c>
      <c r="B12" s="6" t="s">
        <v>22</v>
      </c>
      <c r="C12" s="6" t="s">
        <v>21</v>
      </c>
      <c r="D12" s="87" t="s">
        <v>9</v>
      </c>
      <c r="E12" s="88">
        <f>220*11.7</f>
        <v>2574</v>
      </c>
      <c r="F12" s="6" t="s">
        <v>10</v>
      </c>
    </row>
    <row r="13" s="2" customFormat="1" spans="1:6">
      <c r="A13" s="17" t="s">
        <v>0</v>
      </c>
      <c r="B13" s="17" t="s">
        <v>23</v>
      </c>
      <c r="C13" s="17" t="s">
        <v>24</v>
      </c>
      <c r="D13" s="18" t="s">
        <v>9</v>
      </c>
      <c r="E13" s="89">
        <f>220*11.7</f>
        <v>2574</v>
      </c>
      <c r="F13" s="6" t="s">
        <v>10</v>
      </c>
    </row>
    <row r="14" spans="1:6">
      <c r="A14" s="6" t="s">
        <v>0</v>
      </c>
      <c r="B14" s="6" t="s">
        <v>25</v>
      </c>
      <c r="C14" s="6" t="s">
        <v>24</v>
      </c>
      <c r="D14" s="87" t="s">
        <v>9</v>
      </c>
      <c r="E14" s="88">
        <f>220*12.1</f>
        <v>2662</v>
      </c>
      <c r="F14" s="6" t="s">
        <v>10</v>
      </c>
    </row>
    <row r="15" spans="1:6">
      <c r="A15" s="6" t="s">
        <v>0</v>
      </c>
      <c r="B15" s="6" t="s">
        <v>26</v>
      </c>
      <c r="C15" s="6" t="s">
        <v>24</v>
      </c>
      <c r="D15" s="87" t="s">
        <v>9</v>
      </c>
      <c r="E15" s="88">
        <f>220*12.1</f>
        <v>2662</v>
      </c>
      <c r="F15" s="6" t="s">
        <v>10</v>
      </c>
    </row>
    <row r="16" spans="1:6">
      <c r="A16" s="6" t="s">
        <v>0</v>
      </c>
      <c r="B16" s="6" t="s">
        <v>27</v>
      </c>
      <c r="C16" s="6" t="s">
        <v>24</v>
      </c>
      <c r="D16" s="87" t="s">
        <v>9</v>
      </c>
      <c r="E16" s="88">
        <f>220*11.8</f>
        <v>2596</v>
      </c>
      <c r="F16" s="6" t="s">
        <v>10</v>
      </c>
    </row>
    <row r="17" spans="1:6">
      <c r="A17" s="6" t="s">
        <v>0</v>
      </c>
      <c r="B17" s="6" t="s">
        <v>28</v>
      </c>
      <c r="C17" s="6" t="s">
        <v>29</v>
      </c>
      <c r="D17" s="87" t="s">
        <v>9</v>
      </c>
      <c r="E17" s="88">
        <f>250*12.25</f>
        <v>3062.5</v>
      </c>
      <c r="F17" s="6" t="s">
        <v>10</v>
      </c>
    </row>
    <row r="18" spans="1:6">
      <c r="A18" s="6" t="s">
        <v>0</v>
      </c>
      <c r="B18" s="6" t="s">
        <v>30</v>
      </c>
      <c r="C18" s="6" t="s">
        <v>29</v>
      </c>
      <c r="D18" s="87" t="s">
        <v>9</v>
      </c>
      <c r="E18" s="88">
        <f>250*12.25</f>
        <v>3062.5</v>
      </c>
      <c r="F18" s="6" t="s">
        <v>10</v>
      </c>
    </row>
    <row r="19" spans="1:6">
      <c r="A19" s="6" t="s">
        <v>0</v>
      </c>
      <c r="B19" s="6" t="s">
        <v>31</v>
      </c>
      <c r="C19" s="6" t="s">
        <v>32</v>
      </c>
      <c r="D19" s="87" t="s">
        <v>9</v>
      </c>
      <c r="E19" s="88">
        <f>250*11.8</f>
        <v>2950</v>
      </c>
      <c r="F19" s="6" t="s">
        <v>10</v>
      </c>
    </row>
    <row r="20" spans="1:6">
      <c r="A20" s="6" t="s">
        <v>0</v>
      </c>
      <c r="B20" s="6" t="s">
        <v>33</v>
      </c>
      <c r="C20" s="6" t="s">
        <v>32</v>
      </c>
      <c r="D20" s="87" t="s">
        <v>9</v>
      </c>
      <c r="E20" s="88">
        <f>220*11.8</f>
        <v>2596</v>
      </c>
      <c r="F20" s="6" t="s">
        <v>10</v>
      </c>
    </row>
    <row r="21" spans="1:6">
      <c r="A21" s="6" t="s">
        <v>0</v>
      </c>
      <c r="B21" s="6" t="s">
        <v>34</v>
      </c>
      <c r="C21" s="6" t="s">
        <v>32</v>
      </c>
      <c r="D21" s="87" t="s">
        <v>9</v>
      </c>
      <c r="E21" s="88">
        <f>220*11.8</f>
        <v>2596</v>
      </c>
      <c r="F21" s="6" t="s">
        <v>10</v>
      </c>
    </row>
    <row r="22" spans="1:6">
      <c r="A22" s="6" t="s">
        <v>0</v>
      </c>
      <c r="B22" s="6" t="s">
        <v>35</v>
      </c>
      <c r="C22" s="6" t="s">
        <v>36</v>
      </c>
      <c r="D22" s="87" t="s">
        <v>9</v>
      </c>
      <c r="E22" s="88">
        <f>250*13.9</f>
        <v>3475</v>
      </c>
      <c r="F22" s="6" t="s">
        <v>10</v>
      </c>
    </row>
    <row r="23" spans="1:6">
      <c r="A23" s="6" t="s">
        <v>0</v>
      </c>
      <c r="B23" s="6" t="s">
        <v>37</v>
      </c>
      <c r="C23" s="6" t="s">
        <v>36</v>
      </c>
      <c r="D23" s="87" t="s">
        <v>9</v>
      </c>
      <c r="E23" s="88">
        <f>220*13.9</f>
        <v>3058</v>
      </c>
      <c r="F23" s="6" t="s">
        <v>10</v>
      </c>
    </row>
    <row r="24" spans="1:6">
      <c r="A24" s="6" t="s">
        <v>0</v>
      </c>
      <c r="B24" s="6" t="s">
        <v>38</v>
      </c>
      <c r="C24" s="6" t="s">
        <v>39</v>
      </c>
      <c r="D24" s="87" t="s">
        <v>9</v>
      </c>
      <c r="E24" s="88">
        <f>250*12.4</f>
        <v>3100</v>
      </c>
      <c r="F24" s="6" t="s">
        <v>10</v>
      </c>
    </row>
    <row r="25" spans="1:6">
      <c r="A25" s="6" t="s">
        <v>0</v>
      </c>
      <c r="B25" s="6" t="s">
        <v>40</v>
      </c>
      <c r="C25" s="6" t="s">
        <v>39</v>
      </c>
      <c r="D25" s="87" t="s">
        <v>9</v>
      </c>
      <c r="E25" s="88">
        <f>220*12.4</f>
        <v>2728</v>
      </c>
      <c r="F25" s="6" t="s">
        <v>10</v>
      </c>
    </row>
    <row r="26" spans="1:6">
      <c r="A26" s="6" t="s">
        <v>0</v>
      </c>
      <c r="B26" s="6" t="s">
        <v>41</v>
      </c>
      <c r="C26" s="6" t="s">
        <v>39</v>
      </c>
      <c r="D26" s="87" t="s">
        <v>9</v>
      </c>
      <c r="E26" s="88">
        <f>250*12.4</f>
        <v>3100</v>
      </c>
      <c r="F26" s="6" t="s">
        <v>10</v>
      </c>
    </row>
    <row r="27" spans="1:6">
      <c r="A27" s="6" t="s">
        <v>0</v>
      </c>
      <c r="B27" s="6" t="s">
        <v>42</v>
      </c>
      <c r="C27" s="6" t="s">
        <v>39</v>
      </c>
      <c r="D27" s="87" t="s">
        <v>9</v>
      </c>
      <c r="E27" s="88">
        <f>220*12.4</f>
        <v>2728</v>
      </c>
      <c r="F27" s="6" t="s">
        <v>10</v>
      </c>
    </row>
    <row r="28" spans="1:6">
      <c r="A28" s="11"/>
      <c r="B28" s="20" t="s">
        <v>43</v>
      </c>
      <c r="C28" s="21"/>
      <c r="D28" s="87"/>
      <c r="E28" s="82"/>
      <c r="F28" s="6"/>
    </row>
    <row r="29" spans="1:6">
      <c r="A29" s="11" t="s">
        <v>1</v>
      </c>
      <c r="B29" s="12" t="s">
        <v>2</v>
      </c>
      <c r="C29" s="13" t="s">
        <v>3</v>
      </c>
      <c r="D29" s="14" t="s">
        <v>4</v>
      </c>
      <c r="E29" s="81" t="s">
        <v>5</v>
      </c>
      <c r="F29" s="6"/>
    </row>
    <row r="30" spans="1:6">
      <c r="A30" s="6" t="s">
        <v>44</v>
      </c>
      <c r="B30" s="6" t="s">
        <v>45</v>
      </c>
      <c r="C30" s="6" t="s">
        <v>13</v>
      </c>
      <c r="D30" s="87" t="s">
        <v>9</v>
      </c>
      <c r="E30" s="88">
        <v>406</v>
      </c>
      <c r="F30" s="6" t="s">
        <v>10</v>
      </c>
    </row>
    <row r="31" spans="1:6">
      <c r="A31" s="6" t="s">
        <v>44</v>
      </c>
      <c r="B31" s="6" t="s">
        <v>46</v>
      </c>
      <c r="C31" s="6" t="s">
        <v>13</v>
      </c>
      <c r="D31" s="87" t="s">
        <v>9</v>
      </c>
      <c r="E31" s="88">
        <v>464</v>
      </c>
      <c r="F31" s="6" t="s">
        <v>10</v>
      </c>
    </row>
    <row r="32" s="2" customFormat="1" spans="1:6">
      <c r="A32" s="17" t="s">
        <v>44</v>
      </c>
      <c r="B32" s="17" t="s">
        <v>47</v>
      </c>
      <c r="C32" s="6" t="s">
        <v>13</v>
      </c>
      <c r="D32" s="18" t="s">
        <v>9</v>
      </c>
      <c r="E32" s="89">
        <v>450</v>
      </c>
      <c r="F32" s="6" t="s">
        <v>10</v>
      </c>
    </row>
    <row r="33" spans="1:6">
      <c r="A33" s="6" t="s">
        <v>44</v>
      </c>
      <c r="B33" s="6" t="s">
        <v>48</v>
      </c>
      <c r="C33" s="6" t="s">
        <v>21</v>
      </c>
      <c r="D33" s="87" t="s">
        <v>9</v>
      </c>
      <c r="E33" s="88">
        <v>340</v>
      </c>
      <c r="F33" s="6" t="s">
        <v>10</v>
      </c>
    </row>
    <row r="34" spans="1:6">
      <c r="A34" s="6" t="s">
        <v>44</v>
      </c>
      <c r="B34" s="6" t="s">
        <v>49</v>
      </c>
      <c r="C34" s="6" t="s">
        <v>21</v>
      </c>
      <c r="D34" s="87" t="s">
        <v>9</v>
      </c>
      <c r="E34" s="88">
        <v>360</v>
      </c>
      <c r="F34" s="6" t="s">
        <v>10</v>
      </c>
    </row>
    <row r="35" spans="1:6">
      <c r="A35" s="6" t="s">
        <v>44</v>
      </c>
      <c r="B35" s="6" t="s">
        <v>50</v>
      </c>
      <c r="C35" s="6" t="s">
        <v>32</v>
      </c>
      <c r="D35" s="87" t="s">
        <v>9</v>
      </c>
      <c r="E35" s="88">
        <v>340</v>
      </c>
      <c r="F35" s="6" t="s">
        <v>10</v>
      </c>
    </row>
    <row r="36" spans="1:6">
      <c r="A36" s="6" t="s">
        <v>44</v>
      </c>
      <c r="B36" s="6" t="s">
        <v>51</v>
      </c>
      <c r="C36" s="6" t="s">
        <v>32</v>
      </c>
      <c r="D36" s="87" t="s">
        <v>9</v>
      </c>
      <c r="E36" s="88">
        <v>360</v>
      </c>
      <c r="F36" s="6" t="s">
        <v>10</v>
      </c>
    </row>
    <row r="37" spans="1:6">
      <c r="A37" s="6" t="s">
        <v>44</v>
      </c>
      <c r="B37" s="6" t="s">
        <v>52</v>
      </c>
      <c r="C37" s="6" t="s">
        <v>32</v>
      </c>
      <c r="D37" s="87" t="s">
        <v>9</v>
      </c>
      <c r="E37" s="88">
        <v>1500</v>
      </c>
      <c r="F37" s="6" t="s">
        <v>10</v>
      </c>
    </row>
    <row r="38" spans="1:6">
      <c r="A38" s="6" t="s">
        <v>44</v>
      </c>
      <c r="B38" s="6" t="s">
        <v>53</v>
      </c>
      <c r="C38" s="6" t="s">
        <v>39</v>
      </c>
      <c r="D38" s="87" t="s">
        <v>9</v>
      </c>
      <c r="E38" s="88">
        <v>580</v>
      </c>
      <c r="F38" s="6" t="s">
        <v>10</v>
      </c>
    </row>
    <row r="39" spans="1:6">
      <c r="A39" s="6" t="s">
        <v>44</v>
      </c>
      <c r="B39" s="6" t="s">
        <v>54</v>
      </c>
      <c r="C39" s="6" t="s">
        <v>55</v>
      </c>
      <c r="D39" s="87" t="s">
        <v>9</v>
      </c>
      <c r="E39" s="88">
        <v>295</v>
      </c>
      <c r="F39" s="6" t="s">
        <v>10</v>
      </c>
    </row>
    <row r="40" spans="1:6">
      <c r="A40" s="6" t="s">
        <v>44</v>
      </c>
      <c r="B40" s="6" t="s">
        <v>56</v>
      </c>
      <c r="C40" s="6" t="s">
        <v>55</v>
      </c>
      <c r="D40" s="87" t="s">
        <v>9</v>
      </c>
      <c r="E40" s="88">
        <v>355</v>
      </c>
      <c r="F40" s="6" t="s">
        <v>10</v>
      </c>
    </row>
    <row r="41" spans="1:6">
      <c r="A41" s="6" t="s">
        <v>44</v>
      </c>
      <c r="B41" s="6" t="s">
        <v>57</v>
      </c>
      <c r="C41" s="6" t="s">
        <v>55</v>
      </c>
      <c r="D41" s="87" t="s">
        <v>9</v>
      </c>
      <c r="E41" s="88">
        <v>745</v>
      </c>
      <c r="F41" s="6" t="s">
        <v>10</v>
      </c>
    </row>
    <row r="42" spans="1:6">
      <c r="A42" s="6" t="s">
        <v>44</v>
      </c>
      <c r="B42" s="6" t="s">
        <v>58</v>
      </c>
      <c r="C42" s="6" t="s">
        <v>59</v>
      </c>
      <c r="D42" s="87" t="s">
        <v>9</v>
      </c>
      <c r="E42" s="88">
        <v>388</v>
      </c>
      <c r="F42" s="6" t="s">
        <v>10</v>
      </c>
    </row>
    <row r="43" spans="1:6">
      <c r="A43" s="6"/>
      <c r="B43" s="20" t="s">
        <v>60</v>
      </c>
      <c r="C43" s="6"/>
      <c r="D43" s="87"/>
      <c r="E43" s="82"/>
      <c r="F43" s="6"/>
    </row>
    <row r="44" spans="1:6">
      <c r="A44" s="11" t="s">
        <v>1</v>
      </c>
      <c r="B44" s="12" t="s">
        <v>2</v>
      </c>
      <c r="C44" s="13" t="s">
        <v>3</v>
      </c>
      <c r="D44" s="14" t="s">
        <v>4</v>
      </c>
      <c r="E44" s="81" t="s">
        <v>5</v>
      </c>
      <c r="F44" s="6"/>
    </row>
    <row r="45" spans="1:6">
      <c r="A45" s="6" t="s">
        <v>61</v>
      </c>
      <c r="B45" s="6" t="s">
        <v>62</v>
      </c>
      <c r="C45" s="6" t="s">
        <v>32</v>
      </c>
      <c r="D45" s="87" t="s">
        <v>9</v>
      </c>
      <c r="E45" s="88">
        <v>109</v>
      </c>
      <c r="F45" s="6" t="s">
        <v>10</v>
      </c>
    </row>
    <row r="46" spans="1:6">
      <c r="A46" s="6" t="s">
        <v>61</v>
      </c>
      <c r="B46" s="6" t="s">
        <v>63</v>
      </c>
      <c r="C46" s="6" t="s">
        <v>13</v>
      </c>
      <c r="D46" s="87" t="s">
        <v>9</v>
      </c>
      <c r="E46" s="88">
        <v>132.5</v>
      </c>
      <c r="F46" s="6" t="s">
        <v>10</v>
      </c>
    </row>
    <row r="47" spans="1:6">
      <c r="A47" s="6" t="s">
        <v>61</v>
      </c>
      <c r="B47" s="6" t="s">
        <v>64</v>
      </c>
      <c r="C47" s="6" t="s">
        <v>13</v>
      </c>
      <c r="D47" s="87" t="s">
        <v>9</v>
      </c>
      <c r="E47" s="88">
        <v>135</v>
      </c>
      <c r="F47" s="6" t="s">
        <v>10</v>
      </c>
    </row>
    <row r="48" spans="1:6">
      <c r="A48" s="6" t="s">
        <v>61</v>
      </c>
      <c r="B48" s="6" t="s">
        <v>65</v>
      </c>
      <c r="C48" s="6" t="s">
        <v>13</v>
      </c>
      <c r="D48" s="87" t="s">
        <v>9</v>
      </c>
      <c r="E48" s="88">
        <v>280</v>
      </c>
      <c r="F48" s="6" t="s">
        <v>10</v>
      </c>
    </row>
    <row r="49" spans="1:6">
      <c r="A49" s="6" t="s">
        <v>61</v>
      </c>
      <c r="B49" s="6" t="s">
        <v>66</v>
      </c>
      <c r="C49" s="6" t="s">
        <v>18</v>
      </c>
      <c r="D49" s="87" t="s">
        <v>9</v>
      </c>
      <c r="E49" s="88">
        <v>110</v>
      </c>
      <c r="F49" s="6" t="s">
        <v>10</v>
      </c>
    </row>
    <row r="50" spans="1:6">
      <c r="A50" s="6" t="s">
        <v>61</v>
      </c>
      <c r="B50" s="6" t="s">
        <v>67</v>
      </c>
      <c r="C50" s="6" t="s">
        <v>39</v>
      </c>
      <c r="D50" s="87" t="s">
        <v>9</v>
      </c>
      <c r="E50" s="88">
        <v>134</v>
      </c>
      <c r="F50" s="6" t="s">
        <v>10</v>
      </c>
    </row>
    <row r="51" spans="1:6">
      <c r="A51" s="6" t="s">
        <v>61</v>
      </c>
      <c r="B51" s="6" t="s">
        <v>68</v>
      </c>
      <c r="C51" s="6" t="s">
        <v>39</v>
      </c>
      <c r="D51" s="87" t="s">
        <v>9</v>
      </c>
      <c r="E51" s="88">
        <v>135</v>
      </c>
      <c r="F51" s="6" t="s">
        <v>10</v>
      </c>
    </row>
    <row r="52" spans="1:6">
      <c r="A52" s="6" t="s">
        <v>61</v>
      </c>
      <c r="B52" s="6" t="s">
        <v>69</v>
      </c>
      <c r="C52" s="6" t="s">
        <v>70</v>
      </c>
      <c r="D52" s="87" t="s">
        <v>9</v>
      </c>
      <c r="E52" s="88">
        <v>240</v>
      </c>
      <c r="F52" s="6" t="s">
        <v>10</v>
      </c>
    </row>
    <row r="53" spans="1:6">
      <c r="A53" s="6" t="s">
        <v>61</v>
      </c>
      <c r="B53" s="6" t="s">
        <v>71</v>
      </c>
      <c r="C53" s="6" t="s">
        <v>13</v>
      </c>
      <c r="D53" s="87" t="s">
        <v>9</v>
      </c>
      <c r="E53" s="88">
        <v>165</v>
      </c>
      <c r="F53" s="6" t="s">
        <v>10</v>
      </c>
    </row>
    <row r="54" spans="1:6">
      <c r="A54" s="6" t="s">
        <v>61</v>
      </c>
      <c r="B54" s="6" t="s">
        <v>72</v>
      </c>
      <c r="C54" s="6" t="s">
        <v>13</v>
      </c>
      <c r="D54" s="87" t="s">
        <v>9</v>
      </c>
      <c r="E54" s="88">
        <v>160</v>
      </c>
      <c r="F54" s="6" t="s">
        <v>10</v>
      </c>
    </row>
    <row r="55" s="2" customFormat="1" spans="1:6">
      <c r="A55" s="17" t="s">
        <v>61</v>
      </c>
      <c r="B55" s="17" t="s">
        <v>73</v>
      </c>
      <c r="C55" s="17" t="s">
        <v>74</v>
      </c>
      <c r="D55" s="18" t="s">
        <v>9</v>
      </c>
      <c r="E55" s="89">
        <v>122</v>
      </c>
      <c r="F55" s="6" t="s">
        <v>10</v>
      </c>
    </row>
    <row r="56" s="2" customFormat="1" spans="1:6">
      <c r="A56" s="17" t="s">
        <v>61</v>
      </c>
      <c r="B56" s="17" t="s">
        <v>75</v>
      </c>
      <c r="C56" s="17" t="s">
        <v>74</v>
      </c>
      <c r="D56" s="18" t="s">
        <v>9</v>
      </c>
      <c r="E56" s="89">
        <v>148</v>
      </c>
      <c r="F56" s="6" t="s">
        <v>10</v>
      </c>
    </row>
    <row r="57" s="2" customFormat="1" spans="1:6">
      <c r="A57" s="17" t="s">
        <v>61</v>
      </c>
      <c r="B57" s="17" t="s">
        <v>76</v>
      </c>
      <c r="C57" s="17" t="s">
        <v>74</v>
      </c>
      <c r="D57" s="18" t="s">
        <v>9</v>
      </c>
      <c r="E57" s="89">
        <v>124</v>
      </c>
      <c r="F57" s="6" t="s">
        <v>10</v>
      </c>
    </row>
    <row r="58" s="2" customFormat="1" spans="1:6">
      <c r="A58" s="17" t="s">
        <v>61</v>
      </c>
      <c r="B58" s="17" t="s">
        <v>77</v>
      </c>
      <c r="C58" s="17" t="s">
        <v>74</v>
      </c>
      <c r="D58" s="18" t="s">
        <v>9</v>
      </c>
      <c r="E58" s="89">
        <v>150</v>
      </c>
      <c r="F58" s="6" t="s">
        <v>10</v>
      </c>
    </row>
    <row r="59" spans="1:6">
      <c r="A59" s="6" t="s">
        <v>61</v>
      </c>
      <c r="B59" s="6" t="s">
        <v>78</v>
      </c>
      <c r="C59" s="17" t="s">
        <v>74</v>
      </c>
      <c r="D59" s="87" t="s">
        <v>9</v>
      </c>
      <c r="E59" s="88">
        <v>148</v>
      </c>
      <c r="F59" s="6" t="s">
        <v>10</v>
      </c>
    </row>
    <row r="60" spans="1:6">
      <c r="A60" s="6" t="s">
        <v>61</v>
      </c>
      <c r="B60" s="6" t="s">
        <v>79</v>
      </c>
      <c r="C60" s="17" t="s">
        <v>74</v>
      </c>
      <c r="D60" s="87" t="s">
        <v>9</v>
      </c>
      <c r="E60" s="88">
        <v>144</v>
      </c>
      <c r="F60" s="6" t="s">
        <v>10</v>
      </c>
    </row>
    <row r="61" spans="1:6">
      <c r="A61" s="6" t="s">
        <v>61</v>
      </c>
      <c r="B61" s="6" t="s">
        <v>80</v>
      </c>
      <c r="C61" s="6" t="s">
        <v>59</v>
      </c>
      <c r="D61" s="87" t="s">
        <v>9</v>
      </c>
      <c r="E61" s="88">
        <v>128</v>
      </c>
      <c r="F61" s="6" t="s">
        <v>10</v>
      </c>
    </row>
    <row r="62" spans="1:6">
      <c r="A62" s="6" t="s">
        <v>61</v>
      </c>
      <c r="B62" s="6" t="s">
        <v>81</v>
      </c>
      <c r="C62" s="6" t="s">
        <v>13</v>
      </c>
      <c r="D62" s="87" t="s">
        <v>9</v>
      </c>
      <c r="E62" s="88">
        <v>250</v>
      </c>
      <c r="F62" s="6" t="s">
        <v>10</v>
      </c>
    </row>
    <row r="63" spans="1:6">
      <c r="A63" s="6" t="s">
        <v>61</v>
      </c>
      <c r="B63" s="6" t="s">
        <v>82</v>
      </c>
      <c r="C63" s="6" t="s">
        <v>70</v>
      </c>
      <c r="D63" s="87" t="s">
        <v>9</v>
      </c>
      <c r="E63" s="88">
        <v>145</v>
      </c>
      <c r="F63" s="6" t="s">
        <v>10</v>
      </c>
    </row>
    <row r="64" spans="1:6">
      <c r="A64" s="6" t="s">
        <v>61</v>
      </c>
      <c r="B64" s="6" t="s">
        <v>83</v>
      </c>
      <c r="C64" s="6" t="s">
        <v>32</v>
      </c>
      <c r="D64" s="87" t="s">
        <v>9</v>
      </c>
      <c r="E64" s="88">
        <v>125</v>
      </c>
      <c r="F64" s="6" t="s">
        <v>10</v>
      </c>
    </row>
    <row r="65" spans="1:6">
      <c r="A65" s="6" t="s">
        <v>61</v>
      </c>
      <c r="B65" s="6" t="s">
        <v>84</v>
      </c>
      <c r="C65" s="6" t="s">
        <v>32</v>
      </c>
      <c r="D65" s="87" t="s">
        <v>9</v>
      </c>
      <c r="E65" s="88">
        <v>125</v>
      </c>
      <c r="F65" s="6" t="s">
        <v>10</v>
      </c>
    </row>
    <row r="66" spans="1:6">
      <c r="A66" s="6" t="s">
        <v>61</v>
      </c>
      <c r="B66" s="6" t="s">
        <v>85</v>
      </c>
      <c r="C66" s="6" t="s">
        <v>70</v>
      </c>
      <c r="D66" s="87" t="s">
        <v>9</v>
      </c>
      <c r="E66" s="88">
        <v>150</v>
      </c>
      <c r="F66" s="6" t="s">
        <v>10</v>
      </c>
    </row>
    <row r="67" spans="1:6">
      <c r="A67" s="6" t="s">
        <v>61</v>
      </c>
      <c r="B67" s="6" t="s">
        <v>86</v>
      </c>
      <c r="C67" s="6" t="s">
        <v>87</v>
      </c>
      <c r="D67" s="87" t="s">
        <v>9</v>
      </c>
      <c r="E67" s="88">
        <v>145</v>
      </c>
      <c r="F67" s="6" t="s">
        <v>10</v>
      </c>
    </row>
    <row r="68" spans="1:6">
      <c r="A68" s="6" t="s">
        <v>61</v>
      </c>
      <c r="B68" s="6" t="s">
        <v>88</v>
      </c>
      <c r="C68" s="6" t="s">
        <v>87</v>
      </c>
      <c r="D68" s="87" t="s">
        <v>9</v>
      </c>
      <c r="E68" s="88">
        <v>142</v>
      </c>
      <c r="F68" s="6" t="s">
        <v>10</v>
      </c>
    </row>
    <row r="69" spans="1:6">
      <c r="A69" s="6" t="s">
        <v>61</v>
      </c>
      <c r="B69" s="6" t="s">
        <v>89</v>
      </c>
      <c r="C69" s="6" t="s">
        <v>13</v>
      </c>
      <c r="D69" s="87" t="s">
        <v>9</v>
      </c>
      <c r="E69" s="88">
        <v>167.5</v>
      </c>
      <c r="F69" s="6" t="s">
        <v>10</v>
      </c>
    </row>
    <row r="70" spans="1:6">
      <c r="A70" s="6" t="s">
        <v>61</v>
      </c>
      <c r="B70" s="6" t="s">
        <v>90</v>
      </c>
      <c r="C70" s="6" t="s">
        <v>13</v>
      </c>
      <c r="D70" s="87" t="s">
        <v>9</v>
      </c>
      <c r="E70" s="88">
        <v>172.5</v>
      </c>
      <c r="F70" s="6" t="s">
        <v>10</v>
      </c>
    </row>
    <row r="71" spans="1:6">
      <c r="A71" s="6" t="s">
        <v>61</v>
      </c>
      <c r="B71" s="6" t="s">
        <v>91</v>
      </c>
      <c r="C71" s="6" t="s">
        <v>13</v>
      </c>
      <c r="D71" s="87" t="s">
        <v>9</v>
      </c>
      <c r="E71" s="88">
        <v>165</v>
      </c>
      <c r="F71" s="6" t="s">
        <v>10</v>
      </c>
    </row>
    <row r="72" spans="1:6">
      <c r="A72" s="6" t="s">
        <v>61</v>
      </c>
      <c r="B72" s="6" t="s">
        <v>92</v>
      </c>
      <c r="C72" s="6" t="s">
        <v>13</v>
      </c>
      <c r="D72" s="87" t="s">
        <v>9</v>
      </c>
      <c r="E72" s="88">
        <v>138</v>
      </c>
      <c r="F72" s="6" t="s">
        <v>10</v>
      </c>
    </row>
    <row r="73" spans="1:6">
      <c r="A73" s="6" t="s">
        <v>61</v>
      </c>
      <c r="B73" s="6" t="s">
        <v>93</v>
      </c>
      <c r="C73" s="6" t="s">
        <v>13</v>
      </c>
      <c r="D73" s="87" t="s">
        <v>9</v>
      </c>
      <c r="E73" s="88">
        <v>124</v>
      </c>
      <c r="F73" s="6" t="s">
        <v>10</v>
      </c>
    </row>
    <row r="74" spans="1:6">
      <c r="A74" s="6" t="s">
        <v>61</v>
      </c>
      <c r="B74" s="6" t="s">
        <v>94</v>
      </c>
      <c r="C74" s="6" t="s">
        <v>59</v>
      </c>
      <c r="D74" s="87" t="s">
        <v>9</v>
      </c>
      <c r="E74" s="88">
        <v>126</v>
      </c>
      <c r="F74" s="6" t="s">
        <v>10</v>
      </c>
    </row>
    <row r="75" spans="1:6">
      <c r="A75" s="6" t="s">
        <v>61</v>
      </c>
      <c r="B75" s="6" t="s">
        <v>95</v>
      </c>
      <c r="C75" s="6" t="s">
        <v>59</v>
      </c>
      <c r="D75" s="87" t="s">
        <v>9</v>
      </c>
      <c r="E75" s="88">
        <v>128</v>
      </c>
      <c r="F75" s="6" t="s">
        <v>10</v>
      </c>
    </row>
    <row r="76" spans="1:6">
      <c r="A76" s="6" t="s">
        <v>61</v>
      </c>
      <c r="B76" s="6" t="s">
        <v>96</v>
      </c>
      <c r="C76" s="6" t="s">
        <v>59</v>
      </c>
      <c r="D76" s="87" t="s">
        <v>9</v>
      </c>
      <c r="E76" s="88">
        <v>124</v>
      </c>
      <c r="F76" s="6" t="s">
        <v>10</v>
      </c>
    </row>
    <row r="77" spans="1:6">
      <c r="A77" s="6" t="s">
        <v>61</v>
      </c>
      <c r="B77" s="6" t="s">
        <v>97</v>
      </c>
      <c r="C77" s="6" t="s">
        <v>70</v>
      </c>
      <c r="D77" s="87" t="s">
        <v>9</v>
      </c>
      <c r="E77" s="88">
        <v>150</v>
      </c>
      <c r="F77" s="6" t="s">
        <v>10</v>
      </c>
    </row>
    <row r="78" spans="1:6">
      <c r="A78" s="6" t="s">
        <v>61</v>
      </c>
      <c r="B78" s="6" t="s">
        <v>98</v>
      </c>
      <c r="C78" s="6" t="s">
        <v>99</v>
      </c>
      <c r="D78" s="87" t="s">
        <v>9</v>
      </c>
      <c r="E78" s="88">
        <v>140</v>
      </c>
      <c r="F78" s="6" t="s">
        <v>10</v>
      </c>
    </row>
    <row r="79" spans="1:6">
      <c r="A79" s="6" t="s">
        <v>61</v>
      </c>
      <c r="B79" s="6" t="s">
        <v>100</v>
      </c>
      <c r="C79" s="6" t="s">
        <v>99</v>
      </c>
      <c r="D79" s="87" t="s">
        <v>9</v>
      </c>
      <c r="E79" s="88">
        <v>128</v>
      </c>
      <c r="F79" s="6" t="s">
        <v>10</v>
      </c>
    </row>
    <row r="80" spans="1:6">
      <c r="A80" s="6" t="s">
        <v>61</v>
      </c>
      <c r="B80" s="6" t="s">
        <v>101</v>
      </c>
      <c r="C80" s="6" t="s">
        <v>70</v>
      </c>
      <c r="D80" s="87" t="s">
        <v>9</v>
      </c>
      <c r="E80" s="88">
        <v>140</v>
      </c>
      <c r="F80" s="6" t="s">
        <v>10</v>
      </c>
    </row>
    <row r="81" spans="1:6">
      <c r="A81" s="6" t="s">
        <v>61</v>
      </c>
      <c r="B81" s="6" t="s">
        <v>102</v>
      </c>
      <c r="C81" s="6" t="s">
        <v>70</v>
      </c>
      <c r="D81" s="87" t="s">
        <v>9</v>
      </c>
      <c r="E81" s="88">
        <v>155</v>
      </c>
      <c r="F81" s="6" t="s">
        <v>10</v>
      </c>
    </row>
    <row r="82" spans="1:6">
      <c r="A82" s="6" t="s">
        <v>61</v>
      </c>
      <c r="B82" s="6" t="s">
        <v>103</v>
      </c>
      <c r="C82" s="6" t="s">
        <v>70</v>
      </c>
      <c r="D82" s="87" t="s">
        <v>9</v>
      </c>
      <c r="E82" s="88">
        <v>165</v>
      </c>
      <c r="F82" s="6" t="s">
        <v>10</v>
      </c>
    </row>
    <row r="83" spans="1:6">
      <c r="A83" s="6" t="s">
        <v>61</v>
      </c>
      <c r="B83" s="6" t="s">
        <v>104</v>
      </c>
      <c r="C83" s="6" t="s">
        <v>70</v>
      </c>
      <c r="D83" s="87" t="s">
        <v>9</v>
      </c>
      <c r="E83" s="88">
        <v>120</v>
      </c>
      <c r="F83" s="6" t="s">
        <v>10</v>
      </c>
    </row>
    <row r="84" spans="1:6">
      <c r="A84" s="6" t="s">
        <v>61</v>
      </c>
      <c r="B84" s="6" t="s">
        <v>105</v>
      </c>
      <c r="C84" s="6" t="s">
        <v>99</v>
      </c>
      <c r="D84" s="87" t="s">
        <v>9</v>
      </c>
      <c r="E84" s="88">
        <v>110</v>
      </c>
      <c r="F84" s="6" t="s">
        <v>10</v>
      </c>
    </row>
    <row r="85" spans="1:6">
      <c r="A85" s="6" t="s">
        <v>61</v>
      </c>
      <c r="B85" s="6" t="s">
        <v>106</v>
      </c>
      <c r="C85" s="6" t="s">
        <v>99</v>
      </c>
      <c r="D85" s="87" t="s">
        <v>9</v>
      </c>
      <c r="E85" s="88">
        <v>130</v>
      </c>
      <c r="F85" s="6" t="s">
        <v>10</v>
      </c>
    </row>
    <row r="86" spans="1:6">
      <c r="A86" s="6" t="s">
        <v>61</v>
      </c>
      <c r="B86" s="6" t="s">
        <v>107</v>
      </c>
      <c r="C86" s="6" t="s">
        <v>70</v>
      </c>
      <c r="D86" s="87" t="s">
        <v>9</v>
      </c>
      <c r="E86" s="88">
        <v>100</v>
      </c>
      <c r="F86" s="6" t="s">
        <v>10</v>
      </c>
    </row>
    <row r="87" spans="1:6">
      <c r="A87" s="6" t="s">
        <v>61</v>
      </c>
      <c r="B87" s="6" t="s">
        <v>108</v>
      </c>
      <c r="C87" s="6" t="s">
        <v>109</v>
      </c>
      <c r="D87" s="87" t="s">
        <v>9</v>
      </c>
      <c r="E87" s="82">
        <v>112</v>
      </c>
      <c r="F87" s="6" t="s">
        <v>10</v>
      </c>
    </row>
    <row r="88" spans="1:6">
      <c r="A88" s="6" t="s">
        <v>61</v>
      </c>
      <c r="B88" s="6" t="s">
        <v>110</v>
      </c>
      <c r="C88" s="6" t="s">
        <v>111</v>
      </c>
      <c r="D88" s="87" t="s">
        <v>9</v>
      </c>
      <c r="E88" s="82">
        <v>135</v>
      </c>
      <c r="F88" s="6" t="s">
        <v>10</v>
      </c>
    </row>
    <row r="89" spans="1:6">
      <c r="A89" s="6" t="s">
        <v>61</v>
      </c>
      <c r="B89" s="6" t="s">
        <v>112</v>
      </c>
      <c r="C89" s="6" t="s">
        <v>111</v>
      </c>
      <c r="D89" s="87" t="s">
        <v>9</v>
      </c>
      <c r="E89" s="82">
        <v>145</v>
      </c>
      <c r="F89" s="6" t="s">
        <v>10</v>
      </c>
    </row>
    <row r="90" spans="1:6">
      <c r="A90" s="6" t="s">
        <v>61</v>
      </c>
      <c r="B90" s="6" t="s">
        <v>113</v>
      </c>
      <c r="C90" s="6" t="s">
        <v>111</v>
      </c>
      <c r="D90" s="87" t="s">
        <v>9</v>
      </c>
      <c r="E90" s="82">
        <v>128</v>
      </c>
      <c r="F90" s="6" t="s">
        <v>10</v>
      </c>
    </row>
    <row r="91" spans="1:6">
      <c r="A91" s="6" t="s">
        <v>61</v>
      </c>
      <c r="B91" s="6" t="s">
        <v>114</v>
      </c>
      <c r="C91" s="6" t="s">
        <v>111</v>
      </c>
      <c r="D91" s="87" t="s">
        <v>9</v>
      </c>
      <c r="E91" s="82">
        <v>155</v>
      </c>
      <c r="F91" s="6" t="s">
        <v>10</v>
      </c>
    </row>
    <row r="92" spans="1:6">
      <c r="A92" s="6" t="s">
        <v>61</v>
      </c>
      <c r="B92" s="6" t="s">
        <v>115</v>
      </c>
      <c r="C92" s="6" t="s">
        <v>111</v>
      </c>
      <c r="D92" s="87" t="s">
        <v>9</v>
      </c>
      <c r="E92" s="82">
        <v>158</v>
      </c>
      <c r="F92" s="6" t="s">
        <v>10</v>
      </c>
    </row>
    <row r="93" spans="1:6">
      <c r="A93" s="6" t="s">
        <v>61</v>
      </c>
      <c r="B93" s="6" t="s">
        <v>116</v>
      </c>
      <c r="C93" s="6" t="s">
        <v>111</v>
      </c>
      <c r="D93" s="87" t="s">
        <v>9</v>
      </c>
      <c r="E93" s="82">
        <v>165</v>
      </c>
      <c r="F93" s="6" t="s">
        <v>10</v>
      </c>
    </row>
    <row r="94" spans="1:6">
      <c r="A94" s="6" t="s">
        <v>61</v>
      </c>
      <c r="B94" s="6" t="s">
        <v>117</v>
      </c>
      <c r="C94" s="6" t="s">
        <v>111</v>
      </c>
      <c r="D94" s="87" t="s">
        <v>9</v>
      </c>
      <c r="E94" s="82">
        <v>155</v>
      </c>
      <c r="F94" s="6" t="s">
        <v>10</v>
      </c>
    </row>
    <row r="95" spans="1:6">
      <c r="A95" s="6" t="s">
        <v>61</v>
      </c>
      <c r="B95" s="6" t="s">
        <v>118</v>
      </c>
      <c r="C95" s="6" t="s">
        <v>70</v>
      </c>
      <c r="D95" s="87" t="s">
        <v>9</v>
      </c>
      <c r="E95" s="82">
        <v>124</v>
      </c>
      <c r="F95" s="6" t="s">
        <v>10</v>
      </c>
    </row>
    <row r="96" spans="1:6">
      <c r="A96" s="6" t="s">
        <v>61</v>
      </c>
      <c r="B96" s="6" t="s">
        <v>119</v>
      </c>
      <c r="C96" s="6" t="s">
        <v>36</v>
      </c>
      <c r="D96" s="87" t="s">
        <v>9</v>
      </c>
      <c r="E96" s="82">
        <v>158</v>
      </c>
      <c r="F96" s="6" t="s">
        <v>10</v>
      </c>
    </row>
    <row r="97" spans="1:6">
      <c r="A97" s="6" t="s">
        <v>61</v>
      </c>
      <c r="B97" s="6" t="s">
        <v>120</v>
      </c>
      <c r="C97" s="6" t="s">
        <v>36</v>
      </c>
      <c r="D97" s="87" t="s">
        <v>9</v>
      </c>
      <c r="E97" s="82">
        <v>152</v>
      </c>
      <c r="F97" s="6" t="s">
        <v>10</v>
      </c>
    </row>
    <row r="98" spans="1:6">
      <c r="A98" s="6" t="s">
        <v>61</v>
      </c>
      <c r="B98" s="6" t="s">
        <v>121</v>
      </c>
      <c r="C98" s="6" t="s">
        <v>36</v>
      </c>
      <c r="D98" s="87" t="s">
        <v>9</v>
      </c>
      <c r="E98" s="82">
        <v>150</v>
      </c>
      <c r="F98" s="6" t="s">
        <v>10</v>
      </c>
    </row>
    <row r="99" spans="1:6">
      <c r="A99" s="6"/>
      <c r="B99" s="20" t="s">
        <v>122</v>
      </c>
      <c r="C99" s="6"/>
      <c r="D99" s="87"/>
      <c r="E99" s="82"/>
      <c r="F99" s="6"/>
    </row>
    <row r="100" spans="1:6">
      <c r="A100" s="11" t="s">
        <v>1</v>
      </c>
      <c r="B100" s="12" t="s">
        <v>2</v>
      </c>
      <c r="C100" s="13" t="s">
        <v>3</v>
      </c>
      <c r="D100" s="14" t="s">
        <v>4</v>
      </c>
      <c r="E100" s="81" t="s">
        <v>5</v>
      </c>
      <c r="F100" s="6"/>
    </row>
    <row r="101" spans="1:6">
      <c r="A101" s="6" t="s">
        <v>122</v>
      </c>
      <c r="B101" s="6" t="s">
        <v>123</v>
      </c>
      <c r="C101" s="6" t="s">
        <v>13</v>
      </c>
      <c r="D101" s="87" t="s">
        <v>124</v>
      </c>
      <c r="E101" s="88">
        <v>38</v>
      </c>
      <c r="F101" s="6" t="s">
        <v>10</v>
      </c>
    </row>
    <row r="102" spans="1:6">
      <c r="A102" s="6" t="s">
        <v>122</v>
      </c>
      <c r="B102" s="6" t="s">
        <v>125</v>
      </c>
      <c r="C102" s="6" t="s">
        <v>32</v>
      </c>
      <c r="D102" s="87" t="s">
        <v>124</v>
      </c>
      <c r="E102" s="88">
        <v>31</v>
      </c>
      <c r="F102" s="6" t="s">
        <v>10</v>
      </c>
    </row>
    <row r="103" spans="1:6">
      <c r="A103" s="6" t="s">
        <v>122</v>
      </c>
      <c r="B103" s="6" t="s">
        <v>126</v>
      </c>
      <c r="C103" s="6" t="s">
        <v>39</v>
      </c>
      <c r="D103" s="87" t="s">
        <v>124</v>
      </c>
      <c r="E103" s="88">
        <v>36</v>
      </c>
      <c r="F103" s="6" t="s">
        <v>10</v>
      </c>
    </row>
    <row r="104" spans="1:6">
      <c r="A104" s="6" t="s">
        <v>122</v>
      </c>
      <c r="B104" s="6" t="s">
        <v>127</v>
      </c>
      <c r="C104" s="6" t="s">
        <v>13</v>
      </c>
      <c r="D104" s="87" t="s">
        <v>124</v>
      </c>
      <c r="E104" s="88">
        <v>25</v>
      </c>
      <c r="F104" s="6" t="s">
        <v>10</v>
      </c>
    </row>
    <row r="105" spans="1:6">
      <c r="A105" s="6" t="s">
        <v>122</v>
      </c>
      <c r="B105" s="6" t="s">
        <v>128</v>
      </c>
      <c r="C105" s="6" t="s">
        <v>111</v>
      </c>
      <c r="D105" s="87" t="s">
        <v>124</v>
      </c>
      <c r="E105" s="88">
        <v>42</v>
      </c>
      <c r="F105" s="6" t="s">
        <v>10</v>
      </c>
    </row>
    <row r="106" spans="1:6">
      <c r="A106" s="6" t="s">
        <v>122</v>
      </c>
      <c r="B106" s="6" t="s">
        <v>129</v>
      </c>
      <c r="C106" s="6" t="s">
        <v>99</v>
      </c>
      <c r="D106" s="87" t="s">
        <v>9</v>
      </c>
      <c r="E106" s="88">
        <v>32</v>
      </c>
      <c r="F106" s="6" t="s">
        <v>10</v>
      </c>
    </row>
    <row r="107" spans="1:6">
      <c r="A107" s="6" t="s">
        <v>122</v>
      </c>
      <c r="B107" s="6" t="s">
        <v>130</v>
      </c>
      <c r="C107" s="6" t="s">
        <v>99</v>
      </c>
      <c r="D107" s="87" t="s">
        <v>9</v>
      </c>
      <c r="E107" s="88">
        <v>18</v>
      </c>
      <c r="F107" s="6" t="s">
        <v>10</v>
      </c>
    </row>
    <row r="108" spans="1:6">
      <c r="A108" s="6" t="s">
        <v>122</v>
      </c>
      <c r="B108" s="6" t="s">
        <v>131</v>
      </c>
      <c r="C108" s="6" t="s">
        <v>70</v>
      </c>
      <c r="D108" s="87" t="s">
        <v>9</v>
      </c>
      <c r="E108" s="88">
        <v>24</v>
      </c>
      <c r="F108" s="6" t="s">
        <v>10</v>
      </c>
    </row>
    <row r="109" spans="1:6">
      <c r="A109" s="6" t="s">
        <v>122</v>
      </c>
      <c r="B109" s="6" t="s">
        <v>132</v>
      </c>
      <c r="C109" s="6" t="s">
        <v>70</v>
      </c>
      <c r="D109" s="87" t="s">
        <v>9</v>
      </c>
      <c r="E109" s="88">
        <v>37</v>
      </c>
      <c r="F109" s="6" t="s">
        <v>10</v>
      </c>
    </row>
    <row r="110" spans="1:6">
      <c r="A110" s="6" t="s">
        <v>122</v>
      </c>
      <c r="B110" s="6" t="s">
        <v>133</v>
      </c>
      <c r="C110" s="6" t="s">
        <v>59</v>
      </c>
      <c r="D110" s="87" t="s">
        <v>9</v>
      </c>
      <c r="E110" s="88">
        <v>24</v>
      </c>
      <c r="F110" s="6" t="s">
        <v>10</v>
      </c>
    </row>
    <row r="111" spans="1:6">
      <c r="A111" s="6" t="s">
        <v>122</v>
      </c>
      <c r="B111" s="6" t="s">
        <v>134</v>
      </c>
      <c r="C111" s="6" t="s">
        <v>59</v>
      </c>
      <c r="D111" s="87" t="s">
        <v>9</v>
      </c>
      <c r="E111" s="88">
        <v>32</v>
      </c>
      <c r="F111" s="6" t="s">
        <v>10</v>
      </c>
    </row>
    <row r="112" spans="1:6">
      <c r="A112" s="6" t="s">
        <v>122</v>
      </c>
      <c r="B112" s="6" t="s">
        <v>135</v>
      </c>
      <c r="C112" s="6" t="s">
        <v>70</v>
      </c>
      <c r="D112" s="87" t="s">
        <v>9</v>
      </c>
      <c r="E112" s="88">
        <v>19</v>
      </c>
      <c r="F112" s="6" t="s">
        <v>10</v>
      </c>
    </row>
    <row r="113" spans="1:6">
      <c r="A113" s="6" t="s">
        <v>122</v>
      </c>
      <c r="B113" s="6" t="s">
        <v>136</v>
      </c>
      <c r="C113" s="6" t="s">
        <v>13</v>
      </c>
      <c r="D113" s="87" t="s">
        <v>9</v>
      </c>
      <c r="E113" s="88">
        <v>38</v>
      </c>
      <c r="F113" s="6" t="s">
        <v>10</v>
      </c>
    </row>
    <row r="114" spans="1:6">
      <c r="A114" s="6" t="s">
        <v>122</v>
      </c>
      <c r="B114" s="6" t="s">
        <v>137</v>
      </c>
      <c r="C114" s="6" t="s">
        <v>109</v>
      </c>
      <c r="D114" s="87" t="s">
        <v>9</v>
      </c>
      <c r="E114" s="88">
        <v>18.9</v>
      </c>
      <c r="F114" s="6" t="s">
        <v>10</v>
      </c>
    </row>
    <row r="115" spans="1:6">
      <c r="A115" s="6" t="s">
        <v>122</v>
      </c>
      <c r="B115" s="6" t="s">
        <v>138</v>
      </c>
      <c r="C115" s="6" t="s">
        <v>36</v>
      </c>
      <c r="D115" s="87" t="s">
        <v>9</v>
      </c>
      <c r="E115" s="88">
        <v>31.5</v>
      </c>
      <c r="F115" s="6" t="s">
        <v>10</v>
      </c>
    </row>
    <row r="116" spans="1:6">
      <c r="A116" s="6" t="s">
        <v>122</v>
      </c>
      <c r="B116" s="6" t="s">
        <v>139</v>
      </c>
      <c r="C116" s="6" t="s">
        <v>36</v>
      </c>
      <c r="D116" s="87" t="s">
        <v>124</v>
      </c>
      <c r="E116" s="88">
        <v>48</v>
      </c>
      <c r="F116" s="6" t="s">
        <v>10</v>
      </c>
    </row>
    <row r="117" spans="1:6">
      <c r="A117" s="6" t="s">
        <v>122</v>
      </c>
      <c r="B117" s="6" t="s">
        <v>140</v>
      </c>
      <c r="C117" s="6" t="s">
        <v>36</v>
      </c>
      <c r="D117" s="87" t="s">
        <v>124</v>
      </c>
      <c r="E117" s="88">
        <v>42</v>
      </c>
      <c r="F117" s="6" t="s">
        <v>10</v>
      </c>
    </row>
    <row r="118" spans="1:6">
      <c r="A118" s="6"/>
      <c r="B118" s="7" t="s">
        <v>141</v>
      </c>
      <c r="C118" s="6"/>
      <c r="D118" s="87"/>
      <c r="E118" s="82"/>
      <c r="F118" s="6"/>
    </row>
    <row r="119" spans="1:6">
      <c r="A119" s="11" t="s">
        <v>1</v>
      </c>
      <c r="B119" s="12" t="s">
        <v>2</v>
      </c>
      <c r="C119" s="13" t="s">
        <v>3</v>
      </c>
      <c r="D119" s="14" t="s">
        <v>4</v>
      </c>
      <c r="E119" s="81" t="s">
        <v>5</v>
      </c>
      <c r="F119" s="6"/>
    </row>
    <row r="120" spans="1:6">
      <c r="A120" s="6" t="s">
        <v>141</v>
      </c>
      <c r="B120" s="6" t="s">
        <v>142</v>
      </c>
      <c r="C120" s="6" t="s">
        <v>13</v>
      </c>
      <c r="D120" s="87" t="s">
        <v>9</v>
      </c>
      <c r="E120" s="88">
        <v>13.5</v>
      </c>
      <c r="F120" s="6" t="s">
        <v>10</v>
      </c>
    </row>
    <row r="121" spans="1:6">
      <c r="A121" s="6" t="s">
        <v>141</v>
      </c>
      <c r="B121" s="6" t="s">
        <v>143</v>
      </c>
      <c r="C121" s="6" t="s">
        <v>74</v>
      </c>
      <c r="D121" s="87" t="s">
        <v>9</v>
      </c>
      <c r="E121" s="88">
        <v>115</v>
      </c>
      <c r="F121" s="6" t="s">
        <v>10</v>
      </c>
    </row>
    <row r="122" spans="1:6">
      <c r="A122" s="6" t="s">
        <v>141</v>
      </c>
      <c r="B122" s="6" t="s">
        <v>144</v>
      </c>
      <c r="C122" s="6" t="s">
        <v>32</v>
      </c>
      <c r="D122" s="87" t="s">
        <v>9</v>
      </c>
      <c r="E122" s="88">
        <v>88</v>
      </c>
      <c r="F122" s="6" t="s">
        <v>10</v>
      </c>
    </row>
    <row r="123" spans="1:6">
      <c r="A123" s="6" t="s">
        <v>141</v>
      </c>
      <c r="B123" s="6" t="s">
        <v>145</v>
      </c>
      <c r="C123" s="6" t="s">
        <v>59</v>
      </c>
      <c r="D123" s="87" t="s">
        <v>9</v>
      </c>
      <c r="E123" s="88">
        <v>120</v>
      </c>
      <c r="F123" s="6" t="s">
        <v>10</v>
      </c>
    </row>
    <row r="124" spans="1:6">
      <c r="A124" s="6" t="s">
        <v>141</v>
      </c>
      <c r="B124" s="6" t="s">
        <v>146</v>
      </c>
      <c r="C124" s="6" t="s">
        <v>70</v>
      </c>
      <c r="D124" s="87" t="s">
        <v>9</v>
      </c>
      <c r="E124" s="88">
        <v>190</v>
      </c>
      <c r="F124" s="6" t="s">
        <v>10</v>
      </c>
    </row>
    <row r="125" spans="1:6">
      <c r="A125" s="6" t="s">
        <v>141</v>
      </c>
      <c r="B125" s="6" t="s">
        <v>147</v>
      </c>
      <c r="C125" s="6" t="s">
        <v>39</v>
      </c>
      <c r="D125" s="87" t="s">
        <v>9</v>
      </c>
      <c r="E125" s="88">
        <v>14</v>
      </c>
      <c r="F125" s="6" t="s">
        <v>10</v>
      </c>
    </row>
    <row r="126" spans="1:6">
      <c r="A126" s="6" t="s">
        <v>141</v>
      </c>
      <c r="B126" s="6" t="s">
        <v>148</v>
      </c>
      <c r="C126" s="6" t="s">
        <v>99</v>
      </c>
      <c r="D126" s="87" t="s">
        <v>9</v>
      </c>
      <c r="E126" s="82">
        <v>14.5</v>
      </c>
      <c r="F126" s="6" t="s">
        <v>10</v>
      </c>
    </row>
    <row r="127" spans="1:6">
      <c r="A127" s="6" t="s">
        <v>141</v>
      </c>
      <c r="B127" s="6" t="s">
        <v>149</v>
      </c>
      <c r="C127" s="6" t="s">
        <v>32</v>
      </c>
      <c r="D127" s="87" t="s">
        <v>9</v>
      </c>
      <c r="E127" s="82">
        <v>10.5</v>
      </c>
      <c r="F127" s="6" t="s">
        <v>10</v>
      </c>
    </row>
    <row r="128" spans="1:6">
      <c r="A128" s="6" t="s">
        <v>141</v>
      </c>
      <c r="B128" s="6" t="s">
        <v>150</v>
      </c>
      <c r="C128" s="6" t="s">
        <v>32</v>
      </c>
      <c r="D128" s="87" t="s">
        <v>9</v>
      </c>
      <c r="E128" s="82">
        <v>51</v>
      </c>
      <c r="F128" s="6" t="s">
        <v>10</v>
      </c>
    </row>
    <row r="129" spans="1:6">
      <c r="A129" s="6" t="s">
        <v>141</v>
      </c>
      <c r="B129" s="6" t="s">
        <v>151</v>
      </c>
      <c r="C129" s="6" t="s">
        <v>152</v>
      </c>
      <c r="D129" s="87" t="s">
        <v>9</v>
      </c>
      <c r="E129" s="82">
        <v>11</v>
      </c>
      <c r="F129" s="6" t="s">
        <v>10</v>
      </c>
    </row>
    <row r="130" spans="1:6">
      <c r="A130" s="6" t="s">
        <v>141</v>
      </c>
      <c r="B130" s="6" t="s">
        <v>153</v>
      </c>
      <c r="C130" s="6" t="s">
        <v>39</v>
      </c>
      <c r="D130" s="87" t="s">
        <v>9</v>
      </c>
      <c r="E130" s="82">
        <v>14.5</v>
      </c>
      <c r="F130" s="6" t="s">
        <v>10</v>
      </c>
    </row>
    <row r="131" spans="1:6">
      <c r="A131" s="6" t="s">
        <v>141</v>
      </c>
      <c r="B131" s="6" t="s">
        <v>154</v>
      </c>
      <c r="C131" s="6" t="s">
        <v>39</v>
      </c>
      <c r="D131" s="87" t="s">
        <v>9</v>
      </c>
      <c r="E131" s="82">
        <v>100</v>
      </c>
      <c r="F131" s="6" t="s">
        <v>10</v>
      </c>
    </row>
    <row r="132" spans="1:6">
      <c r="A132" s="6" t="s">
        <v>141</v>
      </c>
      <c r="B132" s="6" t="s">
        <v>155</v>
      </c>
      <c r="C132" s="6" t="s">
        <v>39</v>
      </c>
      <c r="D132" s="87" t="s">
        <v>9</v>
      </c>
      <c r="E132" s="82">
        <v>160</v>
      </c>
      <c r="F132" s="6" t="s">
        <v>10</v>
      </c>
    </row>
    <row r="133" spans="1:6">
      <c r="A133" s="6"/>
      <c r="B133" s="20" t="s">
        <v>156</v>
      </c>
      <c r="C133" s="6"/>
      <c r="D133" s="87"/>
      <c r="E133" s="82"/>
      <c r="F133" s="6"/>
    </row>
    <row r="134" spans="1:6">
      <c r="A134" s="11" t="s">
        <v>1</v>
      </c>
      <c r="B134" s="12" t="s">
        <v>2</v>
      </c>
      <c r="C134" s="13" t="s">
        <v>3</v>
      </c>
      <c r="D134" s="14" t="s">
        <v>4</v>
      </c>
      <c r="E134" s="81" t="s">
        <v>5</v>
      </c>
      <c r="F134" s="6"/>
    </row>
    <row r="135" spans="1:6">
      <c r="A135" s="6" t="s">
        <v>156</v>
      </c>
      <c r="B135" s="6" t="s">
        <v>157</v>
      </c>
      <c r="C135" s="6" t="s">
        <v>13</v>
      </c>
      <c r="D135" s="87" t="s">
        <v>9</v>
      </c>
      <c r="E135" s="88">
        <v>425</v>
      </c>
      <c r="F135" s="6" t="s">
        <v>10</v>
      </c>
    </row>
    <row r="136" spans="1:6">
      <c r="A136" s="6" t="s">
        <v>156</v>
      </c>
      <c r="B136" s="6" t="s">
        <v>158</v>
      </c>
      <c r="C136" s="6" t="s">
        <v>21</v>
      </c>
      <c r="D136" s="87" t="s">
        <v>9</v>
      </c>
      <c r="E136" s="88">
        <v>265</v>
      </c>
      <c r="F136" s="6" t="s">
        <v>10</v>
      </c>
    </row>
    <row r="137" spans="1:6">
      <c r="A137" s="6" t="s">
        <v>156</v>
      </c>
      <c r="B137" s="6" t="s">
        <v>159</v>
      </c>
      <c r="C137" s="6" t="s">
        <v>32</v>
      </c>
      <c r="D137" s="87" t="s">
        <v>9</v>
      </c>
      <c r="E137" s="88">
        <v>230</v>
      </c>
      <c r="F137" s="6" t="s">
        <v>10</v>
      </c>
    </row>
    <row r="138" spans="1:6">
      <c r="A138" s="6" t="s">
        <v>156</v>
      </c>
      <c r="B138" s="6" t="s">
        <v>160</v>
      </c>
      <c r="C138" s="6" t="s">
        <v>32</v>
      </c>
      <c r="D138" s="87" t="s">
        <v>9</v>
      </c>
      <c r="E138" s="88">
        <v>216</v>
      </c>
      <c r="F138" s="6" t="s">
        <v>10</v>
      </c>
    </row>
    <row r="139" spans="1:6">
      <c r="A139" s="6" t="s">
        <v>156</v>
      </c>
      <c r="B139" s="6" t="s">
        <v>161</v>
      </c>
      <c r="C139" s="6" t="s">
        <v>36</v>
      </c>
      <c r="D139" s="87" t="s">
        <v>9</v>
      </c>
      <c r="E139" s="88">
        <v>240</v>
      </c>
      <c r="F139" s="6" t="s">
        <v>10</v>
      </c>
    </row>
    <row r="140" spans="1:6">
      <c r="A140" s="6" t="s">
        <v>156</v>
      </c>
      <c r="B140" s="6" t="s">
        <v>162</v>
      </c>
      <c r="C140" s="22" t="s">
        <v>152</v>
      </c>
      <c r="D140" s="87" t="s">
        <v>9</v>
      </c>
      <c r="E140" s="90">
        <v>180</v>
      </c>
      <c r="F140" s="6" t="s">
        <v>10</v>
      </c>
    </row>
    <row r="141" spans="1:6">
      <c r="A141" s="6" t="s">
        <v>156</v>
      </c>
      <c r="B141" s="6" t="s">
        <v>163</v>
      </c>
      <c r="C141" s="22" t="s">
        <v>111</v>
      </c>
      <c r="D141" s="87" t="s">
        <v>9</v>
      </c>
      <c r="E141" s="90">
        <v>450</v>
      </c>
      <c r="F141" s="6" t="s">
        <v>10</v>
      </c>
    </row>
    <row r="142" spans="1:6">
      <c r="A142" s="6"/>
      <c r="B142" s="20" t="s">
        <v>164</v>
      </c>
      <c r="C142" s="13"/>
      <c r="D142" s="14"/>
      <c r="E142" s="81"/>
      <c r="F142" s="6"/>
    </row>
    <row r="143" spans="1:6">
      <c r="A143" s="11" t="s">
        <v>1</v>
      </c>
      <c r="B143" s="12" t="s">
        <v>2</v>
      </c>
      <c r="C143" s="13" t="s">
        <v>3</v>
      </c>
      <c r="D143" s="14" t="s">
        <v>4</v>
      </c>
      <c r="E143" s="81" t="s">
        <v>5</v>
      </c>
      <c r="F143" s="6"/>
    </row>
    <row r="144" spans="1:6">
      <c r="A144" s="6" t="s">
        <v>164</v>
      </c>
      <c r="B144" s="6" t="s">
        <v>165</v>
      </c>
      <c r="C144" s="6" t="s">
        <v>13</v>
      </c>
      <c r="D144" s="87" t="s">
        <v>9</v>
      </c>
      <c r="E144" s="88">
        <v>53</v>
      </c>
      <c r="F144" s="6" t="s">
        <v>10</v>
      </c>
    </row>
    <row r="145" spans="1:6">
      <c r="A145" s="6" t="s">
        <v>164</v>
      </c>
      <c r="B145" s="6" t="s">
        <v>166</v>
      </c>
      <c r="C145" s="6" t="s">
        <v>13</v>
      </c>
      <c r="D145" s="87" t="s">
        <v>9</v>
      </c>
      <c r="E145" s="88">
        <v>53</v>
      </c>
      <c r="F145" s="6" t="s">
        <v>10</v>
      </c>
    </row>
    <row r="146" spans="1:6">
      <c r="A146" s="6" t="s">
        <v>164</v>
      </c>
      <c r="B146" s="6" t="s">
        <v>167</v>
      </c>
      <c r="C146" s="6" t="s">
        <v>24</v>
      </c>
      <c r="D146" s="87" t="s">
        <v>9</v>
      </c>
      <c r="E146" s="88">
        <v>55</v>
      </c>
      <c r="F146" s="6" t="s">
        <v>10</v>
      </c>
    </row>
    <row r="147" spans="1:6">
      <c r="A147" s="6" t="s">
        <v>164</v>
      </c>
      <c r="B147" s="6" t="s">
        <v>168</v>
      </c>
      <c r="C147" s="6" t="s">
        <v>21</v>
      </c>
      <c r="D147" s="87" t="s">
        <v>9</v>
      </c>
      <c r="E147" s="88">
        <v>50</v>
      </c>
      <c r="F147" s="6" t="s">
        <v>10</v>
      </c>
    </row>
    <row r="148" spans="1:6">
      <c r="A148" s="6" t="s">
        <v>164</v>
      </c>
      <c r="B148" s="6" t="s">
        <v>169</v>
      </c>
      <c r="C148" s="6" t="s">
        <v>21</v>
      </c>
      <c r="D148" s="87" t="s">
        <v>9</v>
      </c>
      <c r="E148" s="88">
        <v>55</v>
      </c>
      <c r="F148" s="6" t="s">
        <v>10</v>
      </c>
    </row>
    <row r="149" spans="1:6">
      <c r="A149" s="6" t="s">
        <v>164</v>
      </c>
      <c r="B149" s="6" t="s">
        <v>170</v>
      </c>
      <c r="C149" s="6" t="s">
        <v>24</v>
      </c>
      <c r="D149" s="87" t="s">
        <v>9</v>
      </c>
      <c r="E149" s="88">
        <v>65</v>
      </c>
      <c r="F149" s="6" t="s">
        <v>10</v>
      </c>
    </row>
    <row r="150" spans="1:6">
      <c r="A150" s="6" t="s">
        <v>164</v>
      </c>
      <c r="B150" s="6" t="s">
        <v>171</v>
      </c>
      <c r="C150" s="27" t="s">
        <v>24</v>
      </c>
      <c r="D150" s="87" t="s">
        <v>9</v>
      </c>
      <c r="E150" s="88">
        <v>115</v>
      </c>
      <c r="F150" s="6" t="s">
        <v>10</v>
      </c>
    </row>
    <row r="151" spans="1:6">
      <c r="A151" s="6" t="s">
        <v>164</v>
      </c>
      <c r="B151" s="6" t="s">
        <v>172</v>
      </c>
      <c r="C151" s="6" t="s">
        <v>173</v>
      </c>
      <c r="D151" s="87" t="s">
        <v>9</v>
      </c>
      <c r="E151" s="88">
        <v>55</v>
      </c>
      <c r="F151" s="6" t="s">
        <v>10</v>
      </c>
    </row>
    <row r="152" spans="1:6">
      <c r="A152" s="6" t="s">
        <v>164</v>
      </c>
      <c r="B152" s="6" t="s">
        <v>174</v>
      </c>
      <c r="C152" s="6" t="s">
        <v>32</v>
      </c>
      <c r="D152" s="87" t="s">
        <v>9</v>
      </c>
      <c r="E152" s="88">
        <v>47</v>
      </c>
      <c r="F152" s="6" t="s">
        <v>10</v>
      </c>
    </row>
    <row r="153" spans="1:6">
      <c r="A153" s="6" t="s">
        <v>164</v>
      </c>
      <c r="B153" s="6" t="s">
        <v>175</v>
      </c>
      <c r="C153" s="6" t="s">
        <v>32</v>
      </c>
      <c r="D153" s="87" t="s">
        <v>9</v>
      </c>
      <c r="E153" s="88">
        <v>47</v>
      </c>
      <c r="F153" s="6" t="s">
        <v>10</v>
      </c>
    </row>
    <row r="154" spans="1:6">
      <c r="A154" s="6" t="s">
        <v>164</v>
      </c>
      <c r="B154" s="6" t="s">
        <v>176</v>
      </c>
      <c r="C154" s="6" t="s">
        <v>32</v>
      </c>
      <c r="D154" s="87" t="s">
        <v>9</v>
      </c>
      <c r="E154" s="88">
        <v>47</v>
      </c>
      <c r="F154" s="6" t="s">
        <v>10</v>
      </c>
    </row>
    <row r="155" spans="1:6">
      <c r="A155" s="6" t="s">
        <v>164</v>
      </c>
      <c r="B155" s="6" t="s">
        <v>177</v>
      </c>
      <c r="C155" s="6" t="s">
        <v>32</v>
      </c>
      <c r="D155" s="87" t="s">
        <v>9</v>
      </c>
      <c r="E155" s="88">
        <v>110</v>
      </c>
      <c r="F155" s="6" t="s">
        <v>10</v>
      </c>
    </row>
    <row r="156" spans="1:6">
      <c r="A156" s="6" t="s">
        <v>164</v>
      </c>
      <c r="B156" s="6" t="s">
        <v>178</v>
      </c>
      <c r="C156" s="6" t="s">
        <v>32</v>
      </c>
      <c r="D156" s="87" t="s">
        <v>9</v>
      </c>
      <c r="E156" s="88">
        <v>110</v>
      </c>
      <c r="F156" s="6" t="s">
        <v>10</v>
      </c>
    </row>
    <row r="157" spans="1:6">
      <c r="A157" s="6" t="s">
        <v>164</v>
      </c>
      <c r="B157" s="6" t="s">
        <v>179</v>
      </c>
      <c r="C157" s="6" t="s">
        <v>32</v>
      </c>
      <c r="D157" s="87" t="s">
        <v>9</v>
      </c>
      <c r="E157" s="88">
        <v>112</v>
      </c>
      <c r="F157" s="6" t="s">
        <v>10</v>
      </c>
    </row>
    <row r="158" spans="1:6">
      <c r="A158" s="6" t="s">
        <v>164</v>
      </c>
      <c r="B158" s="6" t="s">
        <v>180</v>
      </c>
      <c r="C158" s="6" t="s">
        <v>111</v>
      </c>
      <c r="D158" s="87" t="s">
        <v>9</v>
      </c>
      <c r="E158" s="88">
        <v>66</v>
      </c>
      <c r="F158" s="6" t="s">
        <v>10</v>
      </c>
    </row>
    <row r="159" spans="1:6">
      <c r="A159" s="6" t="s">
        <v>164</v>
      </c>
      <c r="B159" s="6" t="s">
        <v>181</v>
      </c>
      <c r="C159" s="6" t="s">
        <v>111</v>
      </c>
      <c r="D159" s="87" t="s">
        <v>9</v>
      </c>
      <c r="E159" s="88">
        <v>74</v>
      </c>
      <c r="F159" s="6" t="s">
        <v>10</v>
      </c>
    </row>
    <row r="160" spans="1:6">
      <c r="A160" s="6" t="s">
        <v>164</v>
      </c>
      <c r="B160" s="6" t="s">
        <v>182</v>
      </c>
      <c r="C160" s="6" t="s">
        <v>36</v>
      </c>
      <c r="D160" s="87" t="s">
        <v>9</v>
      </c>
      <c r="E160" s="88">
        <v>74</v>
      </c>
      <c r="F160" s="6" t="s">
        <v>10</v>
      </c>
    </row>
    <row r="161" spans="1:6">
      <c r="A161" s="6" t="s">
        <v>164</v>
      </c>
      <c r="B161" s="6" t="s">
        <v>183</v>
      </c>
      <c r="C161" s="6" t="s">
        <v>36</v>
      </c>
      <c r="D161" s="87" t="s">
        <v>9</v>
      </c>
      <c r="E161" s="88">
        <v>77</v>
      </c>
      <c r="F161" s="6" t="s">
        <v>10</v>
      </c>
    </row>
    <row r="162" spans="1:6">
      <c r="A162" s="6" t="s">
        <v>164</v>
      </c>
      <c r="B162" s="6" t="s">
        <v>184</v>
      </c>
      <c r="C162" s="6" t="s">
        <v>99</v>
      </c>
      <c r="D162" s="87" t="s">
        <v>9</v>
      </c>
      <c r="E162" s="88">
        <v>250</v>
      </c>
      <c r="F162" s="6" t="s">
        <v>10</v>
      </c>
    </row>
    <row r="163" spans="1:6">
      <c r="A163" s="6" t="s">
        <v>164</v>
      </c>
      <c r="B163" s="6" t="s">
        <v>185</v>
      </c>
      <c r="C163" s="6" t="s">
        <v>99</v>
      </c>
      <c r="D163" s="87" t="s">
        <v>9</v>
      </c>
      <c r="E163" s="88">
        <v>68</v>
      </c>
      <c r="F163" s="6" t="s">
        <v>10</v>
      </c>
    </row>
    <row r="164" spans="1:6">
      <c r="A164" s="6" t="s">
        <v>164</v>
      </c>
      <c r="B164" s="6" t="s">
        <v>186</v>
      </c>
      <c r="C164" s="6" t="s">
        <v>99</v>
      </c>
      <c r="D164" s="87" t="s">
        <v>9</v>
      </c>
      <c r="E164" s="88">
        <v>68</v>
      </c>
      <c r="F164" s="6" t="s">
        <v>10</v>
      </c>
    </row>
    <row r="165" spans="1:6">
      <c r="A165" s="6" t="s">
        <v>164</v>
      </c>
      <c r="B165" s="6" t="s">
        <v>187</v>
      </c>
      <c r="C165" s="6" t="s">
        <v>99</v>
      </c>
      <c r="D165" s="87" t="s">
        <v>9</v>
      </c>
      <c r="E165" s="88">
        <v>74</v>
      </c>
      <c r="F165" s="6" t="s">
        <v>10</v>
      </c>
    </row>
    <row r="166" spans="1:6">
      <c r="A166" s="6" t="s">
        <v>164</v>
      </c>
      <c r="B166" s="6" t="s">
        <v>188</v>
      </c>
      <c r="C166" s="6" t="s">
        <v>99</v>
      </c>
      <c r="D166" s="87" t="s">
        <v>9</v>
      </c>
      <c r="E166" s="88">
        <v>115</v>
      </c>
      <c r="F166" s="6" t="s">
        <v>10</v>
      </c>
    </row>
    <row r="167" spans="1:6">
      <c r="A167" s="6" t="s">
        <v>164</v>
      </c>
      <c r="B167" s="6" t="s">
        <v>189</v>
      </c>
      <c r="C167" s="6" t="s">
        <v>152</v>
      </c>
      <c r="D167" s="87" t="s">
        <v>9</v>
      </c>
      <c r="E167" s="88">
        <v>60</v>
      </c>
      <c r="F167" s="6" t="s">
        <v>10</v>
      </c>
    </row>
    <row r="168" spans="1:6">
      <c r="A168" s="6" t="s">
        <v>164</v>
      </c>
      <c r="B168" s="6" t="s">
        <v>190</v>
      </c>
      <c r="C168" s="6" t="s">
        <v>39</v>
      </c>
      <c r="D168" s="87" t="s">
        <v>9</v>
      </c>
      <c r="E168" s="82">
        <v>48</v>
      </c>
      <c r="F168" s="6" t="s">
        <v>10</v>
      </c>
    </row>
    <row r="169" spans="1:6">
      <c r="A169" s="6" t="s">
        <v>164</v>
      </c>
      <c r="B169" s="6" t="s">
        <v>191</v>
      </c>
      <c r="C169" s="6" t="s">
        <v>39</v>
      </c>
      <c r="D169" s="87" t="s">
        <v>9</v>
      </c>
      <c r="E169" s="82">
        <v>71</v>
      </c>
      <c r="F169" s="6" t="s">
        <v>10</v>
      </c>
    </row>
    <row r="170" spans="1:6">
      <c r="A170" s="6" t="s">
        <v>164</v>
      </c>
      <c r="B170" s="6" t="s">
        <v>192</v>
      </c>
      <c r="C170" s="6" t="s">
        <v>39</v>
      </c>
      <c r="D170" s="87" t="s">
        <v>9</v>
      </c>
      <c r="E170" s="82">
        <v>79</v>
      </c>
      <c r="F170" s="6" t="s">
        <v>10</v>
      </c>
    </row>
    <row r="171" spans="1:6">
      <c r="A171" s="6" t="s">
        <v>164</v>
      </c>
      <c r="B171" s="6" t="s">
        <v>193</v>
      </c>
      <c r="C171" s="6" t="s">
        <v>39</v>
      </c>
      <c r="D171" s="87" t="s">
        <v>9</v>
      </c>
      <c r="E171" s="82">
        <v>56</v>
      </c>
      <c r="F171" s="6" t="s">
        <v>10</v>
      </c>
    </row>
    <row r="172" spans="1:6">
      <c r="A172" s="6" t="s">
        <v>164</v>
      </c>
      <c r="B172" s="6" t="s">
        <v>194</v>
      </c>
      <c r="C172" s="6" t="s">
        <v>39</v>
      </c>
      <c r="D172" s="87" t="s">
        <v>9</v>
      </c>
      <c r="E172" s="82">
        <v>100</v>
      </c>
      <c r="F172" s="6" t="s">
        <v>10</v>
      </c>
    </row>
    <row r="173" spans="1:6">
      <c r="A173" s="6"/>
      <c r="B173" s="7" t="s">
        <v>195</v>
      </c>
      <c r="C173" s="6"/>
      <c r="D173" s="87"/>
      <c r="E173" s="82"/>
      <c r="F173" s="6"/>
    </row>
    <row r="174" spans="1:6">
      <c r="A174" s="11" t="s">
        <v>1</v>
      </c>
      <c r="B174" s="12" t="s">
        <v>2</v>
      </c>
      <c r="C174" s="13" t="s">
        <v>3</v>
      </c>
      <c r="D174" s="14" t="s">
        <v>4</v>
      </c>
      <c r="E174" s="81" t="s">
        <v>5</v>
      </c>
      <c r="F174" s="6"/>
    </row>
    <row r="175" spans="1:6">
      <c r="A175" s="28" t="s">
        <v>195</v>
      </c>
      <c r="B175" s="6" t="s">
        <v>196</v>
      </c>
      <c r="C175" s="6" t="s">
        <v>13</v>
      </c>
      <c r="D175" s="87" t="s">
        <v>9</v>
      </c>
      <c r="E175" s="88">
        <v>26.25</v>
      </c>
      <c r="F175" s="6" t="s">
        <v>10</v>
      </c>
    </row>
    <row r="176" spans="1:6">
      <c r="A176" s="28" t="s">
        <v>195</v>
      </c>
      <c r="B176" s="6" t="s">
        <v>197</v>
      </c>
      <c r="C176" s="6" t="s">
        <v>13</v>
      </c>
      <c r="D176" s="87" t="s">
        <v>9</v>
      </c>
      <c r="E176" s="88">
        <v>26.25</v>
      </c>
      <c r="F176" s="6" t="s">
        <v>10</v>
      </c>
    </row>
    <row r="177" spans="1:6">
      <c r="A177" s="28" t="s">
        <v>195</v>
      </c>
      <c r="B177" s="6" t="s">
        <v>198</v>
      </c>
      <c r="C177" s="6" t="s">
        <v>199</v>
      </c>
      <c r="D177" s="87" t="s">
        <v>9</v>
      </c>
      <c r="E177" s="88">
        <v>16.5</v>
      </c>
      <c r="F177" s="6" t="s">
        <v>10</v>
      </c>
    </row>
    <row r="178" spans="1:6">
      <c r="A178" s="28" t="s">
        <v>195</v>
      </c>
      <c r="B178" s="6" t="s">
        <v>200</v>
      </c>
      <c r="C178" s="6" t="s">
        <v>13</v>
      </c>
      <c r="D178" s="87" t="s">
        <v>124</v>
      </c>
      <c r="E178" s="88">
        <v>18</v>
      </c>
      <c r="F178" s="6" t="s">
        <v>10</v>
      </c>
    </row>
    <row r="179" spans="1:6">
      <c r="A179" s="28" t="s">
        <v>195</v>
      </c>
      <c r="B179" s="6" t="s">
        <v>201</v>
      </c>
      <c r="C179" s="6" t="s">
        <v>13</v>
      </c>
      <c r="D179" s="87" t="s">
        <v>9</v>
      </c>
      <c r="E179" s="88">
        <v>33.38</v>
      </c>
      <c r="F179" s="6" t="s">
        <v>10</v>
      </c>
    </row>
    <row r="180" spans="1:6">
      <c r="A180" s="28" t="s">
        <v>195</v>
      </c>
      <c r="B180" s="6" t="s">
        <v>202</v>
      </c>
      <c r="C180" s="6" t="s">
        <v>13</v>
      </c>
      <c r="D180" s="87" t="s">
        <v>9</v>
      </c>
      <c r="E180" s="88">
        <v>18</v>
      </c>
      <c r="F180" s="6" t="s">
        <v>10</v>
      </c>
    </row>
    <row r="181" spans="1:6">
      <c r="A181" s="28" t="s">
        <v>195</v>
      </c>
      <c r="B181" s="6" t="s">
        <v>203</v>
      </c>
      <c r="C181" s="6" t="s">
        <v>199</v>
      </c>
      <c r="D181" s="87" t="s">
        <v>9</v>
      </c>
      <c r="E181" s="82">
        <v>18</v>
      </c>
      <c r="F181" s="6" t="s">
        <v>10</v>
      </c>
    </row>
    <row r="182" spans="1:6">
      <c r="A182" s="28" t="s">
        <v>195</v>
      </c>
      <c r="B182" s="6" t="s">
        <v>204</v>
      </c>
      <c r="C182" s="6" t="s">
        <v>13</v>
      </c>
      <c r="D182" s="87" t="s">
        <v>9</v>
      </c>
      <c r="E182" s="82">
        <v>24</v>
      </c>
      <c r="F182" s="6" t="s">
        <v>10</v>
      </c>
    </row>
    <row r="183" spans="1:6">
      <c r="A183" s="28" t="s">
        <v>195</v>
      </c>
      <c r="B183" s="6" t="s">
        <v>205</v>
      </c>
      <c r="C183" s="6" t="s">
        <v>87</v>
      </c>
      <c r="D183" s="87" t="s">
        <v>9</v>
      </c>
      <c r="E183" s="82">
        <v>33</v>
      </c>
      <c r="F183" s="6" t="s">
        <v>10</v>
      </c>
    </row>
    <row r="184" spans="1:6">
      <c r="A184" s="28" t="s">
        <v>195</v>
      </c>
      <c r="B184" s="6" t="s">
        <v>206</v>
      </c>
      <c r="C184" s="6" t="s">
        <v>87</v>
      </c>
      <c r="D184" s="87" t="s">
        <v>9</v>
      </c>
      <c r="E184" s="82">
        <v>21.75</v>
      </c>
      <c r="F184" s="6" t="s">
        <v>10</v>
      </c>
    </row>
    <row r="185" spans="1:6">
      <c r="A185" s="28" t="s">
        <v>195</v>
      </c>
      <c r="B185" s="6" t="s">
        <v>207</v>
      </c>
      <c r="C185" s="6" t="s">
        <v>87</v>
      </c>
      <c r="D185" s="87" t="s">
        <v>9</v>
      </c>
      <c r="E185" s="82">
        <v>25.5</v>
      </c>
      <c r="F185" s="6" t="s">
        <v>10</v>
      </c>
    </row>
    <row r="186" spans="1:6">
      <c r="A186" s="6"/>
      <c r="B186" s="7" t="s">
        <v>208</v>
      </c>
      <c r="C186" s="6"/>
      <c r="D186" s="87"/>
      <c r="E186" s="82"/>
      <c r="F186" s="6"/>
    </row>
    <row r="187" spans="1:6">
      <c r="A187" s="11" t="s">
        <v>1</v>
      </c>
      <c r="B187" s="12" t="s">
        <v>2</v>
      </c>
      <c r="C187" s="13" t="s">
        <v>3</v>
      </c>
      <c r="D187" s="14" t="s">
        <v>4</v>
      </c>
      <c r="E187" s="81" t="s">
        <v>5</v>
      </c>
      <c r="F187" s="6"/>
    </row>
    <row r="188" spans="1:6">
      <c r="A188" s="28" t="s">
        <v>208</v>
      </c>
      <c r="B188" s="6" t="s">
        <v>209</v>
      </c>
      <c r="C188" s="6" t="s">
        <v>18</v>
      </c>
      <c r="D188" s="87" t="s">
        <v>9</v>
      </c>
      <c r="E188" s="88">
        <v>184</v>
      </c>
      <c r="F188" s="6" t="s">
        <v>10</v>
      </c>
    </row>
    <row r="189" spans="1:6">
      <c r="A189" s="28" t="s">
        <v>208</v>
      </c>
      <c r="B189" s="6" t="s">
        <v>210</v>
      </c>
      <c r="C189" s="6" t="s">
        <v>32</v>
      </c>
      <c r="D189" s="87" t="s">
        <v>9</v>
      </c>
      <c r="E189" s="88">
        <v>19.5</v>
      </c>
      <c r="F189" s="6" t="s">
        <v>10</v>
      </c>
    </row>
    <row r="190" spans="1:6">
      <c r="A190" s="28" t="s">
        <v>208</v>
      </c>
      <c r="B190" s="6" t="s">
        <v>211</v>
      </c>
      <c r="C190" s="6" t="s">
        <v>13</v>
      </c>
      <c r="D190" s="87" t="s">
        <v>9</v>
      </c>
      <c r="E190" s="88">
        <v>150</v>
      </c>
      <c r="F190" s="6" t="s">
        <v>10</v>
      </c>
    </row>
    <row r="191" spans="1:6">
      <c r="A191" s="6"/>
      <c r="B191" s="29" t="s">
        <v>212</v>
      </c>
      <c r="C191" s="6"/>
      <c r="D191" s="87"/>
      <c r="E191" s="82"/>
      <c r="F191" s="6"/>
    </row>
    <row r="192" spans="1:6">
      <c r="A192" s="11" t="s">
        <v>1</v>
      </c>
      <c r="B192" s="12" t="s">
        <v>2</v>
      </c>
      <c r="C192" s="13" t="s">
        <v>3</v>
      </c>
      <c r="D192" s="14" t="s">
        <v>4</v>
      </c>
      <c r="E192" s="81" t="s">
        <v>5</v>
      </c>
      <c r="F192" s="6"/>
    </row>
    <row r="193" spans="1:6">
      <c r="A193" s="6" t="s">
        <v>213</v>
      </c>
      <c r="B193" s="6" t="s">
        <v>214</v>
      </c>
      <c r="C193" s="6" t="s">
        <v>13</v>
      </c>
      <c r="D193" s="87" t="s">
        <v>9</v>
      </c>
      <c r="E193" s="82">
        <v>965</v>
      </c>
      <c r="F193" s="6" t="s">
        <v>10</v>
      </c>
    </row>
    <row r="194" ht="16.5" spans="1:6">
      <c r="A194" s="6" t="s">
        <v>213</v>
      </c>
      <c r="B194" s="30" t="s">
        <v>215</v>
      </c>
      <c r="C194" s="30" t="s">
        <v>216</v>
      </c>
      <c r="D194" s="87" t="s">
        <v>9</v>
      </c>
      <c r="E194" s="82">
        <v>997.5</v>
      </c>
      <c r="F194" s="6" t="s">
        <v>10</v>
      </c>
    </row>
    <row r="195" spans="1:6">
      <c r="A195" s="6"/>
      <c r="B195" s="7" t="s">
        <v>217</v>
      </c>
      <c r="C195" s="6"/>
      <c r="D195" s="87"/>
      <c r="E195" s="82"/>
      <c r="F195" s="6"/>
    </row>
    <row r="196" spans="1:6">
      <c r="A196" s="11" t="s">
        <v>1</v>
      </c>
      <c r="B196" s="12" t="s">
        <v>2</v>
      </c>
      <c r="C196" s="13" t="s">
        <v>3</v>
      </c>
      <c r="D196" s="14" t="s">
        <v>4</v>
      </c>
      <c r="E196" s="81" t="s">
        <v>5</v>
      </c>
      <c r="F196" s="6"/>
    </row>
    <row r="197" spans="1:6">
      <c r="A197" s="6" t="s">
        <v>217</v>
      </c>
      <c r="B197" s="6" t="s">
        <v>218</v>
      </c>
      <c r="C197" s="6" t="s">
        <v>70</v>
      </c>
      <c r="D197" s="87" t="s">
        <v>9</v>
      </c>
      <c r="E197" s="88">
        <v>1000</v>
      </c>
      <c r="F197" s="6" t="s">
        <v>10</v>
      </c>
    </row>
    <row r="198" spans="1:6">
      <c r="A198" s="6" t="s">
        <v>217</v>
      </c>
      <c r="B198" s="6" t="s">
        <v>219</v>
      </c>
      <c r="C198" s="6" t="s">
        <v>87</v>
      </c>
      <c r="D198" s="87" t="s">
        <v>9</v>
      </c>
      <c r="E198" s="88">
        <v>980</v>
      </c>
      <c r="F198" s="6" t="s">
        <v>10</v>
      </c>
    </row>
    <row r="199" spans="1:6">
      <c r="A199" s="6" t="s">
        <v>217</v>
      </c>
      <c r="B199" s="6" t="s">
        <v>220</v>
      </c>
      <c r="C199" s="6" t="s">
        <v>21</v>
      </c>
      <c r="D199" s="87" t="s">
        <v>9</v>
      </c>
      <c r="E199" s="88">
        <v>980</v>
      </c>
      <c r="F199" s="6" t="s">
        <v>10</v>
      </c>
    </row>
    <row r="200" spans="1:6">
      <c r="A200" s="6" t="s">
        <v>217</v>
      </c>
      <c r="B200" s="6" t="s">
        <v>221</v>
      </c>
      <c r="C200" s="6" t="s">
        <v>74</v>
      </c>
      <c r="D200" s="87" t="s">
        <v>9</v>
      </c>
      <c r="E200" s="88">
        <v>1300</v>
      </c>
      <c r="F200" s="6" t="s">
        <v>10</v>
      </c>
    </row>
    <row r="201" spans="1:6">
      <c r="A201" s="6" t="s">
        <v>217</v>
      </c>
      <c r="B201" s="6" t="s">
        <v>222</v>
      </c>
      <c r="C201" s="6" t="s">
        <v>36</v>
      </c>
      <c r="D201" s="87" t="s">
        <v>9</v>
      </c>
      <c r="E201" s="88">
        <v>1130</v>
      </c>
      <c r="F201" s="6" t="s">
        <v>10</v>
      </c>
    </row>
    <row r="202" spans="1:6">
      <c r="A202" s="6" t="s">
        <v>217</v>
      </c>
      <c r="B202" s="6" t="s">
        <v>223</v>
      </c>
      <c r="C202" s="6" t="s">
        <v>70</v>
      </c>
      <c r="D202" s="87" t="s">
        <v>9</v>
      </c>
      <c r="E202" s="88">
        <v>1000</v>
      </c>
      <c r="F202" s="6" t="s">
        <v>10</v>
      </c>
    </row>
    <row r="203" spans="1:6">
      <c r="A203" s="6" t="s">
        <v>217</v>
      </c>
      <c r="B203" s="6" t="s">
        <v>224</v>
      </c>
      <c r="C203" s="6" t="s">
        <v>13</v>
      </c>
      <c r="D203" s="87" t="s">
        <v>9</v>
      </c>
      <c r="E203" s="88">
        <v>1000</v>
      </c>
      <c r="F203" s="6" t="s">
        <v>10</v>
      </c>
    </row>
    <row r="204" spans="1:6">
      <c r="A204" s="6" t="s">
        <v>217</v>
      </c>
      <c r="B204" s="6" t="s">
        <v>225</v>
      </c>
      <c r="C204" s="6" t="s">
        <v>13</v>
      </c>
      <c r="D204" s="87" t="s">
        <v>9</v>
      </c>
      <c r="E204" s="88">
        <v>130</v>
      </c>
      <c r="F204" s="6" t="s">
        <v>10</v>
      </c>
    </row>
    <row r="205" spans="1:6">
      <c r="A205" s="6" t="s">
        <v>217</v>
      </c>
      <c r="B205" s="6" t="s">
        <v>226</v>
      </c>
      <c r="C205" s="6" t="s">
        <v>111</v>
      </c>
      <c r="D205" s="87" t="s">
        <v>9</v>
      </c>
      <c r="E205" s="88">
        <v>1100</v>
      </c>
      <c r="F205" s="6" t="s">
        <v>10</v>
      </c>
    </row>
    <row r="206" spans="1:6">
      <c r="A206" s="6" t="s">
        <v>217</v>
      </c>
      <c r="B206" s="6" t="s">
        <v>227</v>
      </c>
      <c r="C206" s="6" t="s">
        <v>59</v>
      </c>
      <c r="D206" s="87" t="s">
        <v>9</v>
      </c>
      <c r="E206" s="88">
        <v>890</v>
      </c>
      <c r="F206" s="6" t="s">
        <v>10</v>
      </c>
    </row>
    <row r="207" spans="1:6">
      <c r="A207" s="6" t="s">
        <v>217</v>
      </c>
      <c r="B207" s="6" t="s">
        <v>228</v>
      </c>
      <c r="C207" s="6" t="s">
        <v>99</v>
      </c>
      <c r="D207" s="87" t="s">
        <v>9</v>
      </c>
      <c r="E207" s="88">
        <v>680</v>
      </c>
      <c r="F207" s="6" t="s">
        <v>10</v>
      </c>
    </row>
    <row r="208" spans="1:6">
      <c r="A208" s="6" t="s">
        <v>217</v>
      </c>
      <c r="B208" s="6" t="s">
        <v>229</v>
      </c>
      <c r="C208" s="6" t="s">
        <v>99</v>
      </c>
      <c r="D208" s="87" t="s">
        <v>9</v>
      </c>
      <c r="E208" s="88">
        <v>950</v>
      </c>
      <c r="F208" s="6" t="s">
        <v>10</v>
      </c>
    </row>
    <row r="209" spans="1:6">
      <c r="A209" s="6" t="s">
        <v>217</v>
      </c>
      <c r="B209" s="6" t="s">
        <v>230</v>
      </c>
      <c r="C209" s="6" t="s">
        <v>70</v>
      </c>
      <c r="D209" s="87" t="s">
        <v>9</v>
      </c>
      <c r="E209" s="88">
        <v>144</v>
      </c>
      <c r="F209" s="6" t="s">
        <v>10</v>
      </c>
    </row>
    <row r="210" spans="1:6">
      <c r="A210" s="6" t="s">
        <v>217</v>
      </c>
      <c r="B210" s="6" t="s">
        <v>231</v>
      </c>
      <c r="C210" s="6" t="s">
        <v>39</v>
      </c>
      <c r="D210" s="87" t="s">
        <v>9</v>
      </c>
      <c r="E210" s="88">
        <v>1100</v>
      </c>
      <c r="F210" s="6" t="s">
        <v>10</v>
      </c>
    </row>
    <row r="211" spans="1:6">
      <c r="A211" s="6" t="s">
        <v>217</v>
      </c>
      <c r="B211" s="6" t="s">
        <v>232</v>
      </c>
      <c r="C211" s="6" t="s">
        <v>32</v>
      </c>
      <c r="D211" s="87" t="s">
        <v>9</v>
      </c>
      <c r="E211" s="88">
        <v>420</v>
      </c>
      <c r="F211" s="6" t="s">
        <v>10</v>
      </c>
    </row>
    <row r="212" spans="1:6">
      <c r="A212" s="6" t="s">
        <v>217</v>
      </c>
      <c r="B212" s="6" t="s">
        <v>233</v>
      </c>
      <c r="C212" s="6" t="s">
        <v>59</v>
      </c>
      <c r="D212" s="87" t="s">
        <v>9</v>
      </c>
      <c r="E212" s="88">
        <v>365</v>
      </c>
      <c r="F212" s="6" t="s">
        <v>10</v>
      </c>
    </row>
    <row r="213" spans="1:6">
      <c r="A213" s="6" t="s">
        <v>217</v>
      </c>
      <c r="B213" s="6" t="s">
        <v>234</v>
      </c>
      <c r="C213" s="6" t="s">
        <v>18</v>
      </c>
      <c r="D213" s="87" t="s">
        <v>9</v>
      </c>
      <c r="E213" s="88">
        <v>390</v>
      </c>
      <c r="F213" s="6" t="s">
        <v>10</v>
      </c>
    </row>
    <row r="214" spans="1:6">
      <c r="A214" s="6" t="s">
        <v>217</v>
      </c>
      <c r="B214" s="6" t="s">
        <v>235</v>
      </c>
      <c r="C214" s="6" t="s">
        <v>13</v>
      </c>
      <c r="D214" s="87" t="s">
        <v>9</v>
      </c>
      <c r="E214" s="88">
        <v>1000</v>
      </c>
      <c r="F214" s="6" t="s">
        <v>10</v>
      </c>
    </row>
    <row r="215" spans="1:6">
      <c r="A215" s="6" t="s">
        <v>217</v>
      </c>
      <c r="B215" s="6" t="s">
        <v>236</v>
      </c>
      <c r="C215" s="6" t="s">
        <v>21</v>
      </c>
      <c r="D215" s="87" t="s">
        <v>9</v>
      </c>
      <c r="E215" s="88">
        <v>420</v>
      </c>
      <c r="F215" s="6" t="s">
        <v>10</v>
      </c>
    </row>
    <row r="216" spans="1:6">
      <c r="A216" s="6" t="s">
        <v>217</v>
      </c>
      <c r="B216" s="6" t="s">
        <v>237</v>
      </c>
      <c r="C216" s="6" t="s">
        <v>32</v>
      </c>
      <c r="D216" s="87" t="s">
        <v>9</v>
      </c>
      <c r="E216" s="88">
        <v>560</v>
      </c>
      <c r="F216" s="6" t="s">
        <v>10</v>
      </c>
    </row>
    <row r="217" spans="1:6">
      <c r="A217" s="6" t="s">
        <v>217</v>
      </c>
      <c r="B217" s="6" t="s">
        <v>238</v>
      </c>
      <c r="C217" s="6" t="s">
        <v>32</v>
      </c>
      <c r="D217" s="87" t="s">
        <v>9</v>
      </c>
      <c r="E217" s="88">
        <v>600</v>
      </c>
      <c r="F217" s="6" t="s">
        <v>10</v>
      </c>
    </row>
    <row r="218" spans="1:6">
      <c r="A218" s="6" t="s">
        <v>217</v>
      </c>
      <c r="B218" s="6" t="s">
        <v>239</v>
      </c>
      <c r="C218" s="6" t="s">
        <v>39</v>
      </c>
      <c r="D218" s="87" t="s">
        <v>9</v>
      </c>
      <c r="E218" s="88">
        <v>480</v>
      </c>
      <c r="F218" s="6" t="s">
        <v>10</v>
      </c>
    </row>
    <row r="219" spans="1:6">
      <c r="A219" s="6" t="s">
        <v>217</v>
      </c>
      <c r="B219" s="6" t="s">
        <v>240</v>
      </c>
      <c r="C219" s="6" t="s">
        <v>109</v>
      </c>
      <c r="D219" s="87" t="s">
        <v>9</v>
      </c>
      <c r="E219" s="88">
        <v>1040</v>
      </c>
      <c r="F219" s="6" t="s">
        <v>10</v>
      </c>
    </row>
    <row r="220" spans="1:6">
      <c r="A220" s="6"/>
      <c r="B220" s="7" t="s">
        <v>241</v>
      </c>
      <c r="C220" s="6"/>
      <c r="D220" s="87"/>
      <c r="E220" s="82"/>
      <c r="F220" s="6"/>
    </row>
    <row r="221" spans="1:6">
      <c r="A221" s="11" t="s">
        <v>1</v>
      </c>
      <c r="B221" s="12" t="s">
        <v>2</v>
      </c>
      <c r="C221" s="13" t="s">
        <v>3</v>
      </c>
      <c r="D221" s="14" t="s">
        <v>4</v>
      </c>
      <c r="E221" s="81" t="s">
        <v>5</v>
      </c>
      <c r="F221" s="6"/>
    </row>
    <row r="222" spans="1:6">
      <c r="A222" s="6" t="s">
        <v>242</v>
      </c>
      <c r="B222" s="6" t="s">
        <v>243</v>
      </c>
      <c r="C222" s="6" t="s">
        <v>13</v>
      </c>
      <c r="D222" s="87" t="s">
        <v>9</v>
      </c>
      <c r="E222" s="88">
        <v>90</v>
      </c>
      <c r="F222" s="6" t="s">
        <v>10</v>
      </c>
    </row>
    <row r="223" spans="1:6">
      <c r="A223" s="6" t="s">
        <v>242</v>
      </c>
      <c r="B223" s="6" t="s">
        <v>244</v>
      </c>
      <c r="C223" s="6" t="s">
        <v>32</v>
      </c>
      <c r="D223" s="87" t="s">
        <v>9</v>
      </c>
      <c r="E223" s="88">
        <v>97</v>
      </c>
      <c r="F223" s="6" t="s">
        <v>10</v>
      </c>
    </row>
    <row r="224" spans="1:6">
      <c r="A224" s="6" t="s">
        <v>242</v>
      </c>
      <c r="B224" s="6" t="s">
        <v>245</v>
      </c>
      <c r="C224" s="6" t="s">
        <v>32</v>
      </c>
      <c r="D224" s="87" t="s">
        <v>9</v>
      </c>
      <c r="E224" s="88">
        <v>97</v>
      </c>
      <c r="F224" s="6" t="s">
        <v>10</v>
      </c>
    </row>
    <row r="225" spans="1:6">
      <c r="A225" s="6" t="s">
        <v>242</v>
      </c>
      <c r="B225" s="6" t="s">
        <v>246</v>
      </c>
      <c r="C225" s="6" t="s">
        <v>32</v>
      </c>
      <c r="D225" s="87" t="s">
        <v>9</v>
      </c>
      <c r="E225" s="88">
        <v>97</v>
      </c>
      <c r="F225" s="6" t="s">
        <v>10</v>
      </c>
    </row>
    <row r="226" spans="1:6">
      <c r="B226" s="7" t="s">
        <v>247</v>
      </c>
    </row>
    <row r="227" spans="1:6">
      <c r="A227" s="11" t="s">
        <v>1</v>
      </c>
      <c r="B227" s="12" t="s">
        <v>2</v>
      </c>
      <c r="C227" s="13" t="s">
        <v>3</v>
      </c>
      <c r="D227" s="14" t="s">
        <v>4</v>
      </c>
      <c r="E227" s="81" t="s">
        <v>5</v>
      </c>
      <c r="F227" s="6"/>
    </row>
    <row r="228" spans="1:6">
      <c r="A228" s="28" t="s">
        <v>247</v>
      </c>
      <c r="B228" s="6" t="s">
        <v>248</v>
      </c>
      <c r="C228" s="6" t="s">
        <v>249</v>
      </c>
      <c r="D228" s="87" t="s">
        <v>250</v>
      </c>
      <c r="E228" s="82">
        <v>120</v>
      </c>
      <c r="F228" s="6" t="s">
        <v>10</v>
      </c>
    </row>
    <row r="229" spans="1:6">
      <c r="A229" s="28" t="s">
        <v>247</v>
      </c>
      <c r="B229" s="17" t="s">
        <v>251</v>
      </c>
      <c r="C229" s="6" t="s">
        <v>249</v>
      </c>
      <c r="D229" s="87" t="s">
        <v>250</v>
      </c>
      <c r="E229" s="82">
        <v>120</v>
      </c>
      <c r="F229" s="6" t="s">
        <v>10</v>
      </c>
    </row>
    <row r="230" spans="1:6">
      <c r="A230" s="28" t="s">
        <v>247</v>
      </c>
      <c r="B230" s="6" t="s">
        <v>252</v>
      </c>
      <c r="C230" s="6" t="s">
        <v>249</v>
      </c>
      <c r="D230" s="87" t="s">
        <v>250</v>
      </c>
      <c r="E230" s="82">
        <v>8</v>
      </c>
      <c r="F230" s="6" t="s">
        <v>10</v>
      </c>
    </row>
    <row r="231" spans="1:6">
      <c r="A231" s="28" t="s">
        <v>247</v>
      </c>
      <c r="B231" s="6" t="s">
        <v>253</v>
      </c>
      <c r="C231" s="6" t="s">
        <v>249</v>
      </c>
      <c r="D231" s="87" t="s">
        <v>250</v>
      </c>
      <c r="E231" s="82">
        <v>1.91</v>
      </c>
      <c r="F231" s="6" t="s">
        <v>10</v>
      </c>
    </row>
    <row r="232" spans="1:6">
      <c r="A232" s="28" t="s">
        <v>247</v>
      </c>
      <c r="B232" s="22" t="s">
        <v>254</v>
      </c>
      <c r="C232" s="6" t="s">
        <v>13</v>
      </c>
      <c r="D232" s="91" t="s">
        <v>255</v>
      </c>
      <c r="E232" s="92">
        <v>1800</v>
      </c>
      <c r="F232" s="6" t="s">
        <v>10</v>
      </c>
    </row>
    <row r="233" spans="1:6">
      <c r="A233" s="28" t="s">
        <v>247</v>
      </c>
      <c r="B233" s="6" t="s">
        <v>256</v>
      </c>
      <c r="C233" s="6" t="s">
        <v>13</v>
      </c>
      <c r="D233" s="87" t="s">
        <v>250</v>
      </c>
      <c r="E233" s="82">
        <v>380</v>
      </c>
      <c r="F233" s="6" t="s">
        <v>10</v>
      </c>
    </row>
    <row r="234" spans="1:6">
      <c r="A234" s="28" t="s">
        <v>247</v>
      </c>
      <c r="B234" s="33" t="s">
        <v>257</v>
      </c>
      <c r="C234" s="33" t="s">
        <v>258</v>
      </c>
      <c r="D234" s="91" t="s">
        <v>124</v>
      </c>
      <c r="E234" s="93">
        <v>1850</v>
      </c>
      <c r="F234" s="22" t="s">
        <v>259</v>
      </c>
    </row>
    <row r="235" spans="1:6">
      <c r="B235" s="7" t="s">
        <v>260</v>
      </c>
    </row>
    <row r="236" spans="1:6">
      <c r="A236" s="11" t="s">
        <v>1</v>
      </c>
      <c r="B236" s="12" t="s">
        <v>2</v>
      </c>
      <c r="C236" s="13" t="s">
        <v>3</v>
      </c>
      <c r="D236" s="14" t="s">
        <v>4</v>
      </c>
      <c r="E236" s="81" t="s">
        <v>5</v>
      </c>
      <c r="F236" s="6"/>
    </row>
    <row r="237" spans="1:6">
      <c r="A237" s="28" t="s">
        <v>260</v>
      </c>
      <c r="B237" s="6" t="s">
        <v>261</v>
      </c>
      <c r="C237" s="6" t="s">
        <v>32</v>
      </c>
      <c r="D237" s="87" t="s">
        <v>124</v>
      </c>
      <c r="E237" s="82">
        <v>128</v>
      </c>
      <c r="F237" s="6" t="s">
        <v>10</v>
      </c>
    </row>
    <row r="238" spans="1:6">
      <c r="A238" s="28" t="s">
        <v>260</v>
      </c>
      <c r="B238" s="6" t="s">
        <v>262</v>
      </c>
      <c r="C238" s="6" t="s">
        <v>39</v>
      </c>
      <c r="D238" s="87" t="s">
        <v>124</v>
      </c>
      <c r="E238" s="82">
        <v>135</v>
      </c>
      <c r="F238" s="6" t="s">
        <v>10</v>
      </c>
    </row>
    <row r="239" spans="1:6">
      <c r="B239" s="7" t="s">
        <v>263</v>
      </c>
    </row>
    <row r="240" spans="1:6">
      <c r="A240" s="11" t="s">
        <v>1</v>
      </c>
      <c r="B240" s="12" t="s">
        <v>2</v>
      </c>
      <c r="C240" s="13" t="s">
        <v>3</v>
      </c>
      <c r="D240" s="14" t="s">
        <v>4</v>
      </c>
      <c r="E240" s="81" t="s">
        <v>5</v>
      </c>
      <c r="F240" s="6"/>
    </row>
    <row r="241" spans="1:6">
      <c r="A241" s="28" t="s">
        <v>263</v>
      </c>
      <c r="B241" s="6" t="s">
        <v>264</v>
      </c>
      <c r="C241" s="6" t="s">
        <v>32</v>
      </c>
      <c r="D241" s="87" t="s">
        <v>124</v>
      </c>
      <c r="E241" s="88">
        <v>90</v>
      </c>
      <c r="F241" s="22" t="s">
        <v>265</v>
      </c>
    </row>
    <row r="242" spans="1:6">
      <c r="A242" s="28" t="s">
        <v>263</v>
      </c>
      <c r="B242" s="6" t="s">
        <v>266</v>
      </c>
      <c r="C242" s="6" t="s">
        <v>32</v>
      </c>
      <c r="D242" s="87" t="s">
        <v>124</v>
      </c>
      <c r="E242" s="88">
        <v>95</v>
      </c>
      <c r="F242" s="22" t="s">
        <v>265</v>
      </c>
    </row>
    <row r="243" spans="1:6">
      <c r="A243" s="28" t="s">
        <v>263</v>
      </c>
      <c r="B243" s="6" t="s">
        <v>267</v>
      </c>
      <c r="C243" s="6" t="s">
        <v>21</v>
      </c>
      <c r="D243" s="87" t="s">
        <v>124</v>
      </c>
      <c r="E243" s="88">
        <v>68</v>
      </c>
      <c r="F243" s="22" t="s">
        <v>265</v>
      </c>
    </row>
    <row r="244" spans="1:6">
      <c r="A244" s="28" t="s">
        <v>263</v>
      </c>
      <c r="B244" s="6" t="s">
        <v>268</v>
      </c>
      <c r="C244" s="6" t="s">
        <v>21</v>
      </c>
      <c r="D244" s="87" t="s">
        <v>124</v>
      </c>
      <c r="E244" s="88">
        <v>68</v>
      </c>
      <c r="F244" s="22" t="s">
        <v>265</v>
      </c>
    </row>
    <row r="245" spans="1:6">
      <c r="A245" s="28" t="s">
        <v>263</v>
      </c>
      <c r="B245" s="6" t="s">
        <v>269</v>
      </c>
      <c r="C245" s="6" t="s">
        <v>270</v>
      </c>
      <c r="D245" s="87" t="s">
        <v>124</v>
      </c>
      <c r="E245" s="88">
        <v>68</v>
      </c>
      <c r="F245" s="22" t="s">
        <v>265</v>
      </c>
    </row>
    <row r="246" spans="1:6">
      <c r="A246" s="28" t="s">
        <v>263</v>
      </c>
      <c r="B246" s="6" t="s">
        <v>271</v>
      </c>
      <c r="C246" s="6" t="s">
        <v>270</v>
      </c>
      <c r="D246" s="87" t="s">
        <v>124</v>
      </c>
      <c r="E246" s="88">
        <v>68</v>
      </c>
      <c r="F246" s="22" t="s">
        <v>265</v>
      </c>
    </row>
    <row r="247" spans="1:6">
      <c r="B247" s="7" t="s">
        <v>272</v>
      </c>
    </row>
    <row r="248" spans="1:6">
      <c r="A248" s="11" t="s">
        <v>1</v>
      </c>
      <c r="B248" s="12" t="s">
        <v>2</v>
      </c>
      <c r="C248" s="13" t="s">
        <v>3</v>
      </c>
      <c r="D248" s="14" t="s">
        <v>4</v>
      </c>
      <c r="E248" s="81" t="s">
        <v>5</v>
      </c>
      <c r="F248" s="6"/>
    </row>
    <row r="249" spans="1:6">
      <c r="A249" s="28" t="s">
        <v>272</v>
      </c>
      <c r="B249" s="6" t="s">
        <v>273</v>
      </c>
      <c r="C249" s="6" t="s">
        <v>274</v>
      </c>
      <c r="D249" s="87" t="s">
        <v>275</v>
      </c>
      <c r="E249" s="82">
        <v>3200</v>
      </c>
      <c r="F249" s="6" t="s">
        <v>10</v>
      </c>
    </row>
    <row r="250" spans="1:6">
      <c r="A250" s="28" t="s">
        <v>272</v>
      </c>
      <c r="B250" s="6" t="s">
        <v>276</v>
      </c>
      <c r="C250" s="6" t="s">
        <v>274</v>
      </c>
      <c r="D250" s="87" t="s">
        <v>275</v>
      </c>
      <c r="E250" s="82">
        <v>3200</v>
      </c>
      <c r="F250" s="6" t="s">
        <v>10</v>
      </c>
    </row>
    <row r="251" spans="1:6">
      <c r="A251" s="28" t="s">
        <v>272</v>
      </c>
      <c r="B251" s="6" t="s">
        <v>277</v>
      </c>
      <c r="C251" s="6" t="s">
        <v>274</v>
      </c>
      <c r="D251" s="87" t="s">
        <v>275</v>
      </c>
      <c r="E251" s="82">
        <v>3200</v>
      </c>
      <c r="F251" s="6" t="s">
        <v>10</v>
      </c>
    </row>
    <row r="252" spans="1:6">
      <c r="A252" s="28" t="s">
        <v>272</v>
      </c>
      <c r="B252" s="6" t="s">
        <v>278</v>
      </c>
      <c r="C252" s="6" t="s">
        <v>274</v>
      </c>
      <c r="D252" s="87" t="s">
        <v>275</v>
      </c>
      <c r="E252" s="82">
        <v>3200</v>
      </c>
      <c r="F252" s="6" t="s">
        <v>10</v>
      </c>
    </row>
    <row r="253" spans="1:6">
      <c r="A253" s="28" t="s">
        <v>272</v>
      </c>
      <c r="B253" s="6" t="s">
        <v>279</v>
      </c>
      <c r="C253" s="6" t="s">
        <v>274</v>
      </c>
      <c r="D253" s="87" t="s">
        <v>275</v>
      </c>
      <c r="E253" s="82">
        <v>3200</v>
      </c>
      <c r="F253" s="6" t="s">
        <v>10</v>
      </c>
    </row>
    <row r="254" spans="1:6">
      <c r="A254" s="28" t="s">
        <v>272</v>
      </c>
      <c r="B254" s="6" t="s">
        <v>280</v>
      </c>
      <c r="C254" s="6" t="s">
        <v>274</v>
      </c>
      <c r="D254" s="87" t="s">
        <v>275</v>
      </c>
      <c r="E254" s="82">
        <v>3200</v>
      </c>
      <c r="F254" s="6" t="s">
        <v>10</v>
      </c>
    </row>
    <row r="255" spans="1:6">
      <c r="A255" s="28" t="s">
        <v>272</v>
      </c>
      <c r="B255" s="6" t="s">
        <v>281</v>
      </c>
      <c r="C255" s="6" t="s">
        <v>274</v>
      </c>
      <c r="D255" s="87" t="s">
        <v>275</v>
      </c>
      <c r="E255" s="82">
        <v>3200</v>
      </c>
      <c r="F255" s="6" t="s">
        <v>10</v>
      </c>
    </row>
    <row r="256" spans="1:6">
      <c r="A256" s="28" t="s">
        <v>272</v>
      </c>
      <c r="B256" s="6" t="s">
        <v>282</v>
      </c>
      <c r="C256" s="6" t="s">
        <v>274</v>
      </c>
      <c r="D256" s="87" t="s">
        <v>124</v>
      </c>
      <c r="E256" s="82">
        <v>40</v>
      </c>
      <c r="F256" s="6" t="s">
        <v>10</v>
      </c>
    </row>
    <row r="257" spans="1:6">
      <c r="A257" s="28" t="s">
        <v>272</v>
      </c>
      <c r="B257" s="6" t="s">
        <v>283</v>
      </c>
      <c r="C257" s="6"/>
      <c r="D257" s="87" t="s">
        <v>275</v>
      </c>
      <c r="E257" s="82">
        <v>3450</v>
      </c>
      <c r="F257" s="6" t="s">
        <v>10</v>
      </c>
    </row>
    <row r="258" spans="1:6">
      <c r="B258" s="7" t="s">
        <v>284</v>
      </c>
    </row>
    <row r="259" spans="1:6">
      <c r="A259" s="11" t="s">
        <v>1</v>
      </c>
      <c r="B259" s="12" t="s">
        <v>2</v>
      </c>
      <c r="C259" s="13" t="s">
        <v>3</v>
      </c>
      <c r="D259" s="14" t="s">
        <v>4</v>
      </c>
      <c r="E259" s="81" t="s">
        <v>5</v>
      </c>
      <c r="F259" s="6"/>
    </row>
    <row r="260" spans="1:6">
      <c r="A260" s="28" t="s">
        <v>284</v>
      </c>
      <c r="B260" s="6" t="s">
        <v>285</v>
      </c>
      <c r="C260" s="6" t="s">
        <v>286</v>
      </c>
      <c r="D260" s="87" t="s">
        <v>287</v>
      </c>
      <c r="E260" s="82"/>
      <c r="F260" s="22" t="s">
        <v>288</v>
      </c>
    </row>
    <row r="261" spans="1:6">
      <c r="A261" s="28" t="s">
        <v>284</v>
      </c>
      <c r="B261" s="6" t="s">
        <v>289</v>
      </c>
      <c r="C261" s="6" t="s">
        <v>286</v>
      </c>
      <c r="D261" s="87" t="s">
        <v>287</v>
      </c>
      <c r="E261" s="82"/>
      <c r="F261" s="22" t="s">
        <v>288</v>
      </c>
    </row>
    <row r="262" spans="1:6">
      <c r="A262" s="28" t="s">
        <v>284</v>
      </c>
      <c r="B262" s="6" t="s">
        <v>290</v>
      </c>
      <c r="C262" s="6" t="s">
        <v>291</v>
      </c>
      <c r="D262" s="87" t="s">
        <v>292</v>
      </c>
      <c r="E262" s="82">
        <v>107</v>
      </c>
      <c r="F262" s="6" t="s">
        <v>10</v>
      </c>
    </row>
    <row r="263" spans="1:6">
      <c r="A263" s="28" t="s">
        <v>284</v>
      </c>
      <c r="B263" s="6" t="s">
        <v>293</v>
      </c>
      <c r="C263" s="6" t="s">
        <v>291</v>
      </c>
      <c r="D263" s="87" t="s">
        <v>292</v>
      </c>
      <c r="E263" s="82">
        <v>125</v>
      </c>
      <c r="F263" s="6" t="s">
        <v>10</v>
      </c>
    </row>
    <row r="264" spans="1:6">
      <c r="A264" s="28" t="s">
        <v>284</v>
      </c>
      <c r="B264" s="6" t="s">
        <v>294</v>
      </c>
      <c r="C264" s="6" t="s">
        <v>295</v>
      </c>
      <c r="D264" s="87" t="s">
        <v>250</v>
      </c>
      <c r="E264" s="82">
        <v>17</v>
      </c>
      <c r="F264" s="6" t="s">
        <v>10</v>
      </c>
    </row>
    <row r="265" spans="1:6">
      <c r="A265" s="28" t="s">
        <v>284</v>
      </c>
      <c r="B265" s="6" t="s">
        <v>296</v>
      </c>
      <c r="C265" s="6" t="s">
        <v>295</v>
      </c>
      <c r="D265" s="87" t="s">
        <v>250</v>
      </c>
      <c r="E265" s="82">
        <v>37</v>
      </c>
      <c r="F265" s="6" t="s">
        <v>10</v>
      </c>
    </row>
    <row r="266" spans="1:6">
      <c r="A266" s="28" t="s">
        <v>284</v>
      </c>
      <c r="B266" s="6" t="s">
        <v>297</v>
      </c>
      <c r="C266" s="6" t="s">
        <v>291</v>
      </c>
      <c r="D266" s="87" t="s">
        <v>292</v>
      </c>
      <c r="E266" s="82">
        <v>80</v>
      </c>
      <c r="F266" s="6" t="s">
        <v>10</v>
      </c>
    </row>
    <row r="267" spans="1:6">
      <c r="A267" s="28" t="s">
        <v>284</v>
      </c>
      <c r="B267" s="6" t="s">
        <v>298</v>
      </c>
      <c r="C267" s="6" t="s">
        <v>291</v>
      </c>
      <c r="D267" s="87" t="s">
        <v>292</v>
      </c>
      <c r="E267" s="82">
        <v>45</v>
      </c>
      <c r="F267" s="6" t="s">
        <v>10</v>
      </c>
    </row>
    <row r="268" spans="1:6">
      <c r="A268" s="28" t="s">
        <v>284</v>
      </c>
      <c r="B268" s="6" t="s">
        <v>299</v>
      </c>
      <c r="C268" s="6" t="s">
        <v>291</v>
      </c>
      <c r="D268" s="87" t="s">
        <v>292</v>
      </c>
      <c r="E268" s="82">
        <v>41</v>
      </c>
      <c r="F268" s="6" t="s">
        <v>10</v>
      </c>
    </row>
    <row r="269" spans="1:6">
      <c r="A269" s="28" t="s">
        <v>284</v>
      </c>
      <c r="B269" s="6" t="s">
        <v>300</v>
      </c>
      <c r="C269" s="6" t="s">
        <v>301</v>
      </c>
      <c r="D269" s="87" t="s">
        <v>124</v>
      </c>
      <c r="E269" s="82">
        <v>32</v>
      </c>
      <c r="F269" s="6" t="s">
        <v>10</v>
      </c>
    </row>
    <row r="270" spans="1:6">
      <c r="A270" s="28" t="s">
        <v>284</v>
      </c>
      <c r="B270" s="6" t="s">
        <v>302</v>
      </c>
      <c r="C270" s="6" t="s">
        <v>270</v>
      </c>
      <c r="D270" s="87" t="s">
        <v>124</v>
      </c>
      <c r="E270" s="82">
        <v>35.5</v>
      </c>
      <c r="F270" s="6" t="s">
        <v>10</v>
      </c>
    </row>
    <row r="271" spans="1:6">
      <c r="A271" s="28" t="s">
        <v>284</v>
      </c>
      <c r="B271" s="6" t="s">
        <v>303</v>
      </c>
      <c r="C271" s="6" t="s">
        <v>270</v>
      </c>
      <c r="D271" s="87" t="s">
        <v>124</v>
      </c>
      <c r="E271" s="82">
        <v>4</v>
      </c>
      <c r="F271" s="6" t="s">
        <v>10</v>
      </c>
    </row>
    <row r="272" spans="1:6">
      <c r="A272" s="28" t="s">
        <v>284</v>
      </c>
      <c r="B272" s="33" t="s">
        <v>304</v>
      </c>
      <c r="C272" s="6" t="s">
        <v>270</v>
      </c>
      <c r="D272" s="91" t="s">
        <v>124</v>
      </c>
      <c r="E272" s="94">
        <v>19</v>
      </c>
      <c r="F272" s="6" t="s">
        <v>259</v>
      </c>
    </row>
    <row r="273" spans="1:6">
      <c r="B273" s="7" t="s">
        <v>305</v>
      </c>
    </row>
    <row r="274" spans="1:6">
      <c r="A274" s="11" t="s">
        <v>1</v>
      </c>
      <c r="B274" s="12" t="s">
        <v>2</v>
      </c>
      <c r="C274" s="13" t="s">
        <v>3</v>
      </c>
      <c r="D274" s="14" t="s">
        <v>4</v>
      </c>
      <c r="E274" s="81" t="s">
        <v>5</v>
      </c>
      <c r="F274" s="6"/>
    </row>
    <row r="275" spans="1:6">
      <c r="A275" s="28" t="s">
        <v>305</v>
      </c>
      <c r="B275" s="6" t="s">
        <v>306</v>
      </c>
      <c r="C275" s="6" t="s">
        <v>307</v>
      </c>
      <c r="D275" s="87" t="s">
        <v>124</v>
      </c>
      <c r="E275" s="88">
        <v>9.75</v>
      </c>
      <c r="F275" s="6" t="s">
        <v>10</v>
      </c>
    </row>
    <row r="276" spans="1:6">
      <c r="A276" s="28" t="s">
        <v>305</v>
      </c>
      <c r="B276" s="6" t="s">
        <v>308</v>
      </c>
      <c r="C276" s="6" t="s">
        <v>309</v>
      </c>
      <c r="D276" s="87" t="s">
        <v>310</v>
      </c>
      <c r="E276" s="88">
        <v>16.25</v>
      </c>
      <c r="F276" s="6" t="s">
        <v>10</v>
      </c>
    </row>
    <row r="277" spans="1:6">
      <c r="A277" s="28" t="s">
        <v>305</v>
      </c>
      <c r="B277" s="6" t="s">
        <v>311</v>
      </c>
      <c r="C277" s="6" t="s">
        <v>312</v>
      </c>
      <c r="D277" s="87" t="s">
        <v>310</v>
      </c>
      <c r="E277" s="88">
        <v>32</v>
      </c>
      <c r="F277" s="6" t="s">
        <v>10</v>
      </c>
    </row>
    <row r="278" spans="1:6">
      <c r="A278" s="28" t="s">
        <v>305</v>
      </c>
      <c r="B278" s="6" t="s">
        <v>313</v>
      </c>
      <c r="C278" s="6" t="s">
        <v>314</v>
      </c>
      <c r="D278" s="87" t="s">
        <v>310</v>
      </c>
      <c r="E278" s="88">
        <v>13</v>
      </c>
      <c r="F278" s="6" t="s">
        <v>10</v>
      </c>
    </row>
    <row r="279" spans="1:6">
      <c r="A279" s="28" t="s">
        <v>305</v>
      </c>
      <c r="B279" s="6" t="s">
        <v>315</v>
      </c>
      <c r="C279" t="s">
        <v>314</v>
      </c>
      <c r="D279" s="87" t="s">
        <v>316</v>
      </c>
      <c r="E279" s="82">
        <v>55</v>
      </c>
      <c r="F279" s="6" t="s">
        <v>265</v>
      </c>
    </row>
    <row r="280" spans="1:6">
      <c r="A280" s="28" t="s">
        <v>305</v>
      </c>
      <c r="B280" s="6" t="s">
        <v>317</v>
      </c>
      <c r="C280" s="6" t="s">
        <v>307</v>
      </c>
      <c r="D280" s="87" t="s">
        <v>124</v>
      </c>
      <c r="E280" s="82">
        <v>1.45</v>
      </c>
      <c r="F280" s="6" t="s">
        <v>10</v>
      </c>
    </row>
    <row r="281" spans="1:6">
      <c r="A281" s="28" t="s">
        <v>305</v>
      </c>
      <c r="B281" s="6" t="s">
        <v>318</v>
      </c>
      <c r="C281" s="6" t="s">
        <v>295</v>
      </c>
      <c r="D281" s="87" t="s">
        <v>310</v>
      </c>
      <c r="E281" s="82">
        <v>14.5</v>
      </c>
      <c r="F281" s="6" t="s">
        <v>10</v>
      </c>
    </row>
    <row r="282" spans="1:6">
      <c r="A282" s="28" t="s">
        <v>305</v>
      </c>
      <c r="B282" s="6" t="s">
        <v>319</v>
      </c>
      <c r="C282" s="6" t="s">
        <v>29</v>
      </c>
      <c r="D282" s="87" t="s">
        <v>310</v>
      </c>
      <c r="E282" s="82">
        <v>14.5</v>
      </c>
      <c r="F282" s="6" t="s">
        <v>10</v>
      </c>
    </row>
    <row r="283" spans="1:6">
      <c r="A283" s="28" t="s">
        <v>305</v>
      </c>
      <c r="B283" s="6" t="s">
        <v>320</v>
      </c>
      <c r="C283" s="6" t="s">
        <v>29</v>
      </c>
      <c r="D283" s="87" t="s">
        <v>310</v>
      </c>
      <c r="E283" s="82">
        <v>32.5</v>
      </c>
      <c r="F283" s="6" t="s">
        <v>10</v>
      </c>
    </row>
    <row r="284" spans="1:6">
      <c r="A284" s="28" t="s">
        <v>305</v>
      </c>
      <c r="B284" s="6" t="s">
        <v>321</v>
      </c>
      <c r="C284" s="6" t="s">
        <v>29</v>
      </c>
      <c r="D284" s="87" t="s">
        <v>250</v>
      </c>
      <c r="E284" s="82">
        <v>800</v>
      </c>
      <c r="F284" s="6" t="s">
        <v>265</v>
      </c>
    </row>
    <row r="285" spans="1:6">
      <c r="A285" s="28" t="s">
        <v>305</v>
      </c>
      <c r="B285" s="6" t="s">
        <v>322</v>
      </c>
      <c r="C285" s="6" t="s">
        <v>307</v>
      </c>
      <c r="D285" s="87" t="s">
        <v>250</v>
      </c>
      <c r="E285" s="82">
        <v>7.5</v>
      </c>
      <c r="F285" s="6" t="s">
        <v>10</v>
      </c>
    </row>
    <row r="286" spans="1:6">
      <c r="A286" s="28" t="s">
        <v>305</v>
      </c>
      <c r="B286" s="6" t="s">
        <v>323</v>
      </c>
      <c r="C286" t="s">
        <v>324</v>
      </c>
      <c r="D286" s="87" t="s">
        <v>316</v>
      </c>
      <c r="E286" s="82">
        <v>9</v>
      </c>
      <c r="F286" s="6" t="s">
        <v>265</v>
      </c>
    </row>
    <row r="287" spans="1:6">
      <c r="A287" s="28" t="s">
        <v>305</v>
      </c>
      <c r="B287" s="6" t="s">
        <v>325</v>
      </c>
      <c r="C287" s="35" t="s">
        <v>314</v>
      </c>
      <c r="D287" s="87" t="s">
        <v>316</v>
      </c>
      <c r="E287" s="82">
        <v>67.5</v>
      </c>
      <c r="F287" s="6" t="s">
        <v>265</v>
      </c>
    </row>
    <row r="288" spans="1:6">
      <c r="A288" s="28" t="s">
        <v>305</v>
      </c>
      <c r="B288" s="6" t="s">
        <v>326</v>
      </c>
      <c r="C288" s="35" t="s">
        <v>314</v>
      </c>
      <c r="D288" s="87" t="s">
        <v>316</v>
      </c>
      <c r="E288" s="82">
        <v>62</v>
      </c>
      <c r="F288" s="6" t="s">
        <v>265</v>
      </c>
    </row>
    <row r="289" spans="1:6">
      <c r="B289" s="7" t="s">
        <v>327</v>
      </c>
      <c r="D289" s="87"/>
      <c r="E289" s="82"/>
      <c r="F289" s="6"/>
    </row>
    <row r="290" spans="1:6">
      <c r="A290" s="11" t="s">
        <v>1</v>
      </c>
      <c r="B290" s="12" t="s">
        <v>2</v>
      </c>
      <c r="C290" s="13" t="s">
        <v>3</v>
      </c>
      <c r="D290" s="14" t="s">
        <v>4</v>
      </c>
      <c r="E290" s="81" t="s">
        <v>5</v>
      </c>
      <c r="F290" s="6"/>
    </row>
    <row r="291" spans="1:6">
      <c r="A291" s="28" t="s">
        <v>327</v>
      </c>
      <c r="B291" s="6" t="s">
        <v>328</v>
      </c>
      <c r="C291" s="6" t="s">
        <v>307</v>
      </c>
      <c r="D291" s="87" t="s">
        <v>329</v>
      </c>
      <c r="E291" s="82">
        <v>28.75</v>
      </c>
      <c r="F291" s="6" t="s">
        <v>10</v>
      </c>
    </row>
    <row r="292" spans="1:6">
      <c r="A292" s="28" t="s">
        <v>327</v>
      </c>
      <c r="B292" s="6" t="s">
        <v>330</v>
      </c>
      <c r="C292" s="6" t="s">
        <v>307</v>
      </c>
      <c r="D292" s="87" t="s">
        <v>329</v>
      </c>
      <c r="E292" s="82">
        <v>13.5</v>
      </c>
      <c r="F292" s="6" t="s">
        <v>10</v>
      </c>
    </row>
    <row r="293" spans="1:6">
      <c r="A293" s="28" t="s">
        <v>327</v>
      </c>
      <c r="B293" s="6" t="s">
        <v>331</v>
      </c>
      <c r="C293" s="6" t="s">
        <v>307</v>
      </c>
      <c r="D293" s="87" t="s">
        <v>329</v>
      </c>
      <c r="E293" s="82">
        <v>34.5</v>
      </c>
      <c r="F293" s="6" t="s">
        <v>10</v>
      </c>
    </row>
    <row r="294" spans="1:6">
      <c r="A294" s="28" t="s">
        <v>327</v>
      </c>
      <c r="B294" s="6" t="s">
        <v>332</v>
      </c>
      <c r="C294" s="6" t="s">
        <v>39</v>
      </c>
      <c r="D294" s="87" t="s">
        <v>329</v>
      </c>
      <c r="E294" s="82">
        <v>19</v>
      </c>
      <c r="F294" s="6" t="s">
        <v>10</v>
      </c>
    </row>
    <row r="295" spans="1:6">
      <c r="A295" s="28" t="s">
        <v>327</v>
      </c>
      <c r="B295" s="6" t="s">
        <v>333</v>
      </c>
      <c r="C295" s="6" t="s">
        <v>39</v>
      </c>
      <c r="D295" s="87" t="s">
        <v>329</v>
      </c>
      <c r="E295" s="82">
        <v>43</v>
      </c>
      <c r="F295" s="6" t="s">
        <v>10</v>
      </c>
    </row>
    <row r="296" spans="1:6">
      <c r="A296" s="28" t="s">
        <v>327</v>
      </c>
      <c r="B296" s="6" t="s">
        <v>334</v>
      </c>
      <c r="C296" s="6" t="s">
        <v>307</v>
      </c>
      <c r="D296" s="87" t="s">
        <v>124</v>
      </c>
      <c r="E296" s="82">
        <v>0.75</v>
      </c>
      <c r="F296" s="6" t="s">
        <v>10</v>
      </c>
    </row>
    <row r="297" spans="1:6">
      <c r="A297" s="28" t="s">
        <v>327</v>
      </c>
      <c r="B297" s="6" t="s">
        <v>335</v>
      </c>
      <c r="C297" s="6" t="s">
        <v>336</v>
      </c>
      <c r="D297" s="87" t="s">
        <v>124</v>
      </c>
      <c r="E297" s="82">
        <v>4.45</v>
      </c>
      <c r="F297" s="6" t="s">
        <v>10</v>
      </c>
    </row>
    <row r="298" spans="1:6">
      <c r="A298" s="28" t="s">
        <v>327</v>
      </c>
      <c r="B298" s="6" t="s">
        <v>337</v>
      </c>
      <c r="C298" s="6" t="s">
        <v>336</v>
      </c>
      <c r="D298" s="87" t="s">
        <v>124</v>
      </c>
      <c r="E298" s="82">
        <v>4.65</v>
      </c>
      <c r="F298" s="6" t="s">
        <v>10</v>
      </c>
    </row>
    <row r="299" spans="1:6">
      <c r="A299" s="28" t="s">
        <v>327</v>
      </c>
      <c r="B299" s="6" t="s">
        <v>338</v>
      </c>
      <c r="C299" s="6" t="s">
        <v>336</v>
      </c>
      <c r="D299" s="87" t="s">
        <v>124</v>
      </c>
      <c r="E299" s="82">
        <v>4.85</v>
      </c>
      <c r="F299" s="6" t="s">
        <v>10</v>
      </c>
    </row>
    <row r="300" spans="1:6">
      <c r="A300" s="28" t="s">
        <v>327</v>
      </c>
      <c r="B300" s="6" t="s">
        <v>339</v>
      </c>
      <c r="C300" s="6" t="s">
        <v>336</v>
      </c>
      <c r="D300" s="87" t="s">
        <v>124</v>
      </c>
      <c r="E300" s="82">
        <v>7.55</v>
      </c>
      <c r="F300" s="6" t="s">
        <v>10</v>
      </c>
    </row>
    <row r="301" spans="1:6">
      <c r="A301" s="28" t="s">
        <v>327</v>
      </c>
      <c r="B301" s="6" t="s">
        <v>340</v>
      </c>
      <c r="C301" s="6" t="s">
        <v>336</v>
      </c>
      <c r="D301" s="87" t="s">
        <v>124</v>
      </c>
      <c r="E301" s="82">
        <v>5.65</v>
      </c>
      <c r="F301" s="6" t="s">
        <v>10</v>
      </c>
    </row>
    <row r="302" spans="1:6">
      <c r="A302" s="28" t="s">
        <v>327</v>
      </c>
      <c r="B302" s="6" t="s">
        <v>341</v>
      </c>
      <c r="C302" s="6" t="s">
        <v>336</v>
      </c>
      <c r="D302" s="87" t="s">
        <v>124</v>
      </c>
      <c r="E302" s="82">
        <v>5.85</v>
      </c>
      <c r="F302" s="6" t="s">
        <v>10</v>
      </c>
    </row>
    <row r="303" spans="1:6">
      <c r="A303" s="28" t="s">
        <v>327</v>
      </c>
      <c r="B303" s="6" t="s">
        <v>342</v>
      </c>
      <c r="C303" s="6" t="s">
        <v>336</v>
      </c>
      <c r="D303" s="87" t="s">
        <v>124</v>
      </c>
      <c r="E303" s="82">
        <v>6.85</v>
      </c>
      <c r="F303" s="6" t="s">
        <v>10</v>
      </c>
    </row>
    <row r="304" spans="1:6">
      <c r="A304" s="28" t="s">
        <v>327</v>
      </c>
      <c r="B304" s="6" t="s">
        <v>343</v>
      </c>
      <c r="C304" s="6" t="s">
        <v>336</v>
      </c>
      <c r="D304" s="87" t="s">
        <v>124</v>
      </c>
      <c r="E304" s="82">
        <v>9.6</v>
      </c>
      <c r="F304" s="6" t="s">
        <v>10</v>
      </c>
    </row>
    <row r="305" spans="1:6">
      <c r="A305" s="28" t="s">
        <v>327</v>
      </c>
      <c r="B305" s="6" t="s">
        <v>344</v>
      </c>
      <c r="C305" s="6" t="s">
        <v>336</v>
      </c>
      <c r="D305" s="87" t="s">
        <v>124</v>
      </c>
      <c r="E305" s="82">
        <v>11.45</v>
      </c>
      <c r="F305" s="6" t="s">
        <v>10</v>
      </c>
    </row>
    <row r="306" spans="1:6">
      <c r="A306" s="28" t="s">
        <v>327</v>
      </c>
      <c r="B306" s="6" t="s">
        <v>345</v>
      </c>
      <c r="C306" s="6" t="s">
        <v>336</v>
      </c>
      <c r="D306" s="87" t="s">
        <v>124</v>
      </c>
      <c r="E306" s="82">
        <v>9.45</v>
      </c>
      <c r="F306" s="6" t="s">
        <v>10</v>
      </c>
    </row>
    <row r="307" spans="1:6">
      <c r="A307" s="28" t="s">
        <v>327</v>
      </c>
      <c r="B307" s="6" t="s">
        <v>346</v>
      </c>
      <c r="C307" s="6" t="s">
        <v>307</v>
      </c>
      <c r="D307" s="87" t="s">
        <v>124</v>
      </c>
      <c r="E307" s="82">
        <v>0</v>
      </c>
      <c r="F307" s="6" t="s">
        <v>10</v>
      </c>
    </row>
    <row r="308" spans="1:6">
      <c r="A308" s="28" t="s">
        <v>327</v>
      </c>
      <c r="B308" s="6" t="s">
        <v>347</v>
      </c>
      <c r="C308" s="6" t="s">
        <v>307</v>
      </c>
      <c r="D308" s="87" t="s">
        <v>124</v>
      </c>
      <c r="E308" s="82">
        <v>0</v>
      </c>
      <c r="F308" s="6" t="s">
        <v>10</v>
      </c>
    </row>
    <row r="309" spans="1:6">
      <c r="B309" s="7" t="s">
        <v>348</v>
      </c>
    </row>
    <row r="310" spans="1:6">
      <c r="A310" s="11" t="s">
        <v>1</v>
      </c>
      <c r="B310" s="12" t="s">
        <v>2</v>
      </c>
      <c r="C310" s="13" t="s">
        <v>3</v>
      </c>
      <c r="D310" s="14" t="s">
        <v>4</v>
      </c>
      <c r="E310" s="81" t="s">
        <v>5</v>
      </c>
      <c r="F310" s="6"/>
    </row>
    <row r="311" spans="1:6">
      <c r="A311" s="28" t="s">
        <v>348</v>
      </c>
      <c r="B311" s="33" t="s">
        <v>349</v>
      </c>
      <c r="C311" s="6" t="s">
        <v>350</v>
      </c>
      <c r="D311" s="91" t="s">
        <v>316</v>
      </c>
      <c r="E311" s="94">
        <v>500</v>
      </c>
      <c r="F311" s="22" t="s">
        <v>265</v>
      </c>
    </row>
    <row r="312" spans="1:6">
      <c r="A312" s="28" t="s">
        <v>348</v>
      </c>
      <c r="B312" s="33" t="s">
        <v>351</v>
      </c>
      <c r="C312" s="6" t="s">
        <v>350</v>
      </c>
      <c r="D312" s="91" t="s">
        <v>316</v>
      </c>
      <c r="E312" s="94">
        <v>340</v>
      </c>
      <c r="F312" s="22" t="s">
        <v>265</v>
      </c>
    </row>
    <row r="313" spans="1:6">
      <c r="A313" s="28" t="s">
        <v>348</v>
      </c>
      <c r="B313" s="33" t="s">
        <v>352</v>
      </c>
      <c r="C313" s="6" t="s">
        <v>350</v>
      </c>
      <c r="D313" s="91" t="s">
        <v>316</v>
      </c>
      <c r="E313" s="94">
        <v>420</v>
      </c>
      <c r="F313" s="22" t="s">
        <v>265</v>
      </c>
    </row>
    <row r="314" spans="1:6">
      <c r="A314" s="28" t="s">
        <v>348</v>
      </c>
      <c r="B314" s="33" t="s">
        <v>353</v>
      </c>
      <c r="C314" s="6" t="s">
        <v>350</v>
      </c>
      <c r="D314" s="91" t="s">
        <v>316</v>
      </c>
      <c r="E314" s="94">
        <v>395</v>
      </c>
      <c r="F314" s="22" t="s">
        <v>265</v>
      </c>
    </row>
    <row r="315" spans="1:6">
      <c r="A315" s="28" t="s">
        <v>348</v>
      </c>
      <c r="B315" s="33" t="s">
        <v>354</v>
      </c>
      <c r="C315" s="6" t="s">
        <v>350</v>
      </c>
      <c r="D315" s="91" t="s">
        <v>316</v>
      </c>
      <c r="E315" s="94">
        <v>420</v>
      </c>
      <c r="F315" s="22" t="s">
        <v>265</v>
      </c>
    </row>
    <row r="316" spans="1:6">
      <c r="A316" s="28" t="s">
        <v>348</v>
      </c>
      <c r="B316" s="33" t="s">
        <v>355</v>
      </c>
      <c r="C316" s="6" t="s">
        <v>350</v>
      </c>
      <c r="D316" s="91" t="s">
        <v>316</v>
      </c>
      <c r="E316" s="94">
        <v>35</v>
      </c>
      <c r="F316" s="22" t="s">
        <v>265</v>
      </c>
    </row>
    <row r="317" spans="1:6">
      <c r="A317" s="28" t="s">
        <v>348</v>
      </c>
      <c r="B317" s="33" t="s">
        <v>356</v>
      </c>
      <c r="C317" s="6" t="s">
        <v>350</v>
      </c>
      <c r="D317" s="91" t="s">
        <v>316</v>
      </c>
      <c r="E317" s="94">
        <v>25</v>
      </c>
      <c r="F317" s="22" t="s">
        <v>265</v>
      </c>
    </row>
    <row r="318" spans="1:6">
      <c r="A318" s="28" t="s">
        <v>348</v>
      </c>
      <c r="B318" s="33" t="s">
        <v>357</v>
      </c>
      <c r="C318" s="6" t="s">
        <v>350</v>
      </c>
      <c r="D318" s="91" t="s">
        <v>316</v>
      </c>
      <c r="E318" s="94">
        <v>20</v>
      </c>
      <c r="F318" s="22" t="s">
        <v>265</v>
      </c>
    </row>
    <row r="319" spans="1:6">
      <c r="A319" s="28" t="s">
        <v>348</v>
      </c>
      <c r="B319" s="33" t="s">
        <v>358</v>
      </c>
      <c r="C319" s="6" t="s">
        <v>350</v>
      </c>
      <c r="D319" s="91" t="s">
        <v>316</v>
      </c>
      <c r="E319" s="94">
        <v>35</v>
      </c>
      <c r="F319" s="22" t="s">
        <v>265</v>
      </c>
    </row>
    <row r="320" spans="1:6">
      <c r="A320" s="28" t="s">
        <v>348</v>
      </c>
      <c r="B320" s="33" t="s">
        <v>356</v>
      </c>
      <c r="C320" s="6" t="s">
        <v>350</v>
      </c>
      <c r="D320" s="91" t="s">
        <v>316</v>
      </c>
      <c r="E320" s="94">
        <v>15</v>
      </c>
      <c r="F320" s="22" t="s">
        <v>265</v>
      </c>
    </row>
    <row r="321" spans="1:6">
      <c r="A321" s="28" t="s">
        <v>348</v>
      </c>
      <c r="B321" s="33" t="s">
        <v>359</v>
      </c>
      <c r="C321" s="6" t="s">
        <v>350</v>
      </c>
      <c r="D321" s="91" t="s">
        <v>287</v>
      </c>
      <c r="E321" s="94">
        <v>500</v>
      </c>
      <c r="F321" s="22" t="s">
        <v>265</v>
      </c>
    </row>
    <row r="322" spans="1:6">
      <c r="A322" s="28" t="s">
        <v>348</v>
      </c>
      <c r="B322" s="33" t="s">
        <v>360</v>
      </c>
      <c r="C322" s="6" t="s">
        <v>350</v>
      </c>
      <c r="D322" s="91" t="s">
        <v>124</v>
      </c>
      <c r="E322" s="94">
        <v>2500</v>
      </c>
      <c r="F322" s="22" t="s">
        <v>265</v>
      </c>
    </row>
    <row r="323" spans="1:6">
      <c r="A323" s="28" t="s">
        <v>348</v>
      </c>
      <c r="B323" s="33" t="s">
        <v>356</v>
      </c>
      <c r="C323" s="6" t="s">
        <v>350</v>
      </c>
      <c r="D323" s="91" t="s">
        <v>124</v>
      </c>
      <c r="E323" s="94">
        <v>1500</v>
      </c>
      <c r="F323" s="22" t="s">
        <v>265</v>
      </c>
    </row>
    <row r="324" spans="1:6">
      <c r="A324" s="28" t="s">
        <v>348</v>
      </c>
      <c r="B324" s="33" t="s">
        <v>361</v>
      </c>
      <c r="C324" s="6" t="s">
        <v>350</v>
      </c>
      <c r="D324" s="91" t="s">
        <v>124</v>
      </c>
      <c r="E324" s="94">
        <v>500</v>
      </c>
      <c r="F324" s="22" t="s">
        <v>265</v>
      </c>
    </row>
    <row r="325" spans="1:6">
      <c r="A325" s="28" t="s">
        <v>348</v>
      </c>
      <c r="B325" s="33" t="s">
        <v>362</v>
      </c>
      <c r="C325" s="6" t="s">
        <v>350</v>
      </c>
      <c r="D325" s="91" t="s">
        <v>363</v>
      </c>
      <c r="E325" s="94">
        <v>400</v>
      </c>
      <c r="F325" s="22" t="s">
        <v>265</v>
      </c>
    </row>
    <row r="326" spans="1:6">
      <c r="A326" s="28" t="s">
        <v>348</v>
      </c>
      <c r="B326" s="33" t="s">
        <v>364</v>
      </c>
      <c r="C326" s="6" t="s">
        <v>350</v>
      </c>
      <c r="D326" s="91" t="s">
        <v>124</v>
      </c>
      <c r="E326" s="94">
        <v>750</v>
      </c>
      <c r="F326" s="22" t="s">
        <v>265</v>
      </c>
    </row>
    <row r="327" spans="1:6">
      <c r="A327" s="28" t="s">
        <v>348</v>
      </c>
      <c r="B327" s="33" t="s">
        <v>365</v>
      </c>
      <c r="C327" s="6" t="s">
        <v>350</v>
      </c>
      <c r="D327" s="91" t="s">
        <v>124</v>
      </c>
      <c r="E327" s="94">
        <v>1000</v>
      </c>
      <c r="F327" s="22" t="s">
        <v>265</v>
      </c>
    </row>
    <row r="328" spans="1:6">
      <c r="A328" s="28" t="s">
        <v>348</v>
      </c>
      <c r="B328" s="33" t="s">
        <v>366</v>
      </c>
      <c r="C328" s="6" t="s">
        <v>350</v>
      </c>
      <c r="D328" s="91" t="s">
        <v>124</v>
      </c>
      <c r="E328" s="94">
        <v>2500</v>
      </c>
      <c r="F328" s="22" t="s">
        <v>265</v>
      </c>
    </row>
    <row r="329" spans="1:6">
      <c r="A329" s="28" t="s">
        <v>348</v>
      </c>
      <c r="B329" s="33" t="s">
        <v>367</v>
      </c>
      <c r="C329" s="6" t="s">
        <v>350</v>
      </c>
      <c r="D329" s="91" t="s">
        <v>316</v>
      </c>
      <c r="E329" s="94">
        <v>500</v>
      </c>
      <c r="F329" s="22" t="s">
        <v>265</v>
      </c>
    </row>
    <row r="330" spans="1:6">
      <c r="A330" s="28" t="s">
        <v>348</v>
      </c>
      <c r="B330" s="33" t="s">
        <v>368</v>
      </c>
      <c r="C330" s="6" t="s">
        <v>350</v>
      </c>
      <c r="D330" s="91" t="s">
        <v>124</v>
      </c>
      <c r="E330" s="94">
        <v>250</v>
      </c>
      <c r="F330" s="22" t="s">
        <v>265</v>
      </c>
    </row>
    <row r="331" spans="1:6">
      <c r="A331" s="28" t="s">
        <v>348</v>
      </c>
      <c r="B331" s="33" t="s">
        <v>369</v>
      </c>
      <c r="C331" s="6" t="s">
        <v>350</v>
      </c>
      <c r="D331" s="91" t="s">
        <v>316</v>
      </c>
      <c r="E331" s="94">
        <v>500</v>
      </c>
      <c r="F331" s="22" t="s">
        <v>265</v>
      </c>
    </row>
    <row r="332" spans="1:6">
      <c r="A332" s="28" t="s">
        <v>348</v>
      </c>
      <c r="B332" s="33" t="s">
        <v>370</v>
      </c>
      <c r="C332" s="6" t="s">
        <v>350</v>
      </c>
      <c r="D332" s="91" t="s">
        <v>316</v>
      </c>
      <c r="E332" s="94">
        <v>25</v>
      </c>
      <c r="F332" s="22" t="s">
        <v>265</v>
      </c>
    </row>
    <row r="333" spans="1:6">
      <c r="A333" s="28" t="s">
        <v>348</v>
      </c>
      <c r="B333" s="33" t="s">
        <v>371</v>
      </c>
      <c r="C333" s="6" t="s">
        <v>350</v>
      </c>
      <c r="D333" s="91" t="s">
        <v>316</v>
      </c>
      <c r="E333" s="94">
        <v>15</v>
      </c>
      <c r="F333" s="22" t="s">
        <v>265</v>
      </c>
    </row>
    <row r="334" spans="1:6">
      <c r="A334" s="28" t="s">
        <v>348</v>
      </c>
      <c r="B334" s="33" t="s">
        <v>372</v>
      </c>
      <c r="C334" s="6" t="s">
        <v>350</v>
      </c>
      <c r="D334" s="91" t="s">
        <v>316</v>
      </c>
      <c r="E334" s="94">
        <v>10</v>
      </c>
      <c r="F334" s="22" t="s">
        <v>265</v>
      </c>
    </row>
    <row r="335" spans="1:6">
      <c r="A335" s="28" t="s">
        <v>348</v>
      </c>
      <c r="B335" s="33" t="s">
        <v>373</v>
      </c>
      <c r="C335" s="6" t="s">
        <v>350</v>
      </c>
      <c r="D335" s="91" t="s">
        <v>316</v>
      </c>
      <c r="E335" s="94">
        <v>12</v>
      </c>
      <c r="F335" s="22" t="s">
        <v>265</v>
      </c>
    </row>
    <row r="336" spans="1:6">
      <c r="A336" s="28" t="s">
        <v>348</v>
      </c>
      <c r="B336" s="33" t="s">
        <v>374</v>
      </c>
      <c r="C336" s="6" t="s">
        <v>350</v>
      </c>
      <c r="D336" s="91" t="s">
        <v>316</v>
      </c>
      <c r="E336" s="94">
        <v>25</v>
      </c>
      <c r="F336" s="22" t="s">
        <v>265</v>
      </c>
    </row>
    <row r="337" spans="1:6">
      <c r="A337" s="28" t="s">
        <v>348</v>
      </c>
      <c r="B337" s="33" t="s">
        <v>375</v>
      </c>
      <c r="C337" s="6" t="s">
        <v>350</v>
      </c>
      <c r="D337" s="91" t="s">
        <v>316</v>
      </c>
      <c r="E337" s="94">
        <v>18</v>
      </c>
      <c r="F337" s="22" t="s">
        <v>265</v>
      </c>
    </row>
    <row r="338" spans="1:6">
      <c r="A338" s="28" t="s">
        <v>348</v>
      </c>
      <c r="B338" s="33" t="s">
        <v>376</v>
      </c>
      <c r="C338" s="6" t="s">
        <v>350</v>
      </c>
      <c r="D338" s="91" t="s">
        <v>377</v>
      </c>
      <c r="E338" s="94">
        <v>23000</v>
      </c>
      <c r="F338" s="22" t="s">
        <v>265</v>
      </c>
    </row>
    <row r="339" spans="1:6">
      <c r="A339" s="28" t="s">
        <v>348</v>
      </c>
      <c r="B339" s="33" t="s">
        <v>378</v>
      </c>
      <c r="C339" s="6" t="s">
        <v>350</v>
      </c>
      <c r="D339" s="91" t="s">
        <v>287</v>
      </c>
      <c r="E339" s="94">
        <v>2500</v>
      </c>
      <c r="F339" s="22" t="s">
        <v>265</v>
      </c>
    </row>
    <row r="340" spans="1:6">
      <c r="A340" s="28" t="s">
        <v>348</v>
      </c>
      <c r="B340" s="33" t="s">
        <v>379</v>
      </c>
      <c r="C340" s="6" t="s">
        <v>350</v>
      </c>
      <c r="D340" s="91" t="s">
        <v>287</v>
      </c>
      <c r="E340" s="94">
        <v>3500</v>
      </c>
      <c r="F340" s="22" t="s">
        <v>265</v>
      </c>
    </row>
    <row r="341" spans="1:6">
      <c r="A341" s="28" t="s">
        <v>348</v>
      </c>
      <c r="B341" s="33" t="s">
        <v>380</v>
      </c>
      <c r="C341" s="6" t="s">
        <v>270</v>
      </c>
      <c r="D341" s="39" t="s">
        <v>124</v>
      </c>
      <c r="E341" s="94">
        <v>0.12</v>
      </c>
      <c r="F341" s="22" t="s">
        <v>265</v>
      </c>
    </row>
    <row r="342" spans="1:6">
      <c r="A342" s="28" t="s">
        <v>348</v>
      </c>
      <c r="B342" s="33" t="s">
        <v>381</v>
      </c>
      <c r="C342" s="6" t="s">
        <v>270</v>
      </c>
      <c r="D342" s="39" t="s">
        <v>124</v>
      </c>
      <c r="E342" s="94">
        <v>0.24</v>
      </c>
      <c r="F342" s="22" t="s">
        <v>265</v>
      </c>
    </row>
    <row r="343" spans="1:6">
      <c r="B343" s="37" t="s">
        <v>382</v>
      </c>
    </row>
    <row r="344" spans="1:6">
      <c r="A344" s="11" t="s">
        <v>1</v>
      </c>
      <c r="B344" s="12" t="s">
        <v>2</v>
      </c>
      <c r="C344" s="13" t="s">
        <v>3</v>
      </c>
      <c r="D344" s="14" t="s">
        <v>4</v>
      </c>
      <c r="E344" s="81" t="s">
        <v>5</v>
      </c>
      <c r="F344" s="6"/>
    </row>
    <row r="345" spans="1:6">
      <c r="A345" s="28" t="s">
        <v>382</v>
      </c>
      <c r="B345" s="33" t="s">
        <v>383</v>
      </c>
      <c r="C345" s="6" t="s">
        <v>384</v>
      </c>
      <c r="D345" s="91" t="s">
        <v>124</v>
      </c>
      <c r="E345" s="94">
        <v>0.65</v>
      </c>
      <c r="F345" s="22" t="s">
        <v>265</v>
      </c>
    </row>
    <row r="346" spans="1:6">
      <c r="A346" s="28" t="s">
        <v>382</v>
      </c>
      <c r="B346" s="33" t="s">
        <v>385</v>
      </c>
      <c r="C346" s="6" t="s">
        <v>384</v>
      </c>
      <c r="D346" s="91" t="s">
        <v>124</v>
      </c>
      <c r="E346" s="94">
        <v>1.5</v>
      </c>
      <c r="F346" s="22" t="s">
        <v>265</v>
      </c>
    </row>
    <row r="347" spans="1:6">
      <c r="A347" s="28" t="s">
        <v>382</v>
      </c>
      <c r="B347" s="33" t="s">
        <v>386</v>
      </c>
      <c r="C347" s="6" t="s">
        <v>384</v>
      </c>
      <c r="D347" s="91" t="s">
        <v>124</v>
      </c>
      <c r="E347" s="94">
        <v>0.2</v>
      </c>
      <c r="F347" s="22" t="s">
        <v>265</v>
      </c>
    </row>
    <row r="348" spans="1:6">
      <c r="A348" s="28" t="s">
        <v>382</v>
      </c>
      <c r="B348" s="33" t="s">
        <v>387</v>
      </c>
      <c r="C348" s="6" t="s">
        <v>384</v>
      </c>
      <c r="D348" s="91" t="s">
        <v>329</v>
      </c>
      <c r="E348" s="94">
        <v>125</v>
      </c>
      <c r="F348" s="22" t="s">
        <v>265</v>
      </c>
    </row>
    <row r="349" spans="1:6">
      <c r="A349" s="28" t="s">
        <v>382</v>
      </c>
      <c r="B349" s="33" t="s">
        <v>388</v>
      </c>
      <c r="C349" s="6" t="s">
        <v>384</v>
      </c>
      <c r="D349" s="91" t="s">
        <v>124</v>
      </c>
      <c r="E349" s="94">
        <v>9</v>
      </c>
      <c r="F349" s="22" t="s">
        <v>265</v>
      </c>
    </row>
    <row r="350" spans="1:6">
      <c r="A350" s="28" t="s">
        <v>382</v>
      </c>
      <c r="B350" s="33" t="s">
        <v>389</v>
      </c>
      <c r="C350" s="6" t="s">
        <v>384</v>
      </c>
      <c r="D350" s="91" t="s">
        <v>124</v>
      </c>
      <c r="E350" s="94">
        <v>7.5</v>
      </c>
      <c r="F350" s="22" t="s">
        <v>265</v>
      </c>
    </row>
    <row r="351" spans="1:6">
      <c r="A351" s="28" t="s">
        <v>382</v>
      </c>
      <c r="B351" s="33" t="s">
        <v>390</v>
      </c>
      <c r="C351" s="6" t="s">
        <v>384</v>
      </c>
      <c r="D351" s="91" t="s">
        <v>124</v>
      </c>
      <c r="E351" s="94">
        <v>5</v>
      </c>
      <c r="F351" s="22" t="s">
        <v>265</v>
      </c>
    </row>
    <row r="352" spans="1:6">
      <c r="A352" s="28" t="s">
        <v>382</v>
      </c>
      <c r="B352" s="33" t="s">
        <v>391</v>
      </c>
      <c r="C352" s="6" t="s">
        <v>384</v>
      </c>
      <c r="D352" s="91" t="s">
        <v>124</v>
      </c>
      <c r="E352" s="94">
        <v>6</v>
      </c>
      <c r="F352" s="22" t="s">
        <v>265</v>
      </c>
    </row>
    <row r="353" spans="1:6">
      <c r="A353" s="28" t="s">
        <v>382</v>
      </c>
      <c r="B353" s="33" t="s">
        <v>392</v>
      </c>
      <c r="C353" s="6" t="s">
        <v>384</v>
      </c>
      <c r="D353" s="91" t="s">
        <v>124</v>
      </c>
      <c r="E353" s="94">
        <v>2.5</v>
      </c>
      <c r="F353" s="22" t="s">
        <v>265</v>
      </c>
    </row>
    <row r="354" spans="1:6">
      <c r="A354" s="28" t="s">
        <v>382</v>
      </c>
      <c r="B354" s="33" t="s">
        <v>393</v>
      </c>
      <c r="C354" s="6" t="s">
        <v>384</v>
      </c>
      <c r="D354" s="91" t="s">
        <v>124</v>
      </c>
      <c r="E354" s="94">
        <v>20</v>
      </c>
      <c r="F354" s="22" t="s">
        <v>265</v>
      </c>
    </row>
    <row r="355" spans="1:6">
      <c r="A355" s="28" t="s">
        <v>382</v>
      </c>
      <c r="B355" s="33" t="s">
        <v>394</v>
      </c>
      <c r="C355" s="6" t="s">
        <v>384</v>
      </c>
      <c r="D355" s="91" t="s">
        <v>124</v>
      </c>
      <c r="E355" s="94">
        <v>22</v>
      </c>
      <c r="F355" s="22" t="s">
        <v>265</v>
      </c>
    </row>
    <row r="356" spans="1:6">
      <c r="A356" s="28" t="s">
        <v>382</v>
      </c>
      <c r="B356" s="33" t="s">
        <v>395</v>
      </c>
      <c r="C356" s="6" t="s">
        <v>384</v>
      </c>
      <c r="D356" s="91" t="s">
        <v>124</v>
      </c>
      <c r="E356" s="94">
        <v>4</v>
      </c>
      <c r="F356" s="22" t="s">
        <v>265</v>
      </c>
    </row>
    <row r="357" spans="1:6">
      <c r="A357" s="28" t="s">
        <v>382</v>
      </c>
      <c r="B357" s="33" t="s">
        <v>396</v>
      </c>
      <c r="C357" s="6" t="s">
        <v>384</v>
      </c>
      <c r="D357" s="91" t="s">
        <v>124</v>
      </c>
      <c r="E357" s="94">
        <v>6</v>
      </c>
      <c r="F357" s="22" t="s">
        <v>265</v>
      </c>
    </row>
    <row r="358" spans="1:6">
      <c r="A358" s="28" t="s">
        <v>382</v>
      </c>
      <c r="B358" s="33" t="s">
        <v>397</v>
      </c>
      <c r="C358" s="6" t="s">
        <v>384</v>
      </c>
      <c r="D358" s="91" t="s">
        <v>124</v>
      </c>
      <c r="E358" s="94">
        <v>1</v>
      </c>
      <c r="F358" s="22" t="s">
        <v>265</v>
      </c>
    </row>
    <row r="359" spans="1:6">
      <c r="A359" s="28" t="s">
        <v>382</v>
      </c>
      <c r="B359" s="33" t="s">
        <v>398</v>
      </c>
      <c r="C359" s="6" t="s">
        <v>384</v>
      </c>
      <c r="D359" s="91" t="s">
        <v>399</v>
      </c>
      <c r="E359" s="94">
        <v>3.5</v>
      </c>
      <c r="F359" s="22" t="s">
        <v>265</v>
      </c>
    </row>
    <row r="360" spans="1:6">
      <c r="A360" s="28" t="s">
        <v>382</v>
      </c>
      <c r="B360" s="33" t="s">
        <v>400</v>
      </c>
      <c r="C360" s="6" t="s">
        <v>384</v>
      </c>
      <c r="D360" s="91" t="s">
        <v>399</v>
      </c>
      <c r="E360" s="94">
        <v>2.5</v>
      </c>
      <c r="F360" s="22" t="s">
        <v>265</v>
      </c>
    </row>
    <row r="361" spans="1:6">
      <c r="A361" s="28" t="s">
        <v>382</v>
      </c>
      <c r="B361" s="33" t="s">
        <v>401</v>
      </c>
      <c r="C361" s="6" t="s">
        <v>384</v>
      </c>
      <c r="D361" s="91" t="s">
        <v>124</v>
      </c>
      <c r="E361" s="94">
        <v>3</v>
      </c>
      <c r="F361" s="22" t="s">
        <v>265</v>
      </c>
    </row>
    <row r="362" spans="1:6">
      <c r="A362" s="28" t="s">
        <v>382</v>
      </c>
      <c r="B362" s="33" t="s">
        <v>402</v>
      </c>
      <c r="C362" s="6" t="s">
        <v>384</v>
      </c>
      <c r="D362" s="91" t="s">
        <v>124</v>
      </c>
      <c r="E362" s="94">
        <v>2.5</v>
      </c>
      <c r="F362" s="22" t="s">
        <v>265</v>
      </c>
    </row>
    <row r="363" spans="1:6">
      <c r="A363" s="28" t="s">
        <v>382</v>
      </c>
      <c r="B363" s="33" t="s">
        <v>403</v>
      </c>
      <c r="C363" s="6" t="s">
        <v>384</v>
      </c>
      <c r="D363" s="91" t="s">
        <v>124</v>
      </c>
      <c r="E363" s="94">
        <v>1.5</v>
      </c>
      <c r="F363" s="22" t="s">
        <v>265</v>
      </c>
    </row>
    <row r="364" s="3" customFormat="1" spans="1:6">
      <c r="A364" s="28" t="s">
        <v>382</v>
      </c>
      <c r="B364" s="38" t="s">
        <v>404</v>
      </c>
      <c r="C364" s="22" t="s">
        <v>384</v>
      </c>
      <c r="D364" s="39" t="s">
        <v>329</v>
      </c>
      <c r="E364" s="95">
        <v>125</v>
      </c>
      <c r="F364" s="22" t="s">
        <v>265</v>
      </c>
    </row>
    <row r="365" s="3" customFormat="1" spans="1:6">
      <c r="A365" s="28" t="s">
        <v>382</v>
      </c>
      <c r="B365" s="38" t="s">
        <v>405</v>
      </c>
      <c r="C365" s="22" t="s">
        <v>384</v>
      </c>
      <c r="D365" s="39" t="s">
        <v>329</v>
      </c>
      <c r="E365" s="95">
        <v>170</v>
      </c>
      <c r="F365" s="22" t="s">
        <v>265</v>
      </c>
    </row>
    <row r="366" s="3" customFormat="1" spans="1:6">
      <c r="A366" s="28" t="s">
        <v>382</v>
      </c>
      <c r="B366" s="38" t="s">
        <v>406</v>
      </c>
      <c r="C366" s="22" t="s">
        <v>384</v>
      </c>
      <c r="D366" s="39" t="s">
        <v>329</v>
      </c>
      <c r="E366" s="95">
        <v>520</v>
      </c>
      <c r="F366" s="22" t="s">
        <v>265</v>
      </c>
    </row>
    <row r="367" spans="1:6">
      <c r="A367" s="28" t="s">
        <v>382</v>
      </c>
      <c r="B367" s="33" t="s">
        <v>407</v>
      </c>
      <c r="C367" s="6" t="s">
        <v>384</v>
      </c>
      <c r="D367" s="91" t="s">
        <v>408</v>
      </c>
      <c r="E367" s="94">
        <v>400</v>
      </c>
      <c r="F367" s="22" t="s">
        <v>259</v>
      </c>
    </row>
    <row r="368" spans="1:6">
      <c r="A368" s="28" t="s">
        <v>382</v>
      </c>
      <c r="B368" s="33" t="s">
        <v>409</v>
      </c>
      <c r="C368" s="6" t="s">
        <v>384</v>
      </c>
      <c r="D368" s="91" t="s">
        <v>408</v>
      </c>
      <c r="E368" s="94">
        <v>61</v>
      </c>
      <c r="F368" s="22" t="s">
        <v>265</v>
      </c>
    </row>
    <row r="369" spans="1:6">
      <c r="A369" s="28" t="s">
        <v>382</v>
      </c>
      <c r="B369" s="33" t="s">
        <v>410</v>
      </c>
      <c r="C369" s="6" t="s">
        <v>384</v>
      </c>
      <c r="D369" s="91" t="s">
        <v>408</v>
      </c>
      <c r="E369" s="94">
        <v>19</v>
      </c>
      <c r="F369" s="22" t="s">
        <v>259</v>
      </c>
    </row>
    <row r="370" spans="1:6">
      <c r="A370" s="28" t="s">
        <v>382</v>
      </c>
      <c r="B370" s="33" t="s">
        <v>411</v>
      </c>
      <c r="C370" s="6" t="s">
        <v>384</v>
      </c>
      <c r="D370" s="91" t="s">
        <v>408</v>
      </c>
      <c r="E370" s="94">
        <v>7.5</v>
      </c>
      <c r="F370" s="22" t="s">
        <v>265</v>
      </c>
    </row>
    <row r="371" spans="1:6">
      <c r="A371" s="28" t="s">
        <v>382</v>
      </c>
      <c r="B371" s="33" t="s">
        <v>412</v>
      </c>
      <c r="C371" s="6" t="s">
        <v>384</v>
      </c>
      <c r="D371" s="91" t="s">
        <v>408</v>
      </c>
      <c r="E371" s="94">
        <v>76</v>
      </c>
      <c r="F371" s="22" t="s">
        <v>259</v>
      </c>
    </row>
    <row r="372" spans="1:6">
      <c r="A372" s="28" t="s">
        <v>382</v>
      </c>
      <c r="B372" s="33" t="s">
        <v>411</v>
      </c>
      <c r="C372" s="6" t="s">
        <v>384</v>
      </c>
      <c r="D372" s="91" t="s">
        <v>408</v>
      </c>
      <c r="E372" s="94">
        <v>12</v>
      </c>
      <c r="F372" s="22" t="s">
        <v>265</v>
      </c>
    </row>
    <row r="373" spans="1:6">
      <c r="A373" s="28" t="s">
        <v>382</v>
      </c>
      <c r="B373" s="33" t="s">
        <v>413</v>
      </c>
      <c r="C373" s="6" t="s">
        <v>384</v>
      </c>
      <c r="D373" s="91" t="s">
        <v>408</v>
      </c>
      <c r="E373" s="94">
        <v>100</v>
      </c>
      <c r="F373" s="22" t="s">
        <v>259</v>
      </c>
    </row>
    <row r="374" spans="1:6">
      <c r="A374" s="28" t="s">
        <v>382</v>
      </c>
      <c r="B374" s="33" t="s">
        <v>414</v>
      </c>
      <c r="C374" s="6" t="s">
        <v>384</v>
      </c>
      <c r="D374" s="91" t="s">
        <v>124</v>
      </c>
      <c r="E374" s="94">
        <v>25</v>
      </c>
      <c r="F374" s="22" t="s">
        <v>265</v>
      </c>
    </row>
    <row r="375" spans="1:6">
      <c r="A375" s="28" t="s">
        <v>382</v>
      </c>
      <c r="B375" s="33" t="s">
        <v>415</v>
      </c>
      <c r="C375" s="6" t="s">
        <v>384</v>
      </c>
      <c r="D375" s="91" t="s">
        <v>124</v>
      </c>
      <c r="E375" s="94">
        <v>7.5</v>
      </c>
      <c r="F375" s="22" t="s">
        <v>265</v>
      </c>
    </row>
    <row r="376" spans="1:6">
      <c r="A376" s="28" t="s">
        <v>382</v>
      </c>
      <c r="B376" s="33" t="s">
        <v>416</v>
      </c>
      <c r="C376" s="6" t="s">
        <v>384</v>
      </c>
      <c r="D376" s="91" t="s">
        <v>124</v>
      </c>
      <c r="E376" s="94">
        <v>11</v>
      </c>
      <c r="F376" s="22" t="s">
        <v>265</v>
      </c>
    </row>
    <row r="377" spans="1:6">
      <c r="A377" s="28" t="s">
        <v>382</v>
      </c>
      <c r="B377" s="33" t="s">
        <v>417</v>
      </c>
      <c r="C377" s="6" t="s">
        <v>384</v>
      </c>
      <c r="D377" s="91" t="s">
        <v>124</v>
      </c>
      <c r="E377" s="94">
        <v>8.1</v>
      </c>
      <c r="F377" s="22" t="s">
        <v>265</v>
      </c>
    </row>
    <row r="378" spans="1:6">
      <c r="A378" s="28" t="s">
        <v>382</v>
      </c>
      <c r="B378" s="33" t="s">
        <v>418</v>
      </c>
      <c r="C378" s="6" t="s">
        <v>384</v>
      </c>
      <c r="D378" s="91" t="s">
        <v>124</v>
      </c>
      <c r="E378" s="94">
        <v>3.5</v>
      </c>
      <c r="F378" s="22" t="s">
        <v>265</v>
      </c>
    </row>
    <row r="379" spans="1:6">
      <c r="A379" s="28" t="s">
        <v>382</v>
      </c>
      <c r="B379" s="33" t="s">
        <v>419</v>
      </c>
      <c r="C379" s="6" t="s">
        <v>384</v>
      </c>
      <c r="D379" s="91" t="s">
        <v>124</v>
      </c>
      <c r="E379" s="94">
        <v>0.4</v>
      </c>
      <c r="F379" s="22" t="s">
        <v>265</v>
      </c>
    </row>
    <row r="380" spans="1:6">
      <c r="A380" s="28" t="s">
        <v>382</v>
      </c>
      <c r="B380" s="33" t="s">
        <v>420</v>
      </c>
      <c r="C380" s="6" t="s">
        <v>384</v>
      </c>
      <c r="D380" s="91" t="s">
        <v>124</v>
      </c>
      <c r="E380" s="94">
        <v>0.65</v>
      </c>
      <c r="F380" s="22" t="s">
        <v>265</v>
      </c>
    </row>
    <row r="381" spans="1:6">
      <c r="A381" s="28" t="s">
        <v>382</v>
      </c>
      <c r="B381" s="33" t="s">
        <v>421</v>
      </c>
      <c r="C381" s="6" t="s">
        <v>384</v>
      </c>
      <c r="D381" s="91" t="s">
        <v>124</v>
      </c>
      <c r="E381" s="94">
        <v>0.5</v>
      </c>
      <c r="F381" s="22" t="s">
        <v>265</v>
      </c>
    </row>
    <row r="382" spans="1:6">
      <c r="A382" s="28" t="s">
        <v>382</v>
      </c>
      <c r="B382" s="33" t="s">
        <v>415</v>
      </c>
      <c r="C382" s="6" t="s">
        <v>384</v>
      </c>
      <c r="D382" s="91" t="s">
        <v>124</v>
      </c>
      <c r="E382" s="94">
        <v>11</v>
      </c>
      <c r="F382" s="22" t="s">
        <v>265</v>
      </c>
    </row>
    <row r="383" spans="1:6">
      <c r="A383" s="28" t="s">
        <v>382</v>
      </c>
      <c r="B383" s="33" t="s">
        <v>422</v>
      </c>
      <c r="C383" s="6" t="s">
        <v>384</v>
      </c>
      <c r="D383" s="91" t="s">
        <v>124</v>
      </c>
      <c r="E383" s="94">
        <v>14</v>
      </c>
      <c r="F383" s="22" t="s">
        <v>265</v>
      </c>
    </row>
    <row r="384" spans="1:6">
      <c r="A384" s="28" t="s">
        <v>382</v>
      </c>
      <c r="B384" s="33" t="s">
        <v>423</v>
      </c>
      <c r="C384" s="6" t="s">
        <v>384</v>
      </c>
      <c r="D384" s="91" t="s">
        <v>124</v>
      </c>
      <c r="E384" s="94">
        <v>1.2</v>
      </c>
      <c r="F384" s="22" t="s">
        <v>265</v>
      </c>
    </row>
    <row r="385" spans="1:6">
      <c r="A385" s="28" t="s">
        <v>382</v>
      </c>
      <c r="B385" s="33" t="s">
        <v>397</v>
      </c>
      <c r="C385" s="6" t="s">
        <v>384</v>
      </c>
      <c r="D385" s="91" t="s">
        <v>124</v>
      </c>
      <c r="E385" s="94">
        <v>1.5</v>
      </c>
      <c r="F385" s="22" t="s">
        <v>265</v>
      </c>
    </row>
    <row r="386" spans="1:6">
      <c r="A386" s="28" t="s">
        <v>382</v>
      </c>
      <c r="B386" s="33" t="s">
        <v>424</v>
      </c>
      <c r="C386" s="6" t="s">
        <v>384</v>
      </c>
      <c r="D386" s="91" t="s">
        <v>124</v>
      </c>
      <c r="E386" s="94">
        <v>475</v>
      </c>
      <c r="F386" s="22" t="s">
        <v>265</v>
      </c>
    </row>
    <row r="387" spans="1:6">
      <c r="A387" s="28" t="s">
        <v>382</v>
      </c>
      <c r="B387" s="33" t="s">
        <v>425</v>
      </c>
      <c r="C387" s="6" t="s">
        <v>384</v>
      </c>
      <c r="D387" s="91" t="s">
        <v>124</v>
      </c>
      <c r="E387" s="94">
        <v>130</v>
      </c>
      <c r="F387" s="22" t="s">
        <v>265</v>
      </c>
    </row>
    <row r="388" spans="1:6">
      <c r="A388" s="28" t="s">
        <v>382</v>
      </c>
      <c r="B388" s="33" t="s">
        <v>426</v>
      </c>
      <c r="C388" s="6" t="s">
        <v>384</v>
      </c>
      <c r="D388" s="91" t="s">
        <v>124</v>
      </c>
      <c r="E388" s="94">
        <v>11</v>
      </c>
      <c r="F388" s="22" t="s">
        <v>265</v>
      </c>
    </row>
    <row r="389" spans="1:6">
      <c r="A389" s="28" t="s">
        <v>382</v>
      </c>
      <c r="B389" s="33" t="s">
        <v>427</v>
      </c>
      <c r="C389" s="6" t="s">
        <v>384</v>
      </c>
      <c r="D389" s="91" t="s">
        <v>329</v>
      </c>
      <c r="E389" s="94">
        <v>165</v>
      </c>
      <c r="F389" s="22" t="s">
        <v>265</v>
      </c>
    </row>
    <row r="390" spans="1:6">
      <c r="A390" s="28" t="s">
        <v>382</v>
      </c>
      <c r="B390" s="33" t="s">
        <v>428</v>
      </c>
      <c r="C390" s="6" t="s">
        <v>384</v>
      </c>
      <c r="D390" s="91" t="s">
        <v>124</v>
      </c>
      <c r="E390" s="94">
        <v>50</v>
      </c>
      <c r="F390" s="22" t="s">
        <v>265</v>
      </c>
    </row>
    <row r="391" spans="1:6">
      <c r="A391" s="28" t="s">
        <v>382</v>
      </c>
      <c r="B391" s="33" t="s">
        <v>429</v>
      </c>
      <c r="C391" s="6" t="s">
        <v>384</v>
      </c>
      <c r="D391" s="91" t="s">
        <v>124</v>
      </c>
      <c r="E391" s="94">
        <v>2</v>
      </c>
      <c r="F391" s="22" t="s">
        <v>265</v>
      </c>
    </row>
    <row r="392" spans="1:6">
      <c r="A392" s="28" t="s">
        <v>382</v>
      </c>
      <c r="B392" s="33" t="s">
        <v>430</v>
      </c>
      <c r="C392" s="6" t="s">
        <v>384</v>
      </c>
      <c r="D392" s="91" t="s">
        <v>408</v>
      </c>
      <c r="E392" s="94">
        <v>17.5</v>
      </c>
      <c r="F392" s="22" t="s">
        <v>259</v>
      </c>
    </row>
    <row r="393" s="3" customFormat="1" spans="1:6">
      <c r="A393" s="28" t="s">
        <v>382</v>
      </c>
      <c r="B393" s="38" t="s">
        <v>431</v>
      </c>
      <c r="C393" s="22" t="s">
        <v>384</v>
      </c>
      <c r="D393" s="39" t="s">
        <v>329</v>
      </c>
      <c r="E393" s="95">
        <v>2130</v>
      </c>
      <c r="F393" s="22" t="s">
        <v>265</v>
      </c>
    </row>
    <row r="394" s="3" customFormat="1" spans="1:6">
      <c r="A394" s="28" t="s">
        <v>382</v>
      </c>
      <c r="B394" s="38" t="s">
        <v>432</v>
      </c>
      <c r="C394" s="22" t="s">
        <v>384</v>
      </c>
      <c r="D394" s="39" t="s">
        <v>329</v>
      </c>
      <c r="E394" s="95">
        <v>384</v>
      </c>
      <c r="F394" s="22" t="s">
        <v>265</v>
      </c>
    </row>
    <row r="395" spans="1:6">
      <c r="A395" s="28" t="s">
        <v>382</v>
      </c>
      <c r="B395" s="33" t="s">
        <v>419</v>
      </c>
      <c r="C395" s="6" t="s">
        <v>384</v>
      </c>
      <c r="D395" s="91" t="s">
        <v>124</v>
      </c>
      <c r="E395" s="94">
        <v>0.4</v>
      </c>
      <c r="F395" s="22" t="s">
        <v>265</v>
      </c>
    </row>
    <row r="396" spans="1:6">
      <c r="A396" s="28" t="s">
        <v>382</v>
      </c>
      <c r="B396" s="33" t="s">
        <v>433</v>
      </c>
      <c r="C396" s="6" t="s">
        <v>384</v>
      </c>
      <c r="D396" s="91" t="s">
        <v>124</v>
      </c>
      <c r="E396" s="94">
        <v>0.3</v>
      </c>
      <c r="F396" s="22" t="s">
        <v>265</v>
      </c>
    </row>
    <row r="397" spans="1:6">
      <c r="A397" s="28" t="s">
        <v>382</v>
      </c>
      <c r="B397" s="33" t="s">
        <v>434</v>
      </c>
      <c r="C397" s="6" t="s">
        <v>384</v>
      </c>
      <c r="D397" s="91" t="s">
        <v>124</v>
      </c>
      <c r="E397" s="94">
        <v>0.2</v>
      </c>
      <c r="F397" s="22" t="s">
        <v>265</v>
      </c>
    </row>
    <row r="398" spans="1:6">
      <c r="A398" s="28" t="s">
        <v>382</v>
      </c>
      <c r="B398" s="33" t="s">
        <v>435</v>
      </c>
      <c r="C398" s="6" t="s">
        <v>384</v>
      </c>
      <c r="D398" s="91" t="s">
        <v>124</v>
      </c>
      <c r="E398" s="94">
        <v>15</v>
      </c>
      <c r="F398" s="22" t="s">
        <v>265</v>
      </c>
    </row>
    <row r="399" spans="1:6">
      <c r="A399" s="28" t="s">
        <v>382</v>
      </c>
      <c r="B399" s="33" t="s">
        <v>436</v>
      </c>
      <c r="C399" s="6" t="s">
        <v>384</v>
      </c>
      <c r="D399" s="91" t="s">
        <v>408</v>
      </c>
      <c r="E399" s="94">
        <v>5</v>
      </c>
      <c r="F399" s="22" t="s">
        <v>265</v>
      </c>
    </row>
    <row r="400" spans="1:6">
      <c r="A400" s="28" t="s">
        <v>382</v>
      </c>
      <c r="B400" s="33" t="s">
        <v>437</v>
      </c>
      <c r="C400" s="6" t="s">
        <v>384</v>
      </c>
      <c r="D400" s="91" t="s">
        <v>124</v>
      </c>
      <c r="E400" s="94">
        <v>3</v>
      </c>
      <c r="F400" s="22" t="s">
        <v>265</v>
      </c>
    </row>
    <row r="401" spans="1:6">
      <c r="A401" s="28" t="s">
        <v>382</v>
      </c>
      <c r="B401" s="33" t="s">
        <v>438</v>
      </c>
      <c r="C401" s="6" t="s">
        <v>384</v>
      </c>
      <c r="D401" s="91" t="s">
        <v>124</v>
      </c>
      <c r="E401" s="94">
        <v>2</v>
      </c>
      <c r="F401" s="22" t="s">
        <v>265</v>
      </c>
    </row>
    <row r="402" spans="1:6">
      <c r="A402" s="28" t="s">
        <v>382</v>
      </c>
      <c r="B402" s="33" t="s">
        <v>439</v>
      </c>
      <c r="C402" s="6" t="s">
        <v>384</v>
      </c>
      <c r="D402" s="91" t="s">
        <v>124</v>
      </c>
      <c r="E402" s="94">
        <v>2</v>
      </c>
      <c r="F402" s="22" t="s">
        <v>265</v>
      </c>
    </row>
    <row r="403" spans="1:6">
      <c r="A403" s="28" t="s">
        <v>382</v>
      </c>
      <c r="B403" s="33" t="s">
        <v>440</v>
      </c>
      <c r="C403" s="6" t="s">
        <v>384</v>
      </c>
      <c r="D403" s="91" t="s">
        <v>124</v>
      </c>
      <c r="E403" s="94">
        <v>7.5</v>
      </c>
      <c r="F403" s="22" t="s">
        <v>265</v>
      </c>
    </row>
    <row r="404" spans="1:6">
      <c r="A404" s="28" t="s">
        <v>382</v>
      </c>
      <c r="B404" s="33" t="s">
        <v>398</v>
      </c>
      <c r="C404" s="6" t="s">
        <v>384</v>
      </c>
      <c r="D404" s="91" t="s">
        <v>124</v>
      </c>
      <c r="E404" s="94">
        <v>4</v>
      </c>
      <c r="F404" s="22" t="s">
        <v>265</v>
      </c>
    </row>
    <row r="405" spans="1:6">
      <c r="A405" s="28" t="s">
        <v>382</v>
      </c>
      <c r="B405" s="33" t="s">
        <v>441</v>
      </c>
      <c r="C405" s="6" t="s">
        <v>384</v>
      </c>
      <c r="D405" s="91" t="s">
        <v>124</v>
      </c>
      <c r="E405" s="94">
        <v>1</v>
      </c>
      <c r="F405" s="22" t="s">
        <v>265</v>
      </c>
    </row>
    <row r="406" spans="1:6">
      <c r="A406" s="28" t="s">
        <v>382</v>
      </c>
      <c r="B406" s="33" t="s">
        <v>442</v>
      </c>
      <c r="C406" s="6" t="s">
        <v>384</v>
      </c>
      <c r="D406" s="91" t="s">
        <v>124</v>
      </c>
      <c r="E406" s="94">
        <v>80</v>
      </c>
      <c r="F406" s="22" t="s">
        <v>265</v>
      </c>
    </row>
    <row r="407" spans="1:6">
      <c r="A407" s="28" t="s">
        <v>382</v>
      </c>
      <c r="B407" s="33" t="s">
        <v>425</v>
      </c>
      <c r="C407" s="6" t="s">
        <v>384</v>
      </c>
      <c r="D407" s="91" t="s">
        <v>124</v>
      </c>
      <c r="E407" s="94">
        <v>110</v>
      </c>
      <c r="F407" s="22" t="s">
        <v>265</v>
      </c>
    </row>
    <row r="408" spans="1:6">
      <c r="A408" s="28" t="s">
        <v>382</v>
      </c>
      <c r="B408" s="33" t="s">
        <v>443</v>
      </c>
      <c r="C408" s="6" t="s">
        <v>384</v>
      </c>
      <c r="D408" s="91" t="s">
        <v>124</v>
      </c>
      <c r="E408" s="94">
        <v>42</v>
      </c>
      <c r="F408" s="22" t="s">
        <v>265</v>
      </c>
    </row>
    <row r="409" spans="1:6">
      <c r="A409" s="28" t="s">
        <v>382</v>
      </c>
      <c r="B409" s="33" t="s">
        <v>444</v>
      </c>
      <c r="C409" s="6" t="s">
        <v>384</v>
      </c>
      <c r="D409" s="91" t="s">
        <v>124</v>
      </c>
      <c r="E409" s="94">
        <v>65</v>
      </c>
      <c r="F409" s="22" t="s">
        <v>265</v>
      </c>
    </row>
    <row r="410" spans="1:6">
      <c r="A410" s="28" t="s">
        <v>382</v>
      </c>
      <c r="B410" s="33" t="s">
        <v>397</v>
      </c>
      <c r="C410" s="6" t="s">
        <v>384</v>
      </c>
      <c r="D410" s="91" t="s">
        <v>124</v>
      </c>
      <c r="E410" s="94">
        <v>1.75</v>
      </c>
      <c r="F410" s="22" t="s">
        <v>265</v>
      </c>
    </row>
    <row r="411" spans="1:6">
      <c r="A411" s="28" t="s">
        <v>382</v>
      </c>
      <c r="B411" s="33" t="s">
        <v>445</v>
      </c>
      <c r="C411" s="6" t="s">
        <v>384</v>
      </c>
      <c r="D411" s="91" t="s">
        <v>124</v>
      </c>
      <c r="E411" s="94">
        <v>4</v>
      </c>
      <c r="F411" s="22" t="s">
        <v>265</v>
      </c>
    </row>
    <row r="412" spans="1:6">
      <c r="A412" s="28" t="s">
        <v>382</v>
      </c>
      <c r="B412" s="33" t="s">
        <v>446</v>
      </c>
      <c r="C412" s="6" t="s">
        <v>384</v>
      </c>
      <c r="D412" s="91" t="s">
        <v>124</v>
      </c>
      <c r="E412" s="94">
        <v>8.5</v>
      </c>
      <c r="F412" s="22" t="s">
        <v>265</v>
      </c>
    </row>
    <row r="413" spans="1:6">
      <c r="A413" s="28" t="s">
        <v>382</v>
      </c>
      <c r="B413" s="33" t="s">
        <v>447</v>
      </c>
      <c r="C413" s="6" t="s">
        <v>384</v>
      </c>
      <c r="D413" s="91" t="s">
        <v>124</v>
      </c>
      <c r="E413" s="94">
        <v>9.5</v>
      </c>
      <c r="F413" s="22" t="s">
        <v>265</v>
      </c>
    </row>
    <row r="414" spans="1:6">
      <c r="A414" s="28" t="s">
        <v>382</v>
      </c>
      <c r="B414" s="33" t="s">
        <v>448</v>
      </c>
      <c r="C414" s="6" t="s">
        <v>384</v>
      </c>
      <c r="D414" s="91" t="s">
        <v>124</v>
      </c>
      <c r="E414" s="94">
        <v>3.25</v>
      </c>
      <c r="F414" s="22" t="s">
        <v>265</v>
      </c>
    </row>
    <row r="415" spans="1:6">
      <c r="A415" s="28" t="s">
        <v>382</v>
      </c>
      <c r="B415" s="33" t="s">
        <v>449</v>
      </c>
      <c r="C415" s="6" t="s">
        <v>384</v>
      </c>
      <c r="D415" s="91" t="s">
        <v>124</v>
      </c>
      <c r="E415" s="94">
        <v>3.25</v>
      </c>
      <c r="F415" s="22" t="s">
        <v>265</v>
      </c>
    </row>
    <row r="416" spans="1:6">
      <c r="A416" s="28" t="s">
        <v>382</v>
      </c>
      <c r="B416" s="33" t="s">
        <v>450</v>
      </c>
      <c r="C416" s="6" t="s">
        <v>384</v>
      </c>
      <c r="D416" s="91" t="s">
        <v>124</v>
      </c>
      <c r="E416" s="94">
        <v>75</v>
      </c>
      <c r="F416" s="22" t="s">
        <v>265</v>
      </c>
    </row>
    <row r="417" spans="1:6">
      <c r="A417" s="28" t="s">
        <v>382</v>
      </c>
      <c r="B417" s="33" t="s">
        <v>451</v>
      </c>
      <c r="C417" s="6" t="s">
        <v>384</v>
      </c>
      <c r="D417" s="91" t="s">
        <v>124</v>
      </c>
      <c r="E417" s="94">
        <v>5</v>
      </c>
      <c r="F417" s="22" t="s">
        <v>265</v>
      </c>
    </row>
    <row r="418" spans="1:6">
      <c r="A418" s="28" t="s">
        <v>382</v>
      </c>
      <c r="B418" s="33" t="s">
        <v>442</v>
      </c>
      <c r="C418" s="6" t="s">
        <v>384</v>
      </c>
      <c r="D418" s="91" t="s">
        <v>124</v>
      </c>
      <c r="E418" s="94">
        <v>80</v>
      </c>
      <c r="F418" s="22" t="s">
        <v>265</v>
      </c>
    </row>
    <row r="419" spans="1:6">
      <c r="A419" s="28" t="s">
        <v>382</v>
      </c>
      <c r="B419" s="33" t="s">
        <v>425</v>
      </c>
      <c r="C419" s="6" t="s">
        <v>384</v>
      </c>
      <c r="D419" s="91" t="s">
        <v>124</v>
      </c>
      <c r="E419" s="94">
        <v>110</v>
      </c>
      <c r="F419" s="22" t="s">
        <v>265</v>
      </c>
    </row>
    <row r="420" spans="1:6">
      <c r="A420" s="28" t="s">
        <v>382</v>
      </c>
      <c r="B420" s="33" t="s">
        <v>443</v>
      </c>
      <c r="C420" s="6" t="s">
        <v>384</v>
      </c>
      <c r="D420" s="91" t="s">
        <v>124</v>
      </c>
      <c r="E420" s="94">
        <v>42</v>
      </c>
      <c r="F420" s="22" t="s">
        <v>265</v>
      </c>
    </row>
    <row r="421" spans="1:6">
      <c r="A421" s="28" t="s">
        <v>452</v>
      </c>
      <c r="B421" s="33" t="s">
        <v>403</v>
      </c>
      <c r="C421" s="6" t="s">
        <v>384</v>
      </c>
      <c r="D421" s="91" t="s">
        <v>124</v>
      </c>
      <c r="E421" s="94">
        <v>1</v>
      </c>
      <c r="F421" s="22" t="s">
        <v>265</v>
      </c>
    </row>
    <row r="422" spans="1:6">
      <c r="A422" s="28" t="s">
        <v>382</v>
      </c>
      <c r="B422" s="33" t="s">
        <v>444</v>
      </c>
      <c r="C422" s="6" t="s">
        <v>384</v>
      </c>
      <c r="D422" s="91" t="s">
        <v>124</v>
      </c>
      <c r="E422" s="94">
        <v>65</v>
      </c>
      <c r="F422" s="22" t="s">
        <v>265</v>
      </c>
    </row>
    <row r="423" spans="1:6">
      <c r="A423" s="28" t="s">
        <v>382</v>
      </c>
      <c r="B423" s="33" t="s">
        <v>397</v>
      </c>
      <c r="C423" s="6" t="s">
        <v>384</v>
      </c>
      <c r="D423" s="91" t="s">
        <v>124</v>
      </c>
      <c r="E423" s="94">
        <v>1.75</v>
      </c>
      <c r="F423" s="22" t="s">
        <v>265</v>
      </c>
    </row>
    <row r="424" spans="1:6">
      <c r="A424" s="28" t="s">
        <v>382</v>
      </c>
      <c r="B424" s="33" t="s">
        <v>445</v>
      </c>
      <c r="C424" s="6" t="s">
        <v>384</v>
      </c>
      <c r="D424" s="91" t="s">
        <v>124</v>
      </c>
      <c r="E424" s="94">
        <v>4</v>
      </c>
      <c r="F424" s="22" t="s">
        <v>265</v>
      </c>
    </row>
    <row r="425" ht="18" customHeight="1" spans="1:6">
      <c r="A425" s="28" t="s">
        <v>382</v>
      </c>
      <c r="B425" s="42" t="s">
        <v>453</v>
      </c>
      <c r="C425" s="6" t="s">
        <v>454</v>
      </c>
      <c r="D425" s="91" t="s">
        <v>124</v>
      </c>
      <c r="E425" s="91">
        <v>1300.52</v>
      </c>
      <c r="F425" s="22" t="s">
        <v>259</v>
      </c>
    </row>
    <row r="426" spans="1:6">
      <c r="A426" s="28" t="s">
        <v>382</v>
      </c>
      <c r="B426" s="33" t="s">
        <v>455</v>
      </c>
      <c r="C426" s="6" t="s">
        <v>454</v>
      </c>
      <c r="D426" s="91" t="s">
        <v>124</v>
      </c>
      <c r="E426" s="91">
        <v>3305.805</v>
      </c>
      <c r="F426" s="22" t="s">
        <v>259</v>
      </c>
    </row>
    <row r="427" ht="30" spans="1:6">
      <c r="A427" s="28" t="s">
        <v>382</v>
      </c>
      <c r="B427" s="42" t="s">
        <v>456</v>
      </c>
      <c r="C427" s="6" t="s">
        <v>454</v>
      </c>
      <c r="D427" s="91" t="s">
        <v>124</v>
      </c>
      <c r="E427" s="91">
        <v>2074.648</v>
      </c>
      <c r="F427" s="22" t="s">
        <v>259</v>
      </c>
    </row>
    <row r="428" spans="1:6">
      <c r="A428" s="28" t="s">
        <v>382</v>
      </c>
      <c r="B428" s="33" t="s">
        <v>457</v>
      </c>
      <c r="C428" s="6" t="s">
        <v>384</v>
      </c>
      <c r="D428" s="91" t="s">
        <v>124</v>
      </c>
      <c r="E428" s="94">
        <v>1600</v>
      </c>
      <c r="F428" s="22" t="s">
        <v>458</v>
      </c>
    </row>
    <row r="429" spans="1:6">
      <c r="A429" s="28" t="s">
        <v>382</v>
      </c>
      <c r="B429" s="33" t="s">
        <v>459</v>
      </c>
      <c r="C429" s="33" t="s">
        <v>460</v>
      </c>
      <c r="D429" s="87" t="s">
        <v>461</v>
      </c>
      <c r="E429" s="93">
        <v>2095.24</v>
      </c>
      <c r="F429" s="22" t="s">
        <v>259</v>
      </c>
    </row>
    <row r="430" spans="1:6">
      <c r="A430" s="28" t="s">
        <v>382</v>
      </c>
      <c r="B430" s="33" t="s">
        <v>462</v>
      </c>
      <c r="C430" s="33" t="s">
        <v>460</v>
      </c>
      <c r="D430" s="87" t="s">
        <v>461</v>
      </c>
      <c r="E430" s="93">
        <v>1619.05</v>
      </c>
      <c r="F430" s="22" t="s">
        <v>259</v>
      </c>
    </row>
    <row r="431" spans="1:6">
      <c r="A431" s="44"/>
      <c r="B431" s="37" t="s">
        <v>452</v>
      </c>
      <c r="D431" s="96"/>
      <c r="E431" s="97"/>
    </row>
    <row r="432" spans="1:6">
      <c r="A432" s="11" t="s">
        <v>1</v>
      </c>
      <c r="B432" s="12" t="s">
        <v>2</v>
      </c>
      <c r="C432" s="13" t="s">
        <v>3</v>
      </c>
      <c r="D432" s="14" t="s">
        <v>4</v>
      </c>
      <c r="E432" s="81" t="s">
        <v>5</v>
      </c>
      <c r="F432" s="6"/>
    </row>
    <row r="433" spans="1:6">
      <c r="A433" s="28" t="s">
        <v>452</v>
      </c>
      <c r="B433" s="33" t="s">
        <v>463</v>
      </c>
      <c r="C433" s="6" t="s">
        <v>384</v>
      </c>
      <c r="D433" s="91" t="s">
        <v>124</v>
      </c>
      <c r="E433" s="94">
        <v>18</v>
      </c>
      <c r="F433" s="22" t="s">
        <v>265</v>
      </c>
    </row>
    <row r="434" spans="1:6">
      <c r="A434" s="28" t="s">
        <v>452</v>
      </c>
      <c r="B434" s="33" t="s">
        <v>464</v>
      </c>
      <c r="C434" s="6" t="s">
        <v>384</v>
      </c>
      <c r="D434" s="91" t="s">
        <v>124</v>
      </c>
      <c r="E434" s="94">
        <v>5</v>
      </c>
      <c r="F434" s="22" t="s">
        <v>265</v>
      </c>
    </row>
    <row r="435" spans="1:6">
      <c r="A435" s="28" t="s">
        <v>452</v>
      </c>
      <c r="B435" s="33" t="s">
        <v>465</v>
      </c>
      <c r="C435" s="6" t="s">
        <v>384</v>
      </c>
      <c r="D435" s="91" t="s">
        <v>399</v>
      </c>
      <c r="E435" s="94">
        <v>10</v>
      </c>
      <c r="F435" s="22" t="s">
        <v>265</v>
      </c>
    </row>
    <row r="436" spans="1:6">
      <c r="A436" s="28" t="s">
        <v>452</v>
      </c>
      <c r="B436" s="33" t="s">
        <v>466</v>
      </c>
      <c r="C436" s="6" t="s">
        <v>384</v>
      </c>
      <c r="D436" s="91" t="s">
        <v>399</v>
      </c>
      <c r="E436" s="94">
        <v>12</v>
      </c>
      <c r="F436" s="22" t="s">
        <v>265</v>
      </c>
    </row>
    <row r="437" spans="1:6">
      <c r="A437" s="28" t="s">
        <v>452</v>
      </c>
      <c r="B437" s="33" t="s">
        <v>467</v>
      </c>
      <c r="C437" s="6" t="s">
        <v>384</v>
      </c>
      <c r="D437" s="91" t="s">
        <v>124</v>
      </c>
      <c r="E437" s="94">
        <v>2.5</v>
      </c>
      <c r="F437" s="22" t="s">
        <v>265</v>
      </c>
    </row>
    <row r="438" spans="1:6">
      <c r="A438" s="28" t="s">
        <v>452</v>
      </c>
      <c r="B438" s="33" t="s">
        <v>468</v>
      </c>
      <c r="C438" s="6" t="s">
        <v>384</v>
      </c>
      <c r="D438" s="91" t="s">
        <v>124</v>
      </c>
      <c r="E438" s="94">
        <v>10</v>
      </c>
      <c r="F438" s="22" t="s">
        <v>265</v>
      </c>
    </row>
    <row r="439" spans="1:6">
      <c r="A439" s="28" t="s">
        <v>452</v>
      </c>
      <c r="B439" s="33" t="s">
        <v>469</v>
      </c>
      <c r="C439" s="6" t="s">
        <v>384</v>
      </c>
      <c r="D439" s="91" t="s">
        <v>124</v>
      </c>
      <c r="E439" s="94">
        <v>12</v>
      </c>
      <c r="F439" s="22" t="s">
        <v>265</v>
      </c>
    </row>
    <row r="440" spans="1:6">
      <c r="A440" s="28" t="s">
        <v>452</v>
      </c>
      <c r="B440" s="33" t="s">
        <v>470</v>
      </c>
      <c r="C440" s="6" t="s">
        <v>384</v>
      </c>
      <c r="D440" s="91" t="s">
        <v>124</v>
      </c>
      <c r="E440" s="94">
        <v>8.5</v>
      </c>
      <c r="F440" s="22" t="s">
        <v>265</v>
      </c>
    </row>
    <row r="441" spans="1:6">
      <c r="A441" s="28" t="s">
        <v>452</v>
      </c>
      <c r="B441" s="33" t="s">
        <v>471</v>
      </c>
      <c r="C441" s="6" t="s">
        <v>384</v>
      </c>
      <c r="D441" s="91" t="s">
        <v>124</v>
      </c>
      <c r="E441" s="94">
        <v>1</v>
      </c>
      <c r="F441" s="22" t="s">
        <v>265</v>
      </c>
    </row>
    <row r="442" spans="1:6">
      <c r="A442" s="28" t="s">
        <v>452</v>
      </c>
      <c r="B442" s="33" t="s">
        <v>472</v>
      </c>
      <c r="C442" s="6" t="s">
        <v>384</v>
      </c>
      <c r="D442" s="91" t="s">
        <v>124</v>
      </c>
      <c r="E442" s="94">
        <v>2.1</v>
      </c>
      <c r="F442" s="22" t="s">
        <v>265</v>
      </c>
    </row>
    <row r="443" spans="1:6">
      <c r="A443" s="28" t="s">
        <v>452</v>
      </c>
      <c r="B443" s="33" t="s">
        <v>473</v>
      </c>
      <c r="C443" s="6" t="s">
        <v>384</v>
      </c>
      <c r="D443" s="91" t="s">
        <v>124</v>
      </c>
      <c r="E443" s="94">
        <v>0.75</v>
      </c>
      <c r="F443" s="22" t="s">
        <v>265</v>
      </c>
    </row>
    <row r="444" spans="1:6">
      <c r="A444" s="28" t="s">
        <v>452</v>
      </c>
      <c r="B444" s="33" t="s">
        <v>474</v>
      </c>
      <c r="C444" s="6" t="s">
        <v>384</v>
      </c>
      <c r="D444" s="91" t="s">
        <v>475</v>
      </c>
      <c r="E444" s="94">
        <v>190</v>
      </c>
      <c r="F444" s="22" t="s">
        <v>265</v>
      </c>
    </row>
    <row r="445" spans="1:6">
      <c r="A445" s="28" t="s">
        <v>452</v>
      </c>
      <c r="B445" s="33" t="s">
        <v>476</v>
      </c>
      <c r="C445" s="6" t="s">
        <v>384</v>
      </c>
      <c r="D445" s="91" t="s">
        <v>124</v>
      </c>
      <c r="E445" s="94">
        <v>90</v>
      </c>
      <c r="F445" s="22" t="s">
        <v>265</v>
      </c>
    </row>
    <row r="446" spans="1:6">
      <c r="A446" s="28" t="s">
        <v>452</v>
      </c>
      <c r="B446" s="33" t="s">
        <v>477</v>
      </c>
      <c r="C446" s="6" t="s">
        <v>384</v>
      </c>
      <c r="D446" s="91" t="s">
        <v>124</v>
      </c>
      <c r="E446" s="94">
        <v>6.5</v>
      </c>
      <c r="F446" s="22" t="s">
        <v>265</v>
      </c>
    </row>
    <row r="447" spans="1:6">
      <c r="A447" s="28" t="s">
        <v>452</v>
      </c>
      <c r="B447" s="33" t="s">
        <v>478</v>
      </c>
      <c r="C447" s="6" t="s">
        <v>384</v>
      </c>
      <c r="D447" s="91" t="s">
        <v>124</v>
      </c>
      <c r="E447" s="94">
        <v>5.5</v>
      </c>
      <c r="F447" s="22" t="s">
        <v>265</v>
      </c>
    </row>
    <row r="448" spans="1:6">
      <c r="A448" s="28" t="s">
        <v>452</v>
      </c>
      <c r="B448" s="33" t="s">
        <v>479</v>
      </c>
      <c r="C448" s="6" t="s">
        <v>384</v>
      </c>
      <c r="D448" s="91" t="s">
        <v>124</v>
      </c>
      <c r="E448" s="94">
        <v>16.25</v>
      </c>
      <c r="F448" s="22" t="s">
        <v>265</v>
      </c>
    </row>
    <row r="449" spans="1:6">
      <c r="A449" s="28" t="s">
        <v>452</v>
      </c>
      <c r="B449" s="33" t="s">
        <v>480</v>
      </c>
      <c r="C449" s="6" t="s">
        <v>384</v>
      </c>
      <c r="D449" s="91" t="s">
        <v>124</v>
      </c>
      <c r="E449" s="94">
        <v>0.3</v>
      </c>
      <c r="F449" s="22" t="s">
        <v>265</v>
      </c>
    </row>
    <row r="450" spans="1:6">
      <c r="A450" s="28" t="s">
        <v>452</v>
      </c>
      <c r="B450" s="33" t="s">
        <v>481</v>
      </c>
      <c r="C450" s="6" t="s">
        <v>384</v>
      </c>
      <c r="D450" s="91" t="s">
        <v>124</v>
      </c>
      <c r="E450" s="94">
        <v>1</v>
      </c>
      <c r="F450" s="22" t="s">
        <v>265</v>
      </c>
    </row>
    <row r="451" spans="1:6">
      <c r="A451" s="28" t="s">
        <v>452</v>
      </c>
      <c r="B451" s="33" t="s">
        <v>482</v>
      </c>
      <c r="C451" s="6" t="s">
        <v>384</v>
      </c>
      <c r="D451" s="91" t="s">
        <v>124</v>
      </c>
      <c r="E451" s="94">
        <v>4.5</v>
      </c>
      <c r="F451" s="22" t="s">
        <v>265</v>
      </c>
    </row>
    <row r="452" spans="1:6">
      <c r="A452" s="28" t="s">
        <v>452</v>
      </c>
      <c r="B452" s="33" t="s">
        <v>483</v>
      </c>
      <c r="C452" s="6" t="s">
        <v>384</v>
      </c>
      <c r="D452" s="91" t="s">
        <v>124</v>
      </c>
      <c r="E452" s="94">
        <v>11.5</v>
      </c>
      <c r="F452" s="22" t="s">
        <v>265</v>
      </c>
    </row>
    <row r="453" spans="1:6">
      <c r="A453" s="28" t="s">
        <v>452</v>
      </c>
      <c r="B453" s="33" t="s">
        <v>484</v>
      </c>
      <c r="C453" s="6" t="s">
        <v>384</v>
      </c>
      <c r="D453" s="91" t="s">
        <v>124</v>
      </c>
      <c r="E453" s="94">
        <v>8</v>
      </c>
      <c r="F453" s="22" t="s">
        <v>265</v>
      </c>
    </row>
    <row r="454" spans="1:6">
      <c r="A454" s="28" t="s">
        <v>452</v>
      </c>
      <c r="B454" s="33" t="s">
        <v>485</v>
      </c>
      <c r="C454" s="6" t="s">
        <v>384</v>
      </c>
      <c r="D454" s="91" t="s">
        <v>124</v>
      </c>
      <c r="E454" s="94">
        <v>15</v>
      </c>
      <c r="F454" s="22" t="s">
        <v>265</v>
      </c>
    </row>
    <row r="455" spans="1:6">
      <c r="A455" s="28" t="s">
        <v>452</v>
      </c>
      <c r="B455" s="33" t="s">
        <v>477</v>
      </c>
      <c r="C455" s="6" t="s">
        <v>384</v>
      </c>
      <c r="D455" s="91" t="s">
        <v>124</v>
      </c>
      <c r="E455" s="94">
        <v>2.5</v>
      </c>
      <c r="F455" s="22" t="s">
        <v>265</v>
      </c>
    </row>
    <row r="456" spans="1:6">
      <c r="A456" s="28" t="s">
        <v>452</v>
      </c>
      <c r="B456" s="33" t="s">
        <v>486</v>
      </c>
      <c r="C456" s="6" t="s">
        <v>384</v>
      </c>
      <c r="D456" s="91" t="s">
        <v>124</v>
      </c>
      <c r="E456" s="94">
        <v>2</v>
      </c>
      <c r="F456" s="22" t="s">
        <v>265</v>
      </c>
    </row>
    <row r="457" spans="1:6">
      <c r="A457" s="28" t="s">
        <v>452</v>
      </c>
      <c r="B457" s="33" t="s">
        <v>487</v>
      </c>
      <c r="C457" s="6" t="s">
        <v>384</v>
      </c>
      <c r="D457" s="91" t="s">
        <v>124</v>
      </c>
      <c r="E457" s="94">
        <v>3.5</v>
      </c>
      <c r="F457" s="22" t="s">
        <v>265</v>
      </c>
    </row>
    <row r="458" spans="1:6">
      <c r="A458" s="28" t="s">
        <v>452</v>
      </c>
      <c r="B458" s="33" t="s">
        <v>488</v>
      </c>
      <c r="C458" s="6" t="s">
        <v>384</v>
      </c>
      <c r="D458" s="91" t="s">
        <v>124</v>
      </c>
      <c r="E458" s="94">
        <v>9.5</v>
      </c>
      <c r="F458" s="22" t="s">
        <v>265</v>
      </c>
    </row>
    <row r="459" spans="1:6">
      <c r="A459" s="28" t="s">
        <v>452</v>
      </c>
      <c r="B459" s="33" t="s">
        <v>489</v>
      </c>
      <c r="C459" s="6" t="s">
        <v>384</v>
      </c>
      <c r="D459" s="91" t="s">
        <v>124</v>
      </c>
      <c r="E459" s="94">
        <v>0.6</v>
      </c>
      <c r="F459" s="22" t="s">
        <v>265</v>
      </c>
    </row>
    <row r="460" spans="1:6">
      <c r="A460" s="28" t="s">
        <v>452</v>
      </c>
      <c r="B460" s="33" t="s">
        <v>490</v>
      </c>
      <c r="C460" s="6" t="s">
        <v>384</v>
      </c>
      <c r="D460" s="91" t="s">
        <v>124</v>
      </c>
      <c r="E460" s="94">
        <v>32.5</v>
      </c>
      <c r="F460" s="22" t="s">
        <v>265</v>
      </c>
    </row>
    <row r="461" spans="1:6">
      <c r="A461" s="28" t="s">
        <v>452</v>
      </c>
      <c r="B461" s="33" t="s">
        <v>491</v>
      </c>
      <c r="C461" s="6" t="s">
        <v>384</v>
      </c>
      <c r="D461" s="91" t="s">
        <v>124</v>
      </c>
      <c r="E461" s="94">
        <v>3</v>
      </c>
      <c r="F461" s="22" t="s">
        <v>265</v>
      </c>
    </row>
    <row r="462" spans="1:6">
      <c r="A462" s="28" t="s">
        <v>452</v>
      </c>
      <c r="B462" s="33" t="s">
        <v>492</v>
      </c>
      <c r="C462" s="6" t="s">
        <v>384</v>
      </c>
      <c r="D462" s="91" t="s">
        <v>124</v>
      </c>
      <c r="E462" s="94">
        <v>3</v>
      </c>
      <c r="F462" s="22" t="s">
        <v>265</v>
      </c>
    </row>
    <row r="463" spans="1:6">
      <c r="A463" s="28" t="s">
        <v>452</v>
      </c>
      <c r="B463" s="33" t="s">
        <v>493</v>
      </c>
      <c r="C463" s="6" t="s">
        <v>384</v>
      </c>
      <c r="D463" s="91" t="s">
        <v>124</v>
      </c>
      <c r="E463" s="94">
        <v>9.5</v>
      </c>
      <c r="F463" s="22" t="s">
        <v>265</v>
      </c>
    </row>
    <row r="464" spans="1:6">
      <c r="A464" s="28" t="s">
        <v>452</v>
      </c>
      <c r="B464" s="33" t="s">
        <v>494</v>
      </c>
      <c r="C464" s="6" t="s">
        <v>384</v>
      </c>
      <c r="D464" s="91" t="s">
        <v>124</v>
      </c>
      <c r="E464" s="94">
        <v>24</v>
      </c>
      <c r="F464" s="22" t="s">
        <v>265</v>
      </c>
    </row>
    <row r="465" spans="1:6">
      <c r="A465" s="28" t="s">
        <v>452</v>
      </c>
      <c r="B465" s="33" t="s">
        <v>495</v>
      </c>
      <c r="C465" s="6" t="s">
        <v>384</v>
      </c>
      <c r="D465" s="91" t="s">
        <v>124</v>
      </c>
      <c r="E465" s="94">
        <v>6</v>
      </c>
      <c r="F465" s="22" t="s">
        <v>265</v>
      </c>
    </row>
    <row r="466" spans="1:6">
      <c r="A466" s="28" t="s">
        <v>452</v>
      </c>
      <c r="B466" s="33" t="s">
        <v>429</v>
      </c>
      <c r="C466" s="6" t="s">
        <v>384</v>
      </c>
      <c r="D466" s="91" t="s">
        <v>399</v>
      </c>
      <c r="E466" s="94">
        <v>1.5</v>
      </c>
      <c r="F466" s="22" t="s">
        <v>265</v>
      </c>
    </row>
    <row r="467" spans="1:6">
      <c r="A467" s="28" t="s">
        <v>452</v>
      </c>
      <c r="B467" s="33" t="s">
        <v>496</v>
      </c>
      <c r="C467" s="6" t="s">
        <v>384</v>
      </c>
      <c r="D467" s="91" t="s">
        <v>124</v>
      </c>
      <c r="E467" s="94">
        <v>7.5</v>
      </c>
      <c r="F467" s="22" t="s">
        <v>265</v>
      </c>
    </row>
    <row r="468" spans="1:6">
      <c r="A468" s="28" t="s">
        <v>452</v>
      </c>
      <c r="B468" s="33" t="s">
        <v>390</v>
      </c>
      <c r="C468" s="6" t="s">
        <v>384</v>
      </c>
      <c r="D468" s="91" t="s">
        <v>124</v>
      </c>
      <c r="E468" s="94">
        <v>5</v>
      </c>
      <c r="F468" s="22" t="s">
        <v>265</v>
      </c>
    </row>
    <row r="469" spans="1:6">
      <c r="A469" s="28" t="s">
        <v>452</v>
      </c>
      <c r="B469" s="33" t="s">
        <v>389</v>
      </c>
      <c r="C469" s="6" t="s">
        <v>384</v>
      </c>
      <c r="D469" s="91" t="s">
        <v>124</v>
      </c>
      <c r="E469" s="94">
        <v>8</v>
      </c>
      <c r="F469" s="22" t="s">
        <v>265</v>
      </c>
    </row>
    <row r="470" spans="1:6">
      <c r="A470" s="28" t="s">
        <v>452</v>
      </c>
      <c r="B470" s="33" t="s">
        <v>497</v>
      </c>
      <c r="C470" s="6" t="s">
        <v>384</v>
      </c>
      <c r="D470" s="91" t="s">
        <v>124</v>
      </c>
      <c r="E470" s="94">
        <v>6</v>
      </c>
      <c r="F470" s="22" t="s">
        <v>265</v>
      </c>
    </row>
    <row r="471" spans="1:6">
      <c r="A471" s="28" t="s">
        <v>452</v>
      </c>
      <c r="B471" s="33" t="s">
        <v>498</v>
      </c>
      <c r="C471" s="6" t="s">
        <v>384</v>
      </c>
      <c r="D471" s="91" t="s">
        <v>124</v>
      </c>
      <c r="E471" s="94">
        <v>105</v>
      </c>
      <c r="F471" s="22" t="s">
        <v>265</v>
      </c>
    </row>
    <row r="472" spans="1:6">
      <c r="A472" s="28" t="s">
        <v>452</v>
      </c>
      <c r="B472" s="33" t="s">
        <v>499</v>
      </c>
      <c r="C472" s="6" t="s">
        <v>384</v>
      </c>
      <c r="D472" s="91" t="s">
        <v>399</v>
      </c>
      <c r="E472" s="94">
        <v>6</v>
      </c>
      <c r="F472" s="22" t="s">
        <v>265</v>
      </c>
    </row>
    <row r="473" spans="1:6">
      <c r="A473" s="28" t="s">
        <v>452</v>
      </c>
      <c r="B473" s="33" t="s">
        <v>402</v>
      </c>
      <c r="C473" s="6" t="s">
        <v>384</v>
      </c>
      <c r="D473" s="91" t="s">
        <v>124</v>
      </c>
      <c r="E473" s="94">
        <v>1.5</v>
      </c>
      <c r="F473" s="22" t="s">
        <v>265</v>
      </c>
    </row>
    <row r="474" spans="1:6">
      <c r="A474" s="28" t="s">
        <v>452</v>
      </c>
      <c r="B474" s="33" t="s">
        <v>500</v>
      </c>
      <c r="C474" s="6" t="s">
        <v>384</v>
      </c>
      <c r="D474" s="91" t="s">
        <v>124</v>
      </c>
      <c r="E474" s="94">
        <v>10</v>
      </c>
      <c r="F474" s="22" t="s">
        <v>265</v>
      </c>
    </row>
    <row r="475" spans="1:6">
      <c r="A475" s="28" t="s">
        <v>452</v>
      </c>
      <c r="B475" s="33" t="s">
        <v>501</v>
      </c>
      <c r="C475" s="6" t="s">
        <v>384</v>
      </c>
      <c r="D475" s="91" t="s">
        <v>124</v>
      </c>
      <c r="E475" s="94">
        <v>10</v>
      </c>
      <c r="F475" s="22" t="s">
        <v>265</v>
      </c>
    </row>
    <row r="476" spans="1:6">
      <c r="A476" s="28" t="s">
        <v>452</v>
      </c>
      <c r="B476" s="33" t="s">
        <v>502</v>
      </c>
      <c r="C476" s="6" t="s">
        <v>384</v>
      </c>
      <c r="D476" s="91" t="s">
        <v>124</v>
      </c>
      <c r="E476" s="94">
        <v>10</v>
      </c>
      <c r="F476" s="22" t="s">
        <v>265</v>
      </c>
    </row>
    <row r="477" spans="1:6">
      <c r="A477" s="28" t="s">
        <v>452</v>
      </c>
      <c r="B477" s="33" t="s">
        <v>503</v>
      </c>
      <c r="C477" s="6" t="s">
        <v>384</v>
      </c>
      <c r="D477" s="91" t="s">
        <v>124</v>
      </c>
      <c r="E477" s="94">
        <v>395</v>
      </c>
      <c r="F477" s="22" t="s">
        <v>265</v>
      </c>
    </row>
    <row r="478" spans="1:6">
      <c r="A478" s="28" t="s">
        <v>452</v>
      </c>
      <c r="B478" s="33" t="s">
        <v>504</v>
      </c>
      <c r="C478" s="6" t="s">
        <v>384</v>
      </c>
      <c r="D478" s="91" t="s">
        <v>124</v>
      </c>
      <c r="E478" s="94">
        <v>75</v>
      </c>
      <c r="F478" s="22" t="s">
        <v>265</v>
      </c>
    </row>
    <row r="479" spans="1:6">
      <c r="A479" s="28" t="s">
        <v>452</v>
      </c>
      <c r="B479" s="33" t="s">
        <v>505</v>
      </c>
      <c r="C479" s="6" t="s">
        <v>384</v>
      </c>
      <c r="D479" s="91" t="s">
        <v>408</v>
      </c>
      <c r="E479" s="94">
        <v>2.75</v>
      </c>
      <c r="F479" s="22" t="s">
        <v>265</v>
      </c>
    </row>
    <row r="480" spans="1:6">
      <c r="A480" s="28" t="s">
        <v>452</v>
      </c>
      <c r="B480" s="33" t="s">
        <v>506</v>
      </c>
      <c r="C480" s="6" t="s">
        <v>384</v>
      </c>
      <c r="D480" s="91" t="s">
        <v>124</v>
      </c>
      <c r="E480" s="94">
        <v>0.5</v>
      </c>
      <c r="F480" s="22" t="s">
        <v>265</v>
      </c>
    </row>
    <row r="481" spans="1:6">
      <c r="A481" s="28" t="s">
        <v>452</v>
      </c>
      <c r="B481" s="33" t="s">
        <v>507</v>
      </c>
      <c r="C481" s="6" t="s">
        <v>384</v>
      </c>
      <c r="D481" s="91" t="s">
        <v>124</v>
      </c>
      <c r="E481" s="94">
        <v>11</v>
      </c>
      <c r="F481" s="22" t="s">
        <v>265</v>
      </c>
    </row>
    <row r="482" spans="1:6">
      <c r="A482" s="28" t="s">
        <v>452</v>
      </c>
      <c r="B482" s="33" t="s">
        <v>508</v>
      </c>
      <c r="C482" s="6" t="s">
        <v>384</v>
      </c>
      <c r="D482" s="91" t="s">
        <v>124</v>
      </c>
      <c r="E482" s="94">
        <v>3.5</v>
      </c>
      <c r="F482" s="22" t="s">
        <v>265</v>
      </c>
    </row>
    <row r="483" spans="1:6">
      <c r="A483" s="28" t="s">
        <v>452</v>
      </c>
      <c r="B483" s="33" t="s">
        <v>509</v>
      </c>
      <c r="C483" s="6" t="s">
        <v>384</v>
      </c>
      <c r="D483" s="91" t="s">
        <v>124</v>
      </c>
      <c r="E483" s="94">
        <v>42</v>
      </c>
      <c r="F483" s="22" t="s">
        <v>265</v>
      </c>
    </row>
    <row r="484" spans="1:6">
      <c r="A484" s="28" t="s">
        <v>452</v>
      </c>
      <c r="B484" s="33" t="s">
        <v>485</v>
      </c>
      <c r="C484" s="6" t="s">
        <v>384</v>
      </c>
      <c r="D484" s="91" t="s">
        <v>124</v>
      </c>
      <c r="E484" s="94">
        <v>15</v>
      </c>
      <c r="F484" s="22" t="s">
        <v>265</v>
      </c>
    </row>
    <row r="485" spans="1:6">
      <c r="A485" s="28" t="s">
        <v>452</v>
      </c>
      <c r="B485" s="33" t="s">
        <v>510</v>
      </c>
      <c r="C485" s="6" t="s">
        <v>384</v>
      </c>
      <c r="D485" s="91" t="s">
        <v>124</v>
      </c>
      <c r="E485" s="94">
        <v>3.75</v>
      </c>
      <c r="F485" s="22" t="s">
        <v>265</v>
      </c>
    </row>
    <row r="486" spans="1:6">
      <c r="A486" s="28" t="s">
        <v>452</v>
      </c>
      <c r="B486" s="33" t="s">
        <v>511</v>
      </c>
      <c r="C486" s="6" t="s">
        <v>384</v>
      </c>
      <c r="D486" s="91" t="s">
        <v>124</v>
      </c>
      <c r="E486" s="94">
        <v>36</v>
      </c>
      <c r="F486" s="22" t="s">
        <v>265</v>
      </c>
    </row>
    <row r="487" spans="1:6">
      <c r="A487" s="28" t="s">
        <v>452</v>
      </c>
      <c r="B487" s="33" t="s">
        <v>512</v>
      </c>
      <c r="C487" s="6" t="s">
        <v>384</v>
      </c>
      <c r="D487" s="91" t="s">
        <v>124</v>
      </c>
      <c r="E487" s="94">
        <v>26</v>
      </c>
      <c r="F487" s="22" t="s">
        <v>265</v>
      </c>
    </row>
    <row r="488" spans="1:6">
      <c r="A488" s="28" t="s">
        <v>452</v>
      </c>
      <c r="B488" s="33" t="s">
        <v>496</v>
      </c>
      <c r="C488" s="6" t="s">
        <v>384</v>
      </c>
      <c r="D488" s="91" t="s">
        <v>124</v>
      </c>
      <c r="E488" s="94">
        <v>1.25</v>
      </c>
      <c r="F488" s="22" t="s">
        <v>265</v>
      </c>
    </row>
    <row r="489" spans="1:6">
      <c r="A489" s="28" t="s">
        <v>452</v>
      </c>
      <c r="B489" s="33" t="s">
        <v>513</v>
      </c>
      <c r="C489" s="6" t="s">
        <v>384</v>
      </c>
      <c r="D489" s="91" t="s">
        <v>124</v>
      </c>
      <c r="E489" s="94">
        <v>10.5</v>
      </c>
      <c r="F489" s="22" t="s">
        <v>265</v>
      </c>
    </row>
    <row r="490" spans="1:6">
      <c r="A490" s="28" t="s">
        <v>452</v>
      </c>
      <c r="B490" s="33" t="s">
        <v>514</v>
      </c>
      <c r="C490" s="6" t="s">
        <v>384</v>
      </c>
      <c r="D490" s="91" t="s">
        <v>124</v>
      </c>
      <c r="E490" s="94">
        <v>25</v>
      </c>
      <c r="F490" s="22" t="s">
        <v>265</v>
      </c>
    </row>
    <row r="491" spans="1:6">
      <c r="B491" s="7" t="s">
        <v>515</v>
      </c>
    </row>
    <row r="492" spans="1:6">
      <c r="A492" s="11" t="s">
        <v>1</v>
      </c>
      <c r="B492" s="12" t="s">
        <v>2</v>
      </c>
      <c r="C492" s="13" t="s">
        <v>3</v>
      </c>
      <c r="D492" s="14" t="s">
        <v>4</v>
      </c>
      <c r="E492" s="81" t="s">
        <v>5</v>
      </c>
      <c r="F492" s="6"/>
    </row>
    <row r="493" spans="1:6">
      <c r="A493" s="28" t="s">
        <v>515</v>
      </c>
      <c r="B493" s="33" t="s">
        <v>516</v>
      </c>
      <c r="C493" s="6" t="s">
        <v>517</v>
      </c>
      <c r="D493" s="91" t="s">
        <v>124</v>
      </c>
      <c r="E493" s="94">
        <v>12</v>
      </c>
      <c r="F493" s="22" t="s">
        <v>265</v>
      </c>
    </row>
    <row r="494" spans="1:6">
      <c r="A494" s="28" t="s">
        <v>515</v>
      </c>
      <c r="B494" s="33" t="s">
        <v>518</v>
      </c>
      <c r="C494" s="6" t="s">
        <v>517</v>
      </c>
      <c r="D494" s="91" t="s">
        <v>399</v>
      </c>
      <c r="E494" s="94">
        <v>22</v>
      </c>
      <c r="F494" s="22" t="s">
        <v>265</v>
      </c>
    </row>
    <row r="495" spans="1:6">
      <c r="A495" s="28" t="s">
        <v>515</v>
      </c>
      <c r="B495" s="33" t="s">
        <v>519</v>
      </c>
      <c r="C495" s="6" t="s">
        <v>517</v>
      </c>
      <c r="D495" s="91" t="s">
        <v>399</v>
      </c>
      <c r="E495" s="94">
        <v>36</v>
      </c>
      <c r="F495" s="22" t="s">
        <v>265</v>
      </c>
    </row>
    <row r="496" spans="1:6">
      <c r="A496" s="28" t="s">
        <v>515</v>
      </c>
      <c r="B496" s="33" t="s">
        <v>520</v>
      </c>
      <c r="C496" s="6" t="s">
        <v>517</v>
      </c>
      <c r="D496" s="91" t="s">
        <v>399</v>
      </c>
      <c r="E496" s="94">
        <v>8.5</v>
      </c>
      <c r="F496" s="22" t="s">
        <v>265</v>
      </c>
    </row>
    <row r="497" spans="1:6">
      <c r="A497" s="28" t="s">
        <v>515</v>
      </c>
      <c r="B497" s="33" t="s">
        <v>521</v>
      </c>
      <c r="C497" s="6" t="s">
        <v>517</v>
      </c>
      <c r="D497" s="91" t="s">
        <v>522</v>
      </c>
      <c r="E497" s="94">
        <v>235</v>
      </c>
      <c r="F497" s="22" t="s">
        <v>265</v>
      </c>
    </row>
    <row r="498" spans="1:6">
      <c r="A498" s="28" t="s">
        <v>515</v>
      </c>
      <c r="B498" s="33" t="s">
        <v>523</v>
      </c>
      <c r="C498" s="6" t="s">
        <v>517</v>
      </c>
      <c r="D498" s="91" t="s">
        <v>524</v>
      </c>
      <c r="E498" s="94">
        <v>18</v>
      </c>
      <c r="F498" s="22" t="s">
        <v>265</v>
      </c>
    </row>
    <row r="499" spans="1:6">
      <c r="A499" s="28" t="s">
        <v>515</v>
      </c>
      <c r="B499" s="33" t="s">
        <v>525</v>
      </c>
      <c r="C499" s="6" t="s">
        <v>517</v>
      </c>
      <c r="D499" s="91" t="s">
        <v>124</v>
      </c>
      <c r="E499" s="94">
        <v>75</v>
      </c>
      <c r="F499" s="22" t="s">
        <v>265</v>
      </c>
    </row>
    <row r="500" spans="1:6">
      <c r="A500" s="28" t="s">
        <v>515</v>
      </c>
      <c r="B500" s="33" t="s">
        <v>526</v>
      </c>
      <c r="C500" s="6" t="s">
        <v>517</v>
      </c>
      <c r="D500" s="91" t="s">
        <v>524</v>
      </c>
      <c r="E500" s="94">
        <v>20</v>
      </c>
      <c r="F500" s="22" t="s">
        <v>265</v>
      </c>
    </row>
    <row r="501" spans="1:6">
      <c r="A501" s="28" t="s">
        <v>515</v>
      </c>
      <c r="B501" s="33" t="s">
        <v>527</v>
      </c>
      <c r="C501" s="6" t="s">
        <v>517</v>
      </c>
      <c r="D501" s="91" t="s">
        <v>124</v>
      </c>
      <c r="E501" s="94">
        <v>18</v>
      </c>
      <c r="F501" s="22" t="s">
        <v>265</v>
      </c>
    </row>
    <row r="502" spans="1:6">
      <c r="A502" s="28" t="s">
        <v>515</v>
      </c>
      <c r="B502" s="33" t="s">
        <v>528</v>
      </c>
      <c r="C502" s="6" t="s">
        <v>517</v>
      </c>
      <c r="D502" s="91" t="s">
        <v>399</v>
      </c>
      <c r="E502" s="94">
        <v>275</v>
      </c>
      <c r="F502" s="22" t="s">
        <v>265</v>
      </c>
    </row>
    <row r="503" spans="1:6">
      <c r="A503" s="28" t="s">
        <v>515</v>
      </c>
      <c r="B503" s="33" t="s">
        <v>529</v>
      </c>
      <c r="C503" s="6" t="s">
        <v>517</v>
      </c>
      <c r="D503" s="91" t="s">
        <v>124</v>
      </c>
      <c r="E503" s="94">
        <v>38</v>
      </c>
      <c r="F503" s="22" t="s">
        <v>265</v>
      </c>
    </row>
    <row r="504" spans="1:6">
      <c r="A504" s="28" t="s">
        <v>515</v>
      </c>
      <c r="B504" s="33" t="s">
        <v>530</v>
      </c>
      <c r="C504" s="6" t="s">
        <v>517</v>
      </c>
      <c r="D504" s="91" t="s">
        <v>124</v>
      </c>
      <c r="E504" s="94">
        <v>2</v>
      </c>
      <c r="F504" s="22" t="s">
        <v>265</v>
      </c>
    </row>
    <row r="505" spans="1:6">
      <c r="A505" s="28" t="s">
        <v>515</v>
      </c>
      <c r="B505" s="33" t="s">
        <v>531</v>
      </c>
      <c r="C505" s="6" t="s">
        <v>517</v>
      </c>
      <c r="D505" s="91" t="s">
        <v>532</v>
      </c>
      <c r="E505" s="94">
        <v>6.5</v>
      </c>
      <c r="F505" s="22" t="s">
        <v>265</v>
      </c>
    </row>
    <row r="506" spans="1:6">
      <c r="A506" s="28" t="s">
        <v>515</v>
      </c>
      <c r="B506" s="33" t="s">
        <v>533</v>
      </c>
      <c r="C506" s="6" t="s">
        <v>517</v>
      </c>
      <c r="D506" s="91" t="s">
        <v>124</v>
      </c>
      <c r="E506" s="94">
        <v>1</v>
      </c>
      <c r="F506" s="22" t="s">
        <v>265</v>
      </c>
    </row>
    <row r="507" spans="1:6">
      <c r="A507" s="28" t="s">
        <v>515</v>
      </c>
      <c r="B507" s="33" t="s">
        <v>534</v>
      </c>
      <c r="C507" s="6" t="s">
        <v>517</v>
      </c>
      <c r="D507" s="91" t="s">
        <v>524</v>
      </c>
      <c r="E507" s="94">
        <v>68</v>
      </c>
      <c r="F507" s="22" t="s">
        <v>265</v>
      </c>
    </row>
    <row r="508" spans="1:6">
      <c r="A508" s="28" t="s">
        <v>515</v>
      </c>
      <c r="B508" s="33" t="s">
        <v>530</v>
      </c>
      <c r="C508" s="6" t="s">
        <v>517</v>
      </c>
      <c r="D508" s="91" t="s">
        <v>399</v>
      </c>
      <c r="E508" s="94">
        <v>24</v>
      </c>
      <c r="F508" s="22" t="s">
        <v>265</v>
      </c>
    </row>
    <row r="509" spans="1:6">
      <c r="A509" s="28" t="s">
        <v>515</v>
      </c>
      <c r="B509" s="33" t="s">
        <v>535</v>
      </c>
      <c r="C509" s="6" t="s">
        <v>517</v>
      </c>
      <c r="D509" s="91" t="s">
        <v>124</v>
      </c>
      <c r="E509" s="94">
        <v>22</v>
      </c>
      <c r="F509" s="22" t="s">
        <v>265</v>
      </c>
    </row>
    <row r="510" spans="1:6">
      <c r="A510" s="28" t="s">
        <v>515</v>
      </c>
      <c r="B510" s="33" t="s">
        <v>536</v>
      </c>
      <c r="C510" s="6" t="s">
        <v>517</v>
      </c>
      <c r="D510" s="91" t="s">
        <v>399</v>
      </c>
      <c r="E510" s="94">
        <v>32</v>
      </c>
      <c r="F510" s="22" t="s">
        <v>265</v>
      </c>
    </row>
    <row r="511" spans="1:6">
      <c r="A511" s="28" t="s">
        <v>515</v>
      </c>
      <c r="B511" s="33" t="s">
        <v>537</v>
      </c>
      <c r="C511" s="6" t="s">
        <v>517</v>
      </c>
      <c r="D511" s="91" t="s">
        <v>399</v>
      </c>
      <c r="E511" s="94">
        <v>6</v>
      </c>
      <c r="F511" s="22" t="s">
        <v>265</v>
      </c>
    </row>
    <row r="512" spans="1:6">
      <c r="A512" s="28" t="s">
        <v>515</v>
      </c>
      <c r="B512" s="33" t="s">
        <v>538</v>
      </c>
      <c r="C512" s="6" t="s">
        <v>517</v>
      </c>
      <c r="D512" s="91" t="s">
        <v>399</v>
      </c>
      <c r="E512" s="94">
        <v>18</v>
      </c>
      <c r="F512" s="22" t="s">
        <v>265</v>
      </c>
    </row>
    <row r="513" spans="1:6">
      <c r="A513" s="28" t="s">
        <v>515</v>
      </c>
      <c r="B513" s="33" t="s">
        <v>539</v>
      </c>
      <c r="C513" s="6" t="s">
        <v>517</v>
      </c>
      <c r="D513" s="91" t="s">
        <v>399</v>
      </c>
      <c r="E513" s="94">
        <v>2.5</v>
      </c>
      <c r="F513" s="22" t="s">
        <v>265</v>
      </c>
    </row>
    <row r="514" spans="1:6">
      <c r="A514" s="28" t="s">
        <v>515</v>
      </c>
      <c r="B514" s="33" t="s">
        <v>540</v>
      </c>
      <c r="C514" s="6" t="s">
        <v>517</v>
      </c>
      <c r="D514" s="91" t="s">
        <v>399</v>
      </c>
      <c r="E514" s="94">
        <v>6.5</v>
      </c>
      <c r="F514" s="22" t="s">
        <v>265</v>
      </c>
    </row>
    <row r="515" spans="1:6">
      <c r="A515" s="28" t="s">
        <v>515</v>
      </c>
      <c r="B515" s="33" t="s">
        <v>541</v>
      </c>
      <c r="C515" s="6" t="s">
        <v>517</v>
      </c>
      <c r="D515" s="91" t="s">
        <v>124</v>
      </c>
      <c r="E515" s="94">
        <v>13</v>
      </c>
      <c r="F515" s="22" t="s">
        <v>265</v>
      </c>
    </row>
    <row r="516" spans="1:6">
      <c r="A516" s="28" t="s">
        <v>515</v>
      </c>
      <c r="B516" s="33" t="s">
        <v>541</v>
      </c>
      <c r="C516" s="6" t="s">
        <v>517</v>
      </c>
      <c r="D516" s="91" t="s">
        <v>399</v>
      </c>
      <c r="E516" s="94">
        <v>13</v>
      </c>
      <c r="F516" s="22" t="s">
        <v>265</v>
      </c>
    </row>
    <row r="517" spans="1:6">
      <c r="A517" s="28" t="s">
        <v>515</v>
      </c>
      <c r="B517" s="33" t="s">
        <v>542</v>
      </c>
      <c r="C517" s="6" t="s">
        <v>517</v>
      </c>
      <c r="D517" s="91" t="s">
        <v>399</v>
      </c>
      <c r="E517" s="94">
        <v>3</v>
      </c>
      <c r="F517" s="22" t="s">
        <v>265</v>
      </c>
    </row>
    <row r="518" spans="1:6">
      <c r="A518" s="28" t="s">
        <v>515</v>
      </c>
      <c r="B518" s="33" t="s">
        <v>543</v>
      </c>
      <c r="C518" s="6" t="s">
        <v>517</v>
      </c>
      <c r="D518" s="91" t="s">
        <v>399</v>
      </c>
      <c r="E518" s="94">
        <v>18</v>
      </c>
      <c r="F518" s="22" t="s">
        <v>265</v>
      </c>
    </row>
    <row r="519" spans="1:6">
      <c r="A519" s="28" t="s">
        <v>515</v>
      </c>
      <c r="B519" s="33" t="s">
        <v>537</v>
      </c>
      <c r="C519" s="6" t="s">
        <v>517</v>
      </c>
      <c r="D519" s="91" t="s">
        <v>399</v>
      </c>
      <c r="E519" s="94">
        <v>6</v>
      </c>
      <c r="F519" s="22" t="s">
        <v>265</v>
      </c>
    </row>
    <row r="520" spans="1:6">
      <c r="A520" s="28" t="s">
        <v>515</v>
      </c>
      <c r="B520" s="33" t="s">
        <v>544</v>
      </c>
      <c r="C520" s="6" t="s">
        <v>517</v>
      </c>
      <c r="D520" s="91" t="s">
        <v>124</v>
      </c>
      <c r="E520" s="94">
        <v>2</v>
      </c>
      <c r="F520" s="22" t="s">
        <v>265</v>
      </c>
    </row>
    <row r="521" spans="1:6">
      <c r="A521" s="28" t="s">
        <v>515</v>
      </c>
      <c r="B521" s="33" t="s">
        <v>545</v>
      </c>
      <c r="C521" s="6" t="s">
        <v>517</v>
      </c>
      <c r="D521" s="91" t="s">
        <v>124</v>
      </c>
      <c r="E521" s="94">
        <v>11</v>
      </c>
      <c r="F521" s="22" t="s">
        <v>265</v>
      </c>
    </row>
    <row r="522" spans="1:6">
      <c r="A522" s="28" t="s">
        <v>515</v>
      </c>
      <c r="B522" s="33" t="s">
        <v>546</v>
      </c>
      <c r="C522" s="6" t="s">
        <v>517</v>
      </c>
      <c r="D522" s="91" t="s">
        <v>124</v>
      </c>
      <c r="E522" s="94">
        <v>105</v>
      </c>
      <c r="F522" s="22" t="s">
        <v>265</v>
      </c>
    </row>
    <row r="523" spans="1:6">
      <c r="A523" s="28" t="s">
        <v>515</v>
      </c>
      <c r="B523" s="33" t="s">
        <v>519</v>
      </c>
      <c r="C523" s="6" t="s">
        <v>517</v>
      </c>
      <c r="D523" s="91" t="s">
        <v>547</v>
      </c>
      <c r="E523" s="94">
        <v>3</v>
      </c>
      <c r="F523" s="22" t="s">
        <v>265</v>
      </c>
    </row>
    <row r="524" spans="1:6">
      <c r="A524" s="28" t="s">
        <v>515</v>
      </c>
      <c r="B524" s="33" t="s">
        <v>530</v>
      </c>
      <c r="C524" s="6" t="s">
        <v>517</v>
      </c>
      <c r="D524" s="91" t="s">
        <v>399</v>
      </c>
      <c r="E524" s="94">
        <v>24</v>
      </c>
      <c r="F524" s="22" t="s">
        <v>265</v>
      </c>
    </row>
    <row r="525" spans="1:6">
      <c r="A525" s="28" t="s">
        <v>515</v>
      </c>
      <c r="B525" s="33" t="s">
        <v>548</v>
      </c>
      <c r="C525" s="6" t="s">
        <v>517</v>
      </c>
      <c r="D525" s="91" t="s">
        <v>399</v>
      </c>
      <c r="E525" s="94">
        <v>3.75</v>
      </c>
      <c r="F525" s="22" t="s">
        <v>265</v>
      </c>
    </row>
    <row r="526" spans="1:6">
      <c r="A526" s="28" t="s">
        <v>515</v>
      </c>
      <c r="B526" s="33" t="s">
        <v>540</v>
      </c>
      <c r="C526" s="6" t="s">
        <v>517</v>
      </c>
      <c r="D526" s="91" t="s">
        <v>399</v>
      </c>
      <c r="E526" s="94">
        <v>5.75</v>
      </c>
      <c r="F526" s="22" t="s">
        <v>265</v>
      </c>
    </row>
    <row r="527" spans="1:6">
      <c r="A527" s="28" t="s">
        <v>515</v>
      </c>
      <c r="B527" s="33" t="s">
        <v>534</v>
      </c>
      <c r="C527" s="6" t="s">
        <v>517</v>
      </c>
      <c r="D527" s="91" t="s">
        <v>524</v>
      </c>
      <c r="E527" s="94">
        <v>68</v>
      </c>
      <c r="F527" s="22" t="s">
        <v>265</v>
      </c>
    </row>
    <row r="528" spans="1:6">
      <c r="A528" s="28" t="s">
        <v>515</v>
      </c>
      <c r="B528" s="33" t="s">
        <v>549</v>
      </c>
      <c r="C528" s="6" t="s">
        <v>517</v>
      </c>
      <c r="D528" s="91" t="s">
        <v>524</v>
      </c>
      <c r="E528" s="94">
        <v>165</v>
      </c>
      <c r="F528" s="22" t="s">
        <v>265</v>
      </c>
    </row>
    <row r="529" spans="1:6">
      <c r="A529" s="28" t="s">
        <v>515</v>
      </c>
      <c r="B529" s="33" t="s">
        <v>550</v>
      </c>
      <c r="C529" s="6" t="s">
        <v>517</v>
      </c>
      <c r="D529" s="91" t="s">
        <v>124</v>
      </c>
      <c r="E529" s="94">
        <v>3</v>
      </c>
      <c r="F529" s="22" t="s">
        <v>265</v>
      </c>
    </row>
    <row r="530" spans="1:6">
      <c r="A530" s="28" t="s">
        <v>515</v>
      </c>
      <c r="B530" s="33" t="s">
        <v>534</v>
      </c>
      <c r="C530" s="6" t="s">
        <v>517</v>
      </c>
      <c r="D530" s="91" t="s">
        <v>524</v>
      </c>
      <c r="E530" s="94">
        <v>62</v>
      </c>
      <c r="F530" s="22" t="s">
        <v>265</v>
      </c>
    </row>
    <row r="531" spans="1:6">
      <c r="A531" s="28" t="s">
        <v>515</v>
      </c>
      <c r="B531" s="33" t="s">
        <v>521</v>
      </c>
      <c r="C531" s="6" t="s">
        <v>517</v>
      </c>
      <c r="D531" s="91" t="s">
        <v>522</v>
      </c>
      <c r="E531" s="94">
        <v>204</v>
      </c>
      <c r="F531" s="22" t="s">
        <v>265</v>
      </c>
    </row>
    <row r="532" spans="1:6">
      <c r="A532" s="28" t="s">
        <v>515</v>
      </c>
      <c r="B532" s="33" t="s">
        <v>519</v>
      </c>
      <c r="C532" s="6" t="s">
        <v>517</v>
      </c>
      <c r="D532" s="91" t="s">
        <v>399</v>
      </c>
      <c r="E532" s="94">
        <v>30</v>
      </c>
      <c r="F532" s="22" t="s">
        <v>265</v>
      </c>
    </row>
    <row r="533" spans="1:6">
      <c r="A533" s="28" t="s">
        <v>515</v>
      </c>
      <c r="B533" s="33" t="s">
        <v>551</v>
      </c>
      <c r="C533" s="6" t="s">
        <v>517</v>
      </c>
      <c r="D533" s="91" t="s">
        <v>124</v>
      </c>
      <c r="E533" s="94">
        <v>9</v>
      </c>
      <c r="F533" s="22" t="s">
        <v>265</v>
      </c>
    </row>
    <row r="534" spans="1:6">
      <c r="A534" s="28" t="s">
        <v>515</v>
      </c>
      <c r="B534" s="33" t="s">
        <v>552</v>
      </c>
      <c r="C534" s="6" t="s">
        <v>517</v>
      </c>
      <c r="D534" s="91" t="s">
        <v>124</v>
      </c>
      <c r="E534" s="94">
        <v>3.5</v>
      </c>
      <c r="F534" s="22" t="s">
        <v>265</v>
      </c>
    </row>
    <row r="535" spans="1:6">
      <c r="A535" s="28" t="s">
        <v>515</v>
      </c>
      <c r="B535" s="33" t="s">
        <v>553</v>
      </c>
      <c r="C535" s="6" t="s">
        <v>517</v>
      </c>
      <c r="D535" s="91" t="s">
        <v>124</v>
      </c>
      <c r="E535" s="94">
        <v>13</v>
      </c>
      <c r="F535" s="22" t="s">
        <v>265</v>
      </c>
    </row>
    <row r="536" spans="1:6">
      <c r="A536" s="28" t="s">
        <v>515</v>
      </c>
      <c r="B536" s="33" t="s">
        <v>554</v>
      </c>
      <c r="C536" s="6" t="s">
        <v>517</v>
      </c>
      <c r="D536" s="91" t="s">
        <v>124</v>
      </c>
      <c r="E536" s="94">
        <v>6.5</v>
      </c>
      <c r="F536" s="22" t="s">
        <v>265</v>
      </c>
    </row>
    <row r="537" spans="1:6">
      <c r="A537" s="28" t="s">
        <v>515</v>
      </c>
      <c r="B537" s="33" t="s">
        <v>555</v>
      </c>
      <c r="C537" s="6" t="s">
        <v>517</v>
      </c>
      <c r="D537" s="91" t="s">
        <v>399</v>
      </c>
      <c r="E537" s="94">
        <v>38</v>
      </c>
      <c r="F537" s="22" t="s">
        <v>265</v>
      </c>
    </row>
    <row r="538" spans="1:6">
      <c r="A538" s="28" t="s">
        <v>515</v>
      </c>
      <c r="B538" s="33" t="s">
        <v>556</v>
      </c>
      <c r="C538" s="6" t="s">
        <v>517</v>
      </c>
      <c r="D538" s="91" t="s">
        <v>399</v>
      </c>
      <c r="E538" s="94">
        <v>38</v>
      </c>
      <c r="F538" s="22" t="s">
        <v>265</v>
      </c>
    </row>
    <row r="539" spans="1:6">
      <c r="A539" s="28" t="s">
        <v>515</v>
      </c>
      <c r="B539" s="33" t="s">
        <v>533</v>
      </c>
      <c r="C539" s="6" t="s">
        <v>517</v>
      </c>
      <c r="D539" s="91" t="s">
        <v>399</v>
      </c>
      <c r="E539" s="94">
        <v>38</v>
      </c>
      <c r="F539" s="22" t="s">
        <v>265</v>
      </c>
    </row>
    <row r="540" spans="1:6">
      <c r="A540" s="28" t="s">
        <v>515</v>
      </c>
      <c r="B540" s="33" t="s">
        <v>535</v>
      </c>
      <c r="C540" s="6" t="s">
        <v>517</v>
      </c>
      <c r="D540" s="91" t="s">
        <v>124</v>
      </c>
      <c r="E540" s="94">
        <v>21</v>
      </c>
      <c r="F540" s="22" t="s">
        <v>265</v>
      </c>
    </row>
    <row r="541" spans="1:6">
      <c r="A541" s="28" t="s">
        <v>515</v>
      </c>
      <c r="B541" s="33" t="s">
        <v>557</v>
      </c>
      <c r="C541" s="6" t="s">
        <v>517</v>
      </c>
      <c r="D541" s="91" t="s">
        <v>399</v>
      </c>
      <c r="E541" s="94">
        <v>68</v>
      </c>
      <c r="F541" s="22" t="s">
        <v>265</v>
      </c>
    </row>
    <row r="542" spans="1:6">
      <c r="A542" s="28" t="s">
        <v>515</v>
      </c>
      <c r="B542" s="33" t="s">
        <v>558</v>
      </c>
      <c r="C542" s="6" t="s">
        <v>517</v>
      </c>
      <c r="D542" s="91" t="s">
        <v>399</v>
      </c>
      <c r="E542" s="94">
        <v>35</v>
      </c>
      <c r="F542" s="22" t="s">
        <v>265</v>
      </c>
    </row>
    <row r="543" spans="1:6">
      <c r="A543" s="28" t="s">
        <v>515</v>
      </c>
      <c r="B543" s="33" t="s">
        <v>559</v>
      </c>
      <c r="C543" s="6" t="s">
        <v>517</v>
      </c>
      <c r="D543" s="91" t="s">
        <v>399</v>
      </c>
      <c r="E543" s="94">
        <v>48</v>
      </c>
      <c r="F543" s="22" t="s">
        <v>265</v>
      </c>
    </row>
    <row r="544" spans="1:6">
      <c r="A544" s="28" t="s">
        <v>515</v>
      </c>
      <c r="B544" s="33" t="s">
        <v>518</v>
      </c>
      <c r="C544" s="6" t="s">
        <v>517</v>
      </c>
      <c r="D544" s="91" t="s">
        <v>399</v>
      </c>
      <c r="E544" s="94">
        <v>22</v>
      </c>
      <c r="F544" s="22" t="s">
        <v>265</v>
      </c>
    </row>
    <row r="545" spans="1:6">
      <c r="A545" s="28" t="s">
        <v>515</v>
      </c>
      <c r="B545" s="33" t="s">
        <v>560</v>
      </c>
      <c r="C545" s="6" t="s">
        <v>517</v>
      </c>
      <c r="D545" s="91" t="s">
        <v>399</v>
      </c>
      <c r="E545" s="94">
        <v>13</v>
      </c>
      <c r="F545" s="22" t="s">
        <v>265</v>
      </c>
    </row>
    <row r="546" spans="1:6">
      <c r="A546" s="28" t="s">
        <v>515</v>
      </c>
      <c r="B546" s="33" t="s">
        <v>561</v>
      </c>
      <c r="C546" s="33" t="s">
        <v>562</v>
      </c>
      <c r="D546" s="91" t="s">
        <v>124</v>
      </c>
      <c r="E546" s="94">
        <v>4</v>
      </c>
      <c r="F546" s="22" t="s">
        <v>265</v>
      </c>
    </row>
    <row r="547" spans="1:6">
      <c r="A547" s="28" t="s">
        <v>515</v>
      </c>
      <c r="B547" s="33" t="s">
        <v>563</v>
      </c>
      <c r="C547" s="33" t="s">
        <v>562</v>
      </c>
      <c r="D547" s="91" t="s">
        <v>124</v>
      </c>
      <c r="E547" s="94">
        <v>1.5</v>
      </c>
      <c r="F547" s="22" t="s">
        <v>265</v>
      </c>
    </row>
    <row r="548" spans="1:6">
      <c r="A548" s="28" t="s">
        <v>515</v>
      </c>
      <c r="B548" s="33" t="s">
        <v>564</v>
      </c>
      <c r="C548" s="33" t="s">
        <v>562</v>
      </c>
      <c r="D548" s="91" t="s">
        <v>124</v>
      </c>
      <c r="E548" s="94">
        <v>2</v>
      </c>
      <c r="F548" s="22" t="s">
        <v>265</v>
      </c>
    </row>
    <row r="549" spans="1:6">
      <c r="A549" s="28" t="s">
        <v>515</v>
      </c>
      <c r="B549" s="33" t="s">
        <v>563</v>
      </c>
      <c r="C549" s="33" t="s">
        <v>562</v>
      </c>
      <c r="D549" s="91" t="s">
        <v>124</v>
      </c>
      <c r="E549" s="94">
        <v>0.5</v>
      </c>
      <c r="F549" s="22" t="s">
        <v>265</v>
      </c>
    </row>
    <row r="550" spans="1:6">
      <c r="A550" s="28" t="s">
        <v>515</v>
      </c>
      <c r="B550" s="33" t="s">
        <v>565</v>
      </c>
      <c r="C550" s="33" t="s">
        <v>562</v>
      </c>
      <c r="D550" s="91" t="s">
        <v>124</v>
      </c>
      <c r="E550" s="94">
        <v>2</v>
      </c>
      <c r="F550" s="22" t="s">
        <v>265</v>
      </c>
    </row>
    <row r="551" spans="1:6">
      <c r="A551" s="28" t="s">
        <v>515</v>
      </c>
      <c r="B551" s="33" t="s">
        <v>566</v>
      </c>
      <c r="C551" s="33" t="s">
        <v>562</v>
      </c>
      <c r="D551" s="91" t="s">
        <v>124</v>
      </c>
      <c r="E551" s="94">
        <v>2</v>
      </c>
      <c r="F551" s="22" t="s">
        <v>265</v>
      </c>
    </row>
    <row r="552" spans="1:6">
      <c r="A552" s="28" t="s">
        <v>515</v>
      </c>
      <c r="B552" s="33" t="s">
        <v>567</v>
      </c>
      <c r="C552" s="33" t="s">
        <v>562</v>
      </c>
      <c r="D552" s="91" t="s">
        <v>124</v>
      </c>
      <c r="E552" s="94">
        <v>1.5</v>
      </c>
      <c r="F552" s="22" t="s">
        <v>265</v>
      </c>
    </row>
    <row r="553" spans="1:6">
      <c r="A553" s="28" t="s">
        <v>515</v>
      </c>
      <c r="B553" s="33" t="s">
        <v>568</v>
      </c>
      <c r="C553" s="33" t="s">
        <v>562</v>
      </c>
      <c r="D553" s="91" t="s">
        <v>124</v>
      </c>
      <c r="E553" s="94">
        <v>0.8</v>
      </c>
      <c r="F553" s="22" t="s">
        <v>265</v>
      </c>
    </row>
    <row r="554" spans="1:6">
      <c r="A554" s="28" t="s">
        <v>515</v>
      </c>
      <c r="B554" s="33" t="s">
        <v>568</v>
      </c>
      <c r="C554" s="33" t="s">
        <v>562</v>
      </c>
      <c r="D554" s="91" t="s">
        <v>124</v>
      </c>
      <c r="E554" s="94">
        <v>0.7</v>
      </c>
      <c r="F554" s="22" t="s">
        <v>265</v>
      </c>
    </row>
    <row r="555" spans="1:6">
      <c r="A555" s="28" t="s">
        <v>515</v>
      </c>
      <c r="B555" s="33" t="s">
        <v>569</v>
      </c>
      <c r="C555" s="33" t="s">
        <v>562</v>
      </c>
      <c r="D555" s="91" t="s">
        <v>124</v>
      </c>
      <c r="E555" s="94">
        <v>0.6</v>
      </c>
      <c r="F555" s="22" t="s">
        <v>265</v>
      </c>
    </row>
    <row r="556" spans="1:6">
      <c r="A556" s="6" t="s">
        <v>570</v>
      </c>
      <c r="B556" s="33" t="s">
        <v>571</v>
      </c>
      <c r="C556" s="6" t="s">
        <v>572</v>
      </c>
      <c r="D556" s="91" t="s">
        <v>124</v>
      </c>
      <c r="E556" s="94">
        <v>350</v>
      </c>
      <c r="F556" s="22" t="s">
        <v>259</v>
      </c>
    </row>
    <row r="557" spans="1:6">
      <c r="B557" s="7" t="s">
        <v>573</v>
      </c>
    </row>
    <row r="558" spans="1:6">
      <c r="A558" s="11" t="s">
        <v>1</v>
      </c>
      <c r="B558" s="12" t="s">
        <v>2</v>
      </c>
      <c r="C558" s="13" t="s">
        <v>3</v>
      </c>
      <c r="D558" s="14" t="s">
        <v>4</v>
      </c>
      <c r="E558" s="81" t="s">
        <v>5</v>
      </c>
      <c r="F558" s="6"/>
    </row>
    <row r="559" spans="1:6">
      <c r="A559" t="s">
        <v>573</v>
      </c>
      <c r="B559" t="s">
        <v>574</v>
      </c>
      <c r="C559" t="s">
        <v>575</v>
      </c>
      <c r="D559" s="86" t="s">
        <v>576</v>
      </c>
      <c r="E559" s="80">
        <v>19</v>
      </c>
      <c r="F559" s="22" t="s">
        <v>265</v>
      </c>
    </row>
    <row r="560" spans="1:6">
      <c r="B560" s="29" t="s">
        <v>577</v>
      </c>
    </row>
    <row r="561" spans="1:6">
      <c r="A561" s="11" t="s">
        <v>1</v>
      </c>
      <c r="B561" s="12" t="s">
        <v>2</v>
      </c>
      <c r="C561" s="13" t="s">
        <v>3</v>
      </c>
      <c r="D561" s="14" t="s">
        <v>4</v>
      </c>
      <c r="E561" s="81" t="s">
        <v>5</v>
      </c>
      <c r="F561" s="6"/>
    </row>
    <row r="562" spans="1:6">
      <c r="A562" s="28" t="s">
        <v>577</v>
      </c>
      <c r="B562" s="33" t="s">
        <v>578</v>
      </c>
      <c r="C562" s="6" t="s">
        <v>270</v>
      </c>
      <c r="D562" s="87" t="s">
        <v>522</v>
      </c>
      <c r="E562" s="82">
        <v>325</v>
      </c>
      <c r="F562" s="6" t="s">
        <v>265</v>
      </c>
    </row>
    <row r="563" spans="1:6">
      <c r="A563" s="28" t="s">
        <v>577</v>
      </c>
      <c r="B563" s="33" t="s">
        <v>579</v>
      </c>
      <c r="C563" s="6" t="s">
        <v>270</v>
      </c>
      <c r="D563" s="87" t="s">
        <v>522</v>
      </c>
      <c r="E563" s="82">
        <v>325</v>
      </c>
      <c r="F563" s="6" t="s">
        <v>265</v>
      </c>
    </row>
    <row r="564" spans="1:6">
      <c r="A564" s="28" t="s">
        <v>577</v>
      </c>
      <c r="B564" s="6" t="s">
        <v>580</v>
      </c>
      <c r="C564" s="6" t="s">
        <v>301</v>
      </c>
      <c r="D564" s="87" t="s">
        <v>124</v>
      </c>
      <c r="E564" s="82">
        <v>7.3</v>
      </c>
      <c r="F564" s="6" t="s">
        <v>265</v>
      </c>
    </row>
    <row r="565" spans="1:6">
      <c r="A565" s="28" t="s">
        <v>577</v>
      </c>
      <c r="B565" s="6" t="s">
        <v>581</v>
      </c>
      <c r="C565" s="6" t="s">
        <v>39</v>
      </c>
      <c r="D565" s="87" t="s">
        <v>310</v>
      </c>
      <c r="E565" s="82">
        <v>16.7</v>
      </c>
      <c r="F565" s="6" t="s">
        <v>10</v>
      </c>
    </row>
    <row r="566" spans="1:6">
      <c r="A566" s="28" t="s">
        <v>577</v>
      </c>
      <c r="B566" s="6" t="s">
        <v>582</v>
      </c>
      <c r="C566" s="6" t="s">
        <v>39</v>
      </c>
      <c r="D566" s="87" t="s">
        <v>310</v>
      </c>
      <c r="E566" s="82">
        <v>12</v>
      </c>
      <c r="F566" s="6" t="s">
        <v>10</v>
      </c>
    </row>
    <row r="567" spans="1:6">
      <c r="A567" s="28" t="s">
        <v>577</v>
      </c>
      <c r="B567" s="6" t="s">
        <v>583</v>
      </c>
      <c r="C567" s="6" t="s">
        <v>39</v>
      </c>
      <c r="D567" s="87" t="s">
        <v>310</v>
      </c>
      <c r="E567" s="82">
        <v>12</v>
      </c>
      <c r="F567" s="6" t="s">
        <v>10</v>
      </c>
    </row>
    <row r="568" spans="1:6">
      <c r="A568" s="28" t="s">
        <v>577</v>
      </c>
      <c r="B568" s="6" t="s">
        <v>584</v>
      </c>
      <c r="C568" s="6" t="s">
        <v>270</v>
      </c>
      <c r="D568" s="87" t="s">
        <v>399</v>
      </c>
      <c r="E568" s="82">
        <v>0.5</v>
      </c>
      <c r="F568" s="6" t="s">
        <v>265</v>
      </c>
    </row>
    <row r="569" spans="1:6">
      <c r="A569" s="28" t="s">
        <v>577</v>
      </c>
      <c r="B569" s="6" t="s">
        <v>585</v>
      </c>
      <c r="C569" s="6" t="s">
        <v>270</v>
      </c>
      <c r="D569" s="87" t="s">
        <v>399</v>
      </c>
      <c r="E569" s="82">
        <v>0.5</v>
      </c>
      <c r="F569" s="6" t="s">
        <v>265</v>
      </c>
    </row>
    <row r="570" spans="1:6">
      <c r="A570" s="28" t="s">
        <v>577</v>
      </c>
      <c r="B570" s="6" t="s">
        <v>586</v>
      </c>
      <c r="C570" s="6" t="s">
        <v>270</v>
      </c>
      <c r="D570" s="87" t="s">
        <v>399</v>
      </c>
      <c r="E570" s="82">
        <v>0.6</v>
      </c>
      <c r="F570" s="6" t="s">
        <v>265</v>
      </c>
    </row>
    <row r="571" spans="1:6">
      <c r="A571" s="28" t="s">
        <v>577</v>
      </c>
      <c r="B571" s="6" t="s">
        <v>587</v>
      </c>
      <c r="C571" s="6" t="s">
        <v>270</v>
      </c>
      <c r="D571" s="87" t="s">
        <v>399</v>
      </c>
      <c r="E571" s="82">
        <v>0.65</v>
      </c>
      <c r="F571" s="6" t="s">
        <v>265</v>
      </c>
    </row>
    <row r="572" spans="1:6">
      <c r="A572" s="28" t="s">
        <v>577</v>
      </c>
      <c r="B572" s="6" t="s">
        <v>588</v>
      </c>
      <c r="C572" s="6" t="s">
        <v>32</v>
      </c>
      <c r="D572" s="87" t="s">
        <v>124</v>
      </c>
      <c r="E572" s="82">
        <v>20</v>
      </c>
      <c r="F572" s="6" t="s">
        <v>10</v>
      </c>
    </row>
    <row r="573" spans="1:6">
      <c r="A573" s="28" t="s">
        <v>577</v>
      </c>
      <c r="B573" s="6" t="s">
        <v>589</v>
      </c>
      <c r="C573" s="6" t="s">
        <v>590</v>
      </c>
      <c r="D573" s="87" t="s">
        <v>310</v>
      </c>
      <c r="E573" s="82">
        <v>22</v>
      </c>
      <c r="F573" s="6" t="s">
        <v>10</v>
      </c>
    </row>
    <row r="574" spans="1:6">
      <c r="A574" s="28" t="s">
        <v>577</v>
      </c>
      <c r="B574" s="33" t="s">
        <v>591</v>
      </c>
      <c r="C574" s="33" t="s">
        <v>173</v>
      </c>
      <c r="D574" s="87" t="s">
        <v>124</v>
      </c>
      <c r="E574" s="93">
        <v>22</v>
      </c>
      <c r="F574" s="6" t="s">
        <v>10</v>
      </c>
    </row>
    <row r="575" spans="1:6">
      <c r="A575" s="28" t="s">
        <v>577</v>
      </c>
      <c r="B575" s="33" t="s">
        <v>592</v>
      </c>
      <c r="C575" s="33" t="s">
        <v>173</v>
      </c>
      <c r="D575" s="87" t="s">
        <v>124</v>
      </c>
      <c r="E575" s="93">
        <v>21</v>
      </c>
      <c r="F575" s="6" t="s">
        <v>10</v>
      </c>
    </row>
    <row r="576" spans="1:6">
      <c r="A576" s="28" t="s">
        <v>577</v>
      </c>
      <c r="B576" s="22" t="s">
        <v>593</v>
      </c>
      <c r="C576" s="6" t="s">
        <v>111</v>
      </c>
      <c r="D576" s="39" t="s">
        <v>310</v>
      </c>
      <c r="E576" s="94">
        <v>21</v>
      </c>
      <c r="F576" s="22" t="s">
        <v>594</v>
      </c>
    </row>
    <row r="577" spans="1:6">
      <c r="A577" s="28" t="s">
        <v>577</v>
      </c>
      <c r="B577" s="22" t="s">
        <v>595</v>
      </c>
      <c r="C577" s="6" t="s">
        <v>111</v>
      </c>
      <c r="D577" s="39" t="s">
        <v>310</v>
      </c>
      <c r="E577" s="94">
        <v>22</v>
      </c>
      <c r="F577" s="22" t="s">
        <v>594</v>
      </c>
    </row>
    <row r="578" spans="1:6">
      <c r="A578" s="6"/>
      <c r="B578" s="20" t="s">
        <v>596</v>
      </c>
      <c r="C578" s="6"/>
      <c r="D578" s="87"/>
      <c r="E578" s="82"/>
      <c r="F578" s="6"/>
    </row>
    <row r="579" spans="1:6">
      <c r="A579" s="11" t="s">
        <v>1</v>
      </c>
      <c r="B579" s="12" t="s">
        <v>2</v>
      </c>
      <c r="C579" s="13" t="s">
        <v>3</v>
      </c>
      <c r="D579" s="14" t="s">
        <v>4</v>
      </c>
      <c r="E579" s="81" t="s">
        <v>5</v>
      </c>
      <c r="F579" s="6"/>
    </row>
    <row r="580" spans="1:6">
      <c r="A580" s="22" t="s">
        <v>596</v>
      </c>
      <c r="B580" s="33" t="s">
        <v>597</v>
      </c>
      <c r="C580" s="6" t="s">
        <v>301</v>
      </c>
      <c r="D580" s="91" t="s">
        <v>598</v>
      </c>
      <c r="E580" s="94">
        <v>4.75</v>
      </c>
      <c r="F580" s="22" t="s">
        <v>265</v>
      </c>
    </row>
    <row r="581" spans="1:6">
      <c r="A581" s="22" t="s">
        <v>596</v>
      </c>
      <c r="B581" s="33" t="s">
        <v>599</v>
      </c>
      <c r="C581" s="6" t="s">
        <v>301</v>
      </c>
      <c r="D581" s="91" t="s">
        <v>598</v>
      </c>
      <c r="E581" s="94">
        <v>4.75</v>
      </c>
      <c r="F581" s="22" t="s">
        <v>265</v>
      </c>
    </row>
    <row r="582" spans="1:6">
      <c r="A582" s="22" t="s">
        <v>596</v>
      </c>
      <c r="B582" s="33" t="s">
        <v>600</v>
      </c>
      <c r="C582" s="6" t="s">
        <v>301</v>
      </c>
      <c r="D582" s="91" t="s">
        <v>598</v>
      </c>
      <c r="E582" s="94">
        <v>4.75</v>
      </c>
      <c r="F582" s="22" t="s">
        <v>265</v>
      </c>
    </row>
    <row r="583" spans="1:6">
      <c r="A583" s="22" t="s">
        <v>596</v>
      </c>
      <c r="B583" s="33" t="s">
        <v>601</v>
      </c>
      <c r="C583" s="6" t="s">
        <v>301</v>
      </c>
      <c r="D583" s="91" t="s">
        <v>522</v>
      </c>
      <c r="E583" s="94">
        <v>90</v>
      </c>
      <c r="F583" s="22" t="s">
        <v>265</v>
      </c>
    </row>
    <row r="584" spans="1:6">
      <c r="A584" s="22" t="s">
        <v>596</v>
      </c>
      <c r="B584" s="33" t="s">
        <v>602</v>
      </c>
      <c r="C584" s="6" t="s">
        <v>301</v>
      </c>
      <c r="D584" s="91" t="s">
        <v>522</v>
      </c>
      <c r="E584" s="94">
        <v>85</v>
      </c>
      <c r="F584" s="22" t="s">
        <v>265</v>
      </c>
    </row>
    <row r="585" spans="1:6">
      <c r="A585" s="22" t="s">
        <v>596</v>
      </c>
      <c r="B585" s="33" t="s">
        <v>603</v>
      </c>
      <c r="C585" s="6" t="s">
        <v>301</v>
      </c>
      <c r="D585" s="91" t="s">
        <v>329</v>
      </c>
      <c r="E585" s="94">
        <v>7.5</v>
      </c>
      <c r="F585" s="22" t="s">
        <v>265</v>
      </c>
    </row>
    <row r="586" spans="1:6">
      <c r="A586" s="22" t="s">
        <v>596</v>
      </c>
      <c r="B586" s="33" t="s">
        <v>604</v>
      </c>
      <c r="C586" s="6" t="s">
        <v>301</v>
      </c>
      <c r="D586" s="91" t="s">
        <v>124</v>
      </c>
      <c r="E586" s="94">
        <v>5</v>
      </c>
      <c r="F586" s="22" t="s">
        <v>265</v>
      </c>
    </row>
    <row r="587" spans="1:6">
      <c r="A587" s="22" t="s">
        <v>596</v>
      </c>
      <c r="B587" s="33" t="s">
        <v>605</v>
      </c>
      <c r="C587" s="6" t="s">
        <v>301</v>
      </c>
      <c r="D587" s="91" t="s">
        <v>598</v>
      </c>
      <c r="E587" s="94">
        <v>4.75</v>
      </c>
      <c r="F587" s="22" t="s">
        <v>265</v>
      </c>
    </row>
    <row r="588" spans="1:6">
      <c r="A588" s="22" t="s">
        <v>596</v>
      </c>
      <c r="B588" s="33" t="s">
        <v>606</v>
      </c>
      <c r="C588" s="6" t="s">
        <v>301</v>
      </c>
      <c r="D588" s="91" t="s">
        <v>124</v>
      </c>
      <c r="E588" s="94">
        <v>12</v>
      </c>
      <c r="F588" s="22" t="s">
        <v>265</v>
      </c>
    </row>
    <row r="589" spans="1:6">
      <c r="A589" s="22" t="s">
        <v>596</v>
      </c>
      <c r="B589" s="33" t="s">
        <v>607</v>
      </c>
      <c r="C589" s="6" t="s">
        <v>301</v>
      </c>
      <c r="D589" s="91" t="s">
        <v>124</v>
      </c>
      <c r="E589" s="94">
        <v>16</v>
      </c>
      <c r="F589" s="22" t="s">
        <v>265</v>
      </c>
    </row>
    <row r="590" spans="1:6">
      <c r="A590" s="22" t="s">
        <v>596</v>
      </c>
      <c r="B590" s="33" t="s">
        <v>608</v>
      </c>
      <c r="C590" s="6" t="s">
        <v>301</v>
      </c>
      <c r="D590" s="91" t="s">
        <v>524</v>
      </c>
      <c r="E590" s="94">
        <v>45</v>
      </c>
      <c r="F590" s="22" t="s">
        <v>265</v>
      </c>
    </row>
    <row r="591" spans="1:6">
      <c r="A591" s="22" t="s">
        <v>596</v>
      </c>
      <c r="B591" s="33" t="s">
        <v>609</v>
      </c>
      <c r="C591" s="6" t="s">
        <v>301</v>
      </c>
      <c r="D591" s="91" t="s">
        <v>524</v>
      </c>
      <c r="E591" s="94">
        <v>3</v>
      </c>
      <c r="F591" s="22" t="s">
        <v>265</v>
      </c>
    </row>
    <row r="592" spans="1:6">
      <c r="A592" s="22" t="s">
        <v>596</v>
      </c>
      <c r="B592" s="33" t="s">
        <v>610</v>
      </c>
      <c r="C592" s="6" t="s">
        <v>301</v>
      </c>
      <c r="D592" s="91" t="s">
        <v>124</v>
      </c>
      <c r="E592" s="94">
        <v>5</v>
      </c>
      <c r="F592" s="22" t="s">
        <v>265</v>
      </c>
    </row>
    <row r="593" spans="1:6">
      <c r="A593" s="22" t="s">
        <v>596</v>
      </c>
      <c r="B593" s="33" t="s">
        <v>611</v>
      </c>
      <c r="C593" s="6" t="s">
        <v>270</v>
      </c>
      <c r="D593" s="91" t="s">
        <v>524</v>
      </c>
      <c r="E593" s="94">
        <v>38</v>
      </c>
      <c r="F593" s="22" t="s">
        <v>265</v>
      </c>
    </row>
    <row r="594" spans="1:6">
      <c r="A594" s="22" t="s">
        <v>596</v>
      </c>
      <c r="B594" s="33" t="s">
        <v>612</v>
      </c>
      <c r="C594" s="6" t="s">
        <v>301</v>
      </c>
      <c r="D594" s="91" t="s">
        <v>124</v>
      </c>
      <c r="E594" s="94">
        <v>2</v>
      </c>
      <c r="F594" s="22" t="s">
        <v>265</v>
      </c>
    </row>
    <row r="595" spans="1:6">
      <c r="A595" s="22" t="s">
        <v>596</v>
      </c>
      <c r="B595" s="33" t="s">
        <v>613</v>
      </c>
      <c r="C595" s="6" t="s">
        <v>301</v>
      </c>
      <c r="D595" s="91" t="s">
        <v>124</v>
      </c>
      <c r="E595" s="94">
        <v>45</v>
      </c>
      <c r="F595" s="22" t="s">
        <v>265</v>
      </c>
    </row>
    <row r="596" spans="1:6">
      <c r="A596" s="22" t="s">
        <v>596</v>
      </c>
      <c r="B596" s="33" t="s">
        <v>614</v>
      </c>
      <c r="C596" s="6" t="s">
        <v>301</v>
      </c>
      <c r="D596" s="91" t="s">
        <v>524</v>
      </c>
      <c r="E596" s="94">
        <v>30</v>
      </c>
      <c r="F596" s="22" t="s">
        <v>265</v>
      </c>
    </row>
    <row r="597" spans="1:6">
      <c r="A597" s="22" t="s">
        <v>596</v>
      </c>
      <c r="B597" s="33" t="s">
        <v>615</v>
      </c>
      <c r="C597" s="6" t="s">
        <v>301</v>
      </c>
      <c r="D597" s="91" t="s">
        <v>616</v>
      </c>
      <c r="E597" s="94">
        <v>15</v>
      </c>
      <c r="F597" s="22" t="s">
        <v>265</v>
      </c>
    </row>
    <row r="598" spans="1:6">
      <c r="A598" s="22" t="s">
        <v>596</v>
      </c>
      <c r="B598" s="33" t="s">
        <v>617</v>
      </c>
      <c r="C598" s="6" t="s">
        <v>301</v>
      </c>
      <c r="D598" s="91" t="s">
        <v>524</v>
      </c>
      <c r="E598" s="94">
        <v>25</v>
      </c>
      <c r="F598" s="22" t="s">
        <v>265</v>
      </c>
    </row>
    <row r="599" spans="1:6">
      <c r="A599" s="22" t="s">
        <v>596</v>
      </c>
      <c r="B599" s="33" t="s">
        <v>618</v>
      </c>
      <c r="C599" s="6" t="s">
        <v>301</v>
      </c>
      <c r="D599" s="91" t="s">
        <v>124</v>
      </c>
      <c r="E599" s="94">
        <v>5</v>
      </c>
      <c r="F599" s="22" t="s">
        <v>265</v>
      </c>
    </row>
    <row r="600" spans="1:6">
      <c r="A600" s="22" t="s">
        <v>596</v>
      </c>
      <c r="B600" s="33" t="s">
        <v>619</v>
      </c>
      <c r="C600" s="6" t="s">
        <v>301</v>
      </c>
      <c r="D600" s="91" t="s">
        <v>124</v>
      </c>
      <c r="E600" s="94">
        <v>7</v>
      </c>
      <c r="F600" s="22" t="s">
        <v>265</v>
      </c>
    </row>
    <row r="601" spans="1:6">
      <c r="A601" s="22" t="s">
        <v>596</v>
      </c>
      <c r="B601" s="33" t="s">
        <v>613</v>
      </c>
      <c r="C601" s="6" t="s">
        <v>301</v>
      </c>
      <c r="D601" s="91" t="s">
        <v>124</v>
      </c>
      <c r="E601" s="94">
        <v>45</v>
      </c>
      <c r="F601" s="22" t="s">
        <v>265</v>
      </c>
    </row>
    <row r="602" spans="1:6">
      <c r="A602" s="22" t="s">
        <v>596</v>
      </c>
      <c r="B602" s="33" t="s">
        <v>604</v>
      </c>
      <c r="C602" s="6" t="s">
        <v>301</v>
      </c>
      <c r="D602" s="91" t="s">
        <v>124</v>
      </c>
      <c r="E602" s="94">
        <v>5</v>
      </c>
      <c r="F602" s="22" t="s">
        <v>265</v>
      </c>
    </row>
    <row r="603" spans="1:6">
      <c r="A603" s="22" t="s">
        <v>596</v>
      </c>
      <c r="B603" s="33" t="s">
        <v>612</v>
      </c>
      <c r="C603" s="6" t="s">
        <v>301</v>
      </c>
      <c r="D603" s="91" t="s">
        <v>124</v>
      </c>
      <c r="E603" s="94">
        <v>2</v>
      </c>
      <c r="F603" s="22" t="s">
        <v>265</v>
      </c>
    </row>
    <row r="604" spans="1:6">
      <c r="A604" s="22" t="s">
        <v>596</v>
      </c>
      <c r="B604" s="33" t="s">
        <v>620</v>
      </c>
      <c r="C604" s="6" t="s">
        <v>301</v>
      </c>
      <c r="D604" s="91" t="s">
        <v>524</v>
      </c>
      <c r="E604" s="94">
        <v>45</v>
      </c>
      <c r="F604" s="22" t="s">
        <v>265</v>
      </c>
    </row>
    <row r="605" spans="1:6">
      <c r="A605" s="22" t="s">
        <v>596</v>
      </c>
      <c r="B605" s="33" t="s">
        <v>621</v>
      </c>
      <c r="C605" s="6" t="s">
        <v>301</v>
      </c>
      <c r="D605" s="91" t="s">
        <v>622</v>
      </c>
      <c r="E605" s="94">
        <v>80</v>
      </c>
      <c r="F605" s="22" t="s">
        <v>265</v>
      </c>
    </row>
    <row r="606" spans="1:6">
      <c r="A606" s="22" t="s">
        <v>596</v>
      </c>
      <c r="B606" s="33" t="s">
        <v>623</v>
      </c>
      <c r="C606" s="6" t="s">
        <v>301</v>
      </c>
      <c r="D606" s="91" t="s">
        <v>399</v>
      </c>
      <c r="E606" s="94">
        <v>15</v>
      </c>
      <c r="F606" s="22" t="s">
        <v>265</v>
      </c>
    </row>
    <row r="607" spans="1:6">
      <c r="A607" s="22" t="s">
        <v>596</v>
      </c>
      <c r="B607" s="33" t="s">
        <v>624</v>
      </c>
      <c r="C607" s="6" t="s">
        <v>301</v>
      </c>
      <c r="D607" s="91" t="s">
        <v>124</v>
      </c>
      <c r="E607" s="94">
        <v>55</v>
      </c>
      <c r="F607" s="22" t="s">
        <v>265</v>
      </c>
    </row>
    <row r="608" spans="1:6">
      <c r="A608" s="22" t="s">
        <v>596</v>
      </c>
      <c r="B608" s="33" t="s">
        <v>618</v>
      </c>
      <c r="C608" s="6" t="s">
        <v>301</v>
      </c>
      <c r="D608" s="91" t="s">
        <v>124</v>
      </c>
      <c r="E608" s="94">
        <v>5</v>
      </c>
      <c r="F608" s="22" t="s">
        <v>265</v>
      </c>
    </row>
    <row r="609" spans="1:6">
      <c r="A609" s="22" t="s">
        <v>596</v>
      </c>
      <c r="B609" s="33" t="s">
        <v>625</v>
      </c>
      <c r="C609" s="6" t="s">
        <v>301</v>
      </c>
      <c r="D609" s="91" t="s">
        <v>124</v>
      </c>
      <c r="E609" s="94">
        <v>35</v>
      </c>
      <c r="F609" s="22" t="s">
        <v>265</v>
      </c>
    </row>
    <row r="610" spans="1:6">
      <c r="A610" s="22" t="s">
        <v>596</v>
      </c>
      <c r="B610" s="33" t="s">
        <v>626</v>
      </c>
      <c r="C610" s="6" t="s">
        <v>301</v>
      </c>
      <c r="D610" s="91" t="s">
        <v>124</v>
      </c>
      <c r="E610" s="94">
        <v>35</v>
      </c>
      <c r="F610" s="22" t="s">
        <v>265</v>
      </c>
    </row>
    <row r="611" spans="1:6">
      <c r="A611" s="22" t="s">
        <v>596</v>
      </c>
      <c r="B611" s="33" t="s">
        <v>627</v>
      </c>
      <c r="C611" s="6" t="s">
        <v>301</v>
      </c>
      <c r="D611" s="91" t="s">
        <v>124</v>
      </c>
      <c r="E611" s="94">
        <v>4</v>
      </c>
      <c r="F611" s="22" t="s">
        <v>265</v>
      </c>
    </row>
    <row r="612" spans="1:6">
      <c r="A612" s="22" t="s">
        <v>596</v>
      </c>
      <c r="B612" s="33" t="s">
        <v>628</v>
      </c>
      <c r="C612" s="6" t="s">
        <v>301</v>
      </c>
      <c r="D612" s="91" t="s">
        <v>124</v>
      </c>
      <c r="E612" s="94">
        <v>4</v>
      </c>
      <c r="F612" s="22" t="s">
        <v>265</v>
      </c>
    </row>
    <row r="613" spans="1:6">
      <c r="A613" s="22" t="s">
        <v>596</v>
      </c>
      <c r="B613" s="33" t="s">
        <v>629</v>
      </c>
      <c r="C613" s="6" t="s">
        <v>301</v>
      </c>
      <c r="D613" s="91" t="s">
        <v>124</v>
      </c>
      <c r="E613" s="94">
        <v>5</v>
      </c>
      <c r="F613" s="22" t="s">
        <v>265</v>
      </c>
    </row>
    <row r="614" spans="1:6">
      <c r="A614" s="22" t="s">
        <v>596</v>
      </c>
      <c r="B614" s="33" t="s">
        <v>630</v>
      </c>
      <c r="C614" s="6" t="s">
        <v>301</v>
      </c>
      <c r="D614" s="91" t="s">
        <v>124</v>
      </c>
      <c r="E614" s="94">
        <v>8</v>
      </c>
      <c r="F614" s="22" t="s">
        <v>265</v>
      </c>
    </row>
    <row r="615" spans="1:6">
      <c r="A615" s="22" t="s">
        <v>596</v>
      </c>
      <c r="B615" s="33" t="s">
        <v>631</v>
      </c>
      <c r="C615" s="6" t="s">
        <v>301</v>
      </c>
      <c r="D615" s="91" t="s">
        <v>124</v>
      </c>
      <c r="E615" s="94">
        <v>9</v>
      </c>
      <c r="F615" s="22" t="s">
        <v>265</v>
      </c>
    </row>
    <row r="616" spans="1:6">
      <c r="A616" s="22" t="s">
        <v>596</v>
      </c>
      <c r="B616" s="33" t="s">
        <v>604</v>
      </c>
      <c r="C616" s="6" t="s">
        <v>301</v>
      </c>
      <c r="D616" s="91" t="s">
        <v>124</v>
      </c>
      <c r="E616" s="94">
        <v>5</v>
      </c>
      <c r="F616" s="22" t="s">
        <v>265</v>
      </c>
    </row>
    <row r="617" spans="1:6">
      <c r="A617" s="22" t="s">
        <v>596</v>
      </c>
      <c r="B617" s="33" t="s">
        <v>632</v>
      </c>
      <c r="C617" s="6" t="s">
        <v>301</v>
      </c>
      <c r="D617" s="91" t="s">
        <v>124</v>
      </c>
      <c r="E617" s="94">
        <v>2.5</v>
      </c>
      <c r="F617" s="22" t="s">
        <v>265</v>
      </c>
    </row>
    <row r="618" spans="1:6">
      <c r="A618" s="22" t="s">
        <v>596</v>
      </c>
      <c r="B618" s="33" t="s">
        <v>633</v>
      </c>
      <c r="C618" s="6" t="s">
        <v>301</v>
      </c>
      <c r="D618" s="91" t="s">
        <v>124</v>
      </c>
      <c r="E618" s="94">
        <v>5.5</v>
      </c>
      <c r="F618" s="22" t="s">
        <v>265</v>
      </c>
    </row>
    <row r="619" spans="1:6">
      <c r="A619" s="22" t="s">
        <v>596</v>
      </c>
      <c r="B619" s="33" t="s">
        <v>634</v>
      </c>
      <c r="C619" s="6" t="s">
        <v>301</v>
      </c>
      <c r="D619" s="91" t="s">
        <v>124</v>
      </c>
      <c r="E619" s="94">
        <v>35</v>
      </c>
      <c r="F619" s="22" t="s">
        <v>265</v>
      </c>
    </row>
    <row r="620" spans="1:6">
      <c r="A620" s="22" t="s">
        <v>596</v>
      </c>
      <c r="B620" s="33" t="s">
        <v>635</v>
      </c>
      <c r="C620" s="6" t="s">
        <v>301</v>
      </c>
      <c r="D620" s="91" t="s">
        <v>124</v>
      </c>
      <c r="E620" s="94">
        <v>95</v>
      </c>
      <c r="F620" s="22" t="s">
        <v>265</v>
      </c>
    </row>
    <row r="621" spans="1:6">
      <c r="A621" s="22" t="s">
        <v>596</v>
      </c>
      <c r="B621" s="33" t="s">
        <v>636</v>
      </c>
      <c r="C621" s="6" t="s">
        <v>301</v>
      </c>
      <c r="D621" s="91" t="s">
        <v>622</v>
      </c>
      <c r="E621" s="94">
        <v>20</v>
      </c>
      <c r="F621" s="22" t="s">
        <v>265</v>
      </c>
    </row>
    <row r="622" spans="1:6">
      <c r="A622" s="22" t="s">
        <v>596</v>
      </c>
      <c r="B622" s="33" t="s">
        <v>637</v>
      </c>
      <c r="C622" s="6" t="s">
        <v>301</v>
      </c>
      <c r="D622" s="91" t="s">
        <v>524</v>
      </c>
      <c r="E622" s="94">
        <v>45</v>
      </c>
      <c r="F622" s="22" t="s">
        <v>265</v>
      </c>
    </row>
    <row r="623" spans="1:6">
      <c r="A623" s="22" t="s">
        <v>596</v>
      </c>
      <c r="B623" s="33" t="s">
        <v>621</v>
      </c>
      <c r="C623" s="6" t="s">
        <v>301</v>
      </c>
      <c r="D623" s="91" t="s">
        <v>399</v>
      </c>
      <c r="E623" s="94">
        <v>80</v>
      </c>
      <c r="F623" s="22" t="s">
        <v>265</v>
      </c>
    </row>
    <row r="624" spans="1:6">
      <c r="A624" s="22" t="s">
        <v>596</v>
      </c>
      <c r="B624" s="33" t="s">
        <v>638</v>
      </c>
      <c r="C624" s="6" t="s">
        <v>301</v>
      </c>
      <c r="D624" s="91" t="s">
        <v>124</v>
      </c>
      <c r="E624" s="94">
        <v>32</v>
      </c>
      <c r="F624" s="22" t="s">
        <v>265</v>
      </c>
    </row>
    <row r="625" spans="1:6">
      <c r="A625" s="22" t="s">
        <v>596</v>
      </c>
      <c r="B625" s="33" t="s">
        <v>639</v>
      </c>
      <c r="C625" s="6" t="s">
        <v>301</v>
      </c>
      <c r="D625" s="91" t="s">
        <v>124</v>
      </c>
      <c r="E625" s="94">
        <v>35</v>
      </c>
      <c r="F625" s="22" t="s">
        <v>265</v>
      </c>
    </row>
    <row r="626" spans="1:6">
      <c r="A626" s="22" t="s">
        <v>596</v>
      </c>
      <c r="B626" s="33" t="s">
        <v>640</v>
      </c>
      <c r="C626" s="6" t="s">
        <v>301</v>
      </c>
      <c r="D626" s="91" t="s">
        <v>124</v>
      </c>
      <c r="E626" s="94">
        <v>15</v>
      </c>
      <c r="F626" s="22" t="s">
        <v>265</v>
      </c>
    </row>
    <row r="627" spans="1:6">
      <c r="A627" s="22" t="s">
        <v>596</v>
      </c>
      <c r="B627" s="33" t="s">
        <v>641</v>
      </c>
      <c r="C627" s="6" t="s">
        <v>301</v>
      </c>
      <c r="D627" s="91" t="s">
        <v>124</v>
      </c>
      <c r="E627" s="94">
        <v>5</v>
      </c>
      <c r="F627" s="22" t="s">
        <v>265</v>
      </c>
    </row>
    <row r="628" spans="1:6">
      <c r="A628" s="22" t="s">
        <v>596</v>
      </c>
      <c r="B628" s="33" t="s">
        <v>642</v>
      </c>
      <c r="C628" s="6" t="s">
        <v>301</v>
      </c>
      <c r="D628" s="91" t="s">
        <v>399</v>
      </c>
      <c r="E628" s="94">
        <v>20</v>
      </c>
      <c r="F628" s="22" t="s">
        <v>265</v>
      </c>
    </row>
    <row r="629" spans="1:6">
      <c r="A629" s="22" t="s">
        <v>596</v>
      </c>
      <c r="B629" s="33" t="s">
        <v>643</v>
      </c>
      <c r="C629" s="6" t="s">
        <v>301</v>
      </c>
      <c r="D629" s="91" t="s">
        <v>399</v>
      </c>
      <c r="E629" s="94">
        <v>30</v>
      </c>
      <c r="F629" s="22" t="s">
        <v>265</v>
      </c>
    </row>
    <row r="630" spans="1:6">
      <c r="A630" s="22" t="s">
        <v>596</v>
      </c>
      <c r="B630" s="33" t="s">
        <v>644</v>
      </c>
      <c r="C630" s="6" t="s">
        <v>301</v>
      </c>
      <c r="D630" s="91" t="s">
        <v>598</v>
      </c>
      <c r="E630" s="94">
        <v>5</v>
      </c>
      <c r="F630" s="22" t="s">
        <v>265</v>
      </c>
    </row>
    <row r="631" spans="1:6">
      <c r="A631" s="22" t="s">
        <v>596</v>
      </c>
      <c r="B631" s="33" t="s">
        <v>612</v>
      </c>
      <c r="C631" s="6" t="s">
        <v>301</v>
      </c>
      <c r="D631" s="91" t="s">
        <v>124</v>
      </c>
      <c r="E631" s="94">
        <v>2.5</v>
      </c>
      <c r="F631" s="22" t="s">
        <v>265</v>
      </c>
    </row>
    <row r="632" spans="1:6">
      <c r="A632" s="22" t="s">
        <v>596</v>
      </c>
      <c r="B632" s="33" t="s">
        <v>633</v>
      </c>
      <c r="C632" s="6" t="s">
        <v>301</v>
      </c>
      <c r="D632" s="91" t="s">
        <v>124</v>
      </c>
      <c r="E632" s="94">
        <v>6</v>
      </c>
      <c r="F632" s="22" t="s">
        <v>265</v>
      </c>
    </row>
    <row r="633" spans="1:6">
      <c r="A633" s="22" t="s">
        <v>596</v>
      </c>
      <c r="B633" s="33" t="s">
        <v>645</v>
      </c>
      <c r="C633" s="6" t="s">
        <v>301</v>
      </c>
      <c r="D633" s="91" t="s">
        <v>124</v>
      </c>
      <c r="E633" s="94">
        <v>6</v>
      </c>
      <c r="F633" s="22" t="s">
        <v>265</v>
      </c>
    </row>
    <row r="634" spans="1:6">
      <c r="A634" s="22" t="s">
        <v>596</v>
      </c>
      <c r="B634" s="33" t="s">
        <v>646</v>
      </c>
      <c r="C634" s="6" t="s">
        <v>301</v>
      </c>
      <c r="D634" s="91" t="s">
        <v>124</v>
      </c>
      <c r="E634" s="94">
        <v>5.5</v>
      </c>
      <c r="F634" s="22" t="s">
        <v>265</v>
      </c>
    </row>
    <row r="635" spans="1:6">
      <c r="A635" s="22" t="s">
        <v>596</v>
      </c>
      <c r="B635" s="33" t="s">
        <v>647</v>
      </c>
      <c r="C635" s="6" t="s">
        <v>301</v>
      </c>
      <c r="D635" s="91" t="s">
        <v>329</v>
      </c>
      <c r="E635" s="94">
        <v>45</v>
      </c>
      <c r="F635" s="22" t="s">
        <v>265</v>
      </c>
    </row>
    <row r="636" spans="1:6">
      <c r="A636" s="22" t="s">
        <v>596</v>
      </c>
      <c r="B636" s="33" t="s">
        <v>648</v>
      </c>
      <c r="C636" s="6" t="s">
        <v>301</v>
      </c>
      <c r="D636" s="91" t="s">
        <v>124</v>
      </c>
      <c r="E636" s="94">
        <v>8</v>
      </c>
      <c r="F636" s="22" t="s">
        <v>265</v>
      </c>
    </row>
    <row r="637" spans="1:6">
      <c r="A637" s="22" t="s">
        <v>596</v>
      </c>
      <c r="B637" s="33" t="s">
        <v>649</v>
      </c>
      <c r="C637" s="6" t="s">
        <v>572</v>
      </c>
      <c r="D637" s="91" t="s">
        <v>124</v>
      </c>
      <c r="E637" s="94">
        <v>95</v>
      </c>
      <c r="F637" s="22" t="s">
        <v>265</v>
      </c>
    </row>
    <row r="638" spans="1:6">
      <c r="A638" s="22" t="s">
        <v>596</v>
      </c>
      <c r="B638" s="33" t="s">
        <v>650</v>
      </c>
      <c r="C638" s="6" t="s">
        <v>572</v>
      </c>
      <c r="D638" s="91" t="s">
        <v>124</v>
      </c>
      <c r="E638" s="94">
        <v>115</v>
      </c>
      <c r="F638" s="22" t="s">
        <v>265</v>
      </c>
    </row>
    <row r="639" spans="1:6">
      <c r="A639" s="22" t="s">
        <v>596</v>
      </c>
      <c r="B639" s="33" t="s">
        <v>651</v>
      </c>
      <c r="C639" s="6" t="s">
        <v>301</v>
      </c>
      <c r="D639" s="91" t="s">
        <v>329</v>
      </c>
      <c r="E639" s="94">
        <v>1.5</v>
      </c>
      <c r="F639" s="22" t="s">
        <v>265</v>
      </c>
    </row>
    <row r="640" spans="1:6">
      <c r="A640" s="22" t="s">
        <v>596</v>
      </c>
      <c r="B640" s="33" t="s">
        <v>652</v>
      </c>
      <c r="C640" s="6" t="s">
        <v>301</v>
      </c>
      <c r="D640" s="91" t="s">
        <v>124</v>
      </c>
      <c r="E640" s="94">
        <v>5.5</v>
      </c>
      <c r="F640" s="22" t="s">
        <v>265</v>
      </c>
    </row>
    <row r="641" spans="1:6">
      <c r="A641" s="22" t="s">
        <v>596</v>
      </c>
      <c r="B641" s="33" t="s">
        <v>613</v>
      </c>
      <c r="C641" s="6" t="s">
        <v>301</v>
      </c>
      <c r="D641" s="91" t="s">
        <v>124</v>
      </c>
      <c r="E641" s="94">
        <v>75</v>
      </c>
      <c r="F641" s="22" t="s">
        <v>265</v>
      </c>
    </row>
    <row r="642" spans="1:6">
      <c r="A642" s="22" t="s">
        <v>596</v>
      </c>
      <c r="B642" s="33" t="s">
        <v>623</v>
      </c>
      <c r="C642" s="6" t="s">
        <v>301</v>
      </c>
      <c r="D642" s="91" t="s">
        <v>399</v>
      </c>
      <c r="E642" s="94">
        <v>15</v>
      </c>
      <c r="F642" s="22" t="s">
        <v>265</v>
      </c>
    </row>
    <row r="643" spans="1:6">
      <c r="A643" s="22" t="s">
        <v>596</v>
      </c>
      <c r="B643" s="33" t="s">
        <v>640</v>
      </c>
      <c r="C643" s="6" t="s">
        <v>301</v>
      </c>
      <c r="D643" s="91" t="s">
        <v>124</v>
      </c>
      <c r="E643" s="94">
        <v>25</v>
      </c>
      <c r="F643" s="22" t="s">
        <v>265</v>
      </c>
    </row>
    <row r="644" spans="1:6">
      <c r="A644" s="22" t="s">
        <v>596</v>
      </c>
      <c r="B644" s="33" t="s">
        <v>621</v>
      </c>
      <c r="C644" s="6" t="s">
        <v>301</v>
      </c>
      <c r="D644" s="91" t="s">
        <v>399</v>
      </c>
      <c r="E644" s="94">
        <v>75</v>
      </c>
      <c r="F644" s="22" t="s">
        <v>265</v>
      </c>
    </row>
    <row r="645" spans="1:6">
      <c r="A645" s="22" t="s">
        <v>596</v>
      </c>
      <c r="B645" s="33" t="s">
        <v>653</v>
      </c>
      <c r="C645" s="6" t="s">
        <v>301</v>
      </c>
      <c r="D645" s="91" t="s">
        <v>124</v>
      </c>
      <c r="E645" s="94">
        <v>12</v>
      </c>
      <c r="F645" s="22" t="s">
        <v>265</v>
      </c>
    </row>
    <row r="646" spans="1:6">
      <c r="A646" s="22" t="s">
        <v>596</v>
      </c>
      <c r="B646" s="33" t="s">
        <v>604</v>
      </c>
      <c r="C646" s="6" t="s">
        <v>301</v>
      </c>
      <c r="D646" s="91" t="s">
        <v>124</v>
      </c>
      <c r="E646" s="94">
        <v>5</v>
      </c>
      <c r="F646" s="22" t="s">
        <v>265</v>
      </c>
    </row>
    <row r="647" spans="1:6">
      <c r="A647" s="22" t="s">
        <v>596</v>
      </c>
      <c r="B647" s="33" t="s">
        <v>654</v>
      </c>
      <c r="C647" s="6" t="s">
        <v>301</v>
      </c>
      <c r="D647" s="91" t="s">
        <v>124</v>
      </c>
      <c r="E647" s="94">
        <v>0.2</v>
      </c>
      <c r="F647" s="22" t="s">
        <v>265</v>
      </c>
    </row>
    <row r="648" spans="1:6">
      <c r="A648" s="22" t="s">
        <v>596</v>
      </c>
      <c r="B648" s="33" t="s">
        <v>655</v>
      </c>
      <c r="C648" s="6" t="s">
        <v>301</v>
      </c>
      <c r="D648" s="91" t="s">
        <v>329</v>
      </c>
      <c r="E648" s="94">
        <v>55</v>
      </c>
      <c r="F648" s="22" t="s">
        <v>265</v>
      </c>
    </row>
    <row r="649" spans="1:6">
      <c r="A649" s="22" t="s">
        <v>596</v>
      </c>
      <c r="B649" s="33" t="s">
        <v>656</v>
      </c>
      <c r="C649" s="6" t="s">
        <v>301</v>
      </c>
      <c r="D649" s="91" t="s">
        <v>124</v>
      </c>
      <c r="E649" s="94">
        <v>3.5</v>
      </c>
      <c r="F649" s="22" t="s">
        <v>265</v>
      </c>
    </row>
    <row r="650" spans="1:6">
      <c r="A650" s="22" t="s">
        <v>596</v>
      </c>
      <c r="B650" s="33" t="s">
        <v>657</v>
      </c>
      <c r="C650" s="6" t="s">
        <v>301</v>
      </c>
      <c r="D650" s="91" t="s">
        <v>399</v>
      </c>
      <c r="E650" s="94">
        <v>5</v>
      </c>
      <c r="F650" s="22" t="s">
        <v>265</v>
      </c>
    </row>
    <row r="651" spans="1:6">
      <c r="A651" s="22" t="s">
        <v>596</v>
      </c>
      <c r="B651" s="33" t="s">
        <v>658</v>
      </c>
      <c r="C651" s="6" t="s">
        <v>301</v>
      </c>
      <c r="D651" s="91" t="s">
        <v>622</v>
      </c>
      <c r="E651" s="94">
        <v>295</v>
      </c>
      <c r="F651" s="22" t="s">
        <v>265</v>
      </c>
    </row>
    <row r="652" spans="1:6">
      <c r="A652" s="22" t="s">
        <v>596</v>
      </c>
      <c r="B652" s="33" t="s">
        <v>659</v>
      </c>
      <c r="C652" s="6" t="s">
        <v>301</v>
      </c>
      <c r="D652" s="91" t="s">
        <v>408</v>
      </c>
      <c r="E652" s="94">
        <v>65</v>
      </c>
      <c r="F652" s="22" t="s">
        <v>265</v>
      </c>
    </row>
    <row r="653" spans="1:6">
      <c r="A653" s="22" t="s">
        <v>596</v>
      </c>
      <c r="B653" s="33" t="s">
        <v>660</v>
      </c>
      <c r="C653" s="6" t="s">
        <v>301</v>
      </c>
      <c r="D653" s="91" t="s">
        <v>622</v>
      </c>
      <c r="E653" s="94">
        <v>65</v>
      </c>
      <c r="F653" s="22" t="s">
        <v>265</v>
      </c>
    </row>
    <row r="654" spans="1:6">
      <c r="A654" s="22" t="s">
        <v>596</v>
      </c>
      <c r="B654" s="33" t="s">
        <v>661</v>
      </c>
      <c r="C654" s="6" t="s">
        <v>301</v>
      </c>
      <c r="D654" s="91" t="s">
        <v>547</v>
      </c>
      <c r="E654" s="94">
        <v>35</v>
      </c>
      <c r="F654" s="22" t="s">
        <v>265</v>
      </c>
    </row>
    <row r="655" spans="1:6">
      <c r="A655" s="22" t="s">
        <v>596</v>
      </c>
      <c r="B655" s="33" t="s">
        <v>662</v>
      </c>
      <c r="C655" s="6" t="s">
        <v>301</v>
      </c>
      <c r="D655" s="91" t="s">
        <v>547</v>
      </c>
      <c r="E655" s="94">
        <v>25</v>
      </c>
      <c r="F655" s="22" t="s">
        <v>265</v>
      </c>
    </row>
    <row r="656" spans="1:6">
      <c r="A656" s="22" t="s">
        <v>596</v>
      </c>
      <c r="B656" s="33" t="s">
        <v>663</v>
      </c>
      <c r="C656" s="6" t="s">
        <v>301</v>
      </c>
      <c r="D656" s="91" t="s">
        <v>547</v>
      </c>
      <c r="E656" s="94">
        <v>55</v>
      </c>
      <c r="F656" s="22" t="s">
        <v>265</v>
      </c>
    </row>
    <row r="657" spans="1:6">
      <c r="A657" s="22" t="s">
        <v>596</v>
      </c>
      <c r="B657" s="33" t="s">
        <v>633</v>
      </c>
      <c r="C657" s="6" t="s">
        <v>301</v>
      </c>
      <c r="D657" s="91" t="s">
        <v>547</v>
      </c>
      <c r="E657" s="94">
        <v>5.5</v>
      </c>
      <c r="F657" s="22" t="s">
        <v>265</v>
      </c>
    </row>
    <row r="658" spans="1:6">
      <c r="A658" s="22" t="s">
        <v>596</v>
      </c>
      <c r="B658" s="33" t="s">
        <v>619</v>
      </c>
      <c r="C658" s="6" t="s">
        <v>301</v>
      </c>
      <c r="D658" s="91" t="s">
        <v>547</v>
      </c>
      <c r="E658" s="94">
        <v>5</v>
      </c>
      <c r="F658" s="22" t="s">
        <v>265</v>
      </c>
    </row>
    <row r="659" spans="1:6">
      <c r="A659" s="22" t="s">
        <v>596</v>
      </c>
      <c r="B659" s="33" t="s">
        <v>664</v>
      </c>
      <c r="C659" s="6" t="s">
        <v>301</v>
      </c>
      <c r="D659" s="91" t="s">
        <v>547</v>
      </c>
      <c r="E659" s="94">
        <v>9</v>
      </c>
      <c r="F659" s="22" t="s">
        <v>265</v>
      </c>
    </row>
    <row r="660" spans="1:6">
      <c r="A660" s="22" t="s">
        <v>596</v>
      </c>
      <c r="B660" s="33" t="s">
        <v>665</v>
      </c>
      <c r="C660" s="6" t="s">
        <v>301</v>
      </c>
      <c r="D660" s="91" t="s">
        <v>547</v>
      </c>
      <c r="E660" s="94">
        <v>14</v>
      </c>
      <c r="F660" s="22" t="s">
        <v>265</v>
      </c>
    </row>
    <row r="661" spans="1:6">
      <c r="A661" s="22" t="s">
        <v>596</v>
      </c>
      <c r="B661" s="33" t="s">
        <v>609</v>
      </c>
      <c r="C661" s="6" t="s">
        <v>301</v>
      </c>
      <c r="D661" s="91" t="s">
        <v>399</v>
      </c>
      <c r="E661" s="94">
        <v>3</v>
      </c>
      <c r="F661" s="22" t="s">
        <v>265</v>
      </c>
    </row>
    <row r="662" spans="1:6">
      <c r="A662" s="22" t="s">
        <v>596</v>
      </c>
      <c r="B662" s="33" t="s">
        <v>666</v>
      </c>
      <c r="C662" s="6" t="s">
        <v>301</v>
      </c>
      <c r="D662" s="91" t="s">
        <v>399</v>
      </c>
      <c r="E662" s="94">
        <v>20</v>
      </c>
      <c r="F662" s="22" t="s">
        <v>265</v>
      </c>
    </row>
    <row r="663" spans="1:6">
      <c r="A663" s="22" t="s">
        <v>596</v>
      </c>
      <c r="B663" s="33" t="s">
        <v>667</v>
      </c>
      <c r="C663" s="6" t="s">
        <v>301</v>
      </c>
      <c r="D663" s="91" t="s">
        <v>399</v>
      </c>
      <c r="E663" s="94">
        <v>25</v>
      </c>
      <c r="F663" s="22" t="s">
        <v>265</v>
      </c>
    </row>
    <row r="664" spans="1:6">
      <c r="A664" s="22" t="s">
        <v>596</v>
      </c>
      <c r="B664" s="33" t="s">
        <v>668</v>
      </c>
      <c r="C664" s="6" t="s">
        <v>301</v>
      </c>
      <c r="D664" s="91" t="s">
        <v>547</v>
      </c>
      <c r="E664" s="94">
        <v>7</v>
      </c>
      <c r="F664" s="22" t="s">
        <v>265</v>
      </c>
    </row>
    <row r="665" spans="1:6">
      <c r="A665" s="22" t="s">
        <v>596</v>
      </c>
      <c r="B665" s="33" t="s">
        <v>578</v>
      </c>
      <c r="C665" s="6" t="s">
        <v>270</v>
      </c>
      <c r="D665" s="91" t="s">
        <v>522</v>
      </c>
      <c r="E665" s="94">
        <v>325</v>
      </c>
      <c r="F665" s="22" t="s">
        <v>265</v>
      </c>
    </row>
    <row r="666" spans="1:6">
      <c r="A666" s="22" t="s">
        <v>596</v>
      </c>
      <c r="B666" s="33" t="s">
        <v>579</v>
      </c>
      <c r="C666" s="6" t="s">
        <v>270</v>
      </c>
      <c r="D666" s="91" t="s">
        <v>522</v>
      </c>
      <c r="E666" s="94">
        <v>325</v>
      </c>
      <c r="F666" s="22" t="s">
        <v>265</v>
      </c>
    </row>
    <row r="667" spans="1:6">
      <c r="A667" s="22" t="s">
        <v>596</v>
      </c>
      <c r="B667" s="33" t="s">
        <v>669</v>
      </c>
      <c r="C667" s="6" t="s">
        <v>270</v>
      </c>
      <c r="D667" s="91" t="s">
        <v>124</v>
      </c>
      <c r="E667" s="94">
        <v>950</v>
      </c>
      <c r="F667" s="22" t="s">
        <v>265</v>
      </c>
    </row>
    <row r="668" spans="1:6">
      <c r="A668" s="22" t="s">
        <v>596</v>
      </c>
      <c r="B668" s="33" t="s">
        <v>670</v>
      </c>
      <c r="C668" s="6" t="s">
        <v>270</v>
      </c>
      <c r="D668" s="91" t="s">
        <v>124</v>
      </c>
      <c r="E668" s="94">
        <v>165</v>
      </c>
      <c r="F668" s="22" t="s">
        <v>265</v>
      </c>
    </row>
    <row r="669" spans="1:6">
      <c r="A669" s="22" t="s">
        <v>596</v>
      </c>
      <c r="B669" s="33" t="s">
        <v>671</v>
      </c>
      <c r="C669" s="6" t="s">
        <v>270</v>
      </c>
      <c r="D669" s="91" t="s">
        <v>124</v>
      </c>
      <c r="E669" s="94">
        <v>190</v>
      </c>
      <c r="F669" s="22" t="s">
        <v>265</v>
      </c>
    </row>
    <row r="670" spans="1:6">
      <c r="A670" s="22" t="s">
        <v>596</v>
      </c>
      <c r="B670" s="33" t="s">
        <v>672</v>
      </c>
      <c r="C670" s="6" t="s">
        <v>270</v>
      </c>
      <c r="D670" s="91" t="s">
        <v>329</v>
      </c>
      <c r="E670" s="94">
        <v>30</v>
      </c>
      <c r="F670" s="22" t="s">
        <v>265</v>
      </c>
    </row>
    <row r="671" spans="1:6">
      <c r="A671" s="22" t="s">
        <v>596</v>
      </c>
      <c r="B671" s="33" t="s">
        <v>673</v>
      </c>
      <c r="C671" s="6" t="s">
        <v>270</v>
      </c>
      <c r="D671" s="91" t="s">
        <v>124</v>
      </c>
      <c r="E671" s="94">
        <v>15</v>
      </c>
      <c r="F671" s="22" t="s">
        <v>265</v>
      </c>
    </row>
    <row r="672" spans="1:6">
      <c r="A672" s="22" t="s">
        <v>596</v>
      </c>
      <c r="B672" s="33" t="s">
        <v>674</v>
      </c>
      <c r="C672" s="6" t="s">
        <v>270</v>
      </c>
      <c r="D672" s="91" t="s">
        <v>524</v>
      </c>
      <c r="E672" s="94">
        <v>37</v>
      </c>
      <c r="F672" s="22" t="s">
        <v>265</v>
      </c>
    </row>
    <row r="673" spans="1:6">
      <c r="A673" s="22" t="s">
        <v>596</v>
      </c>
      <c r="B673" s="33" t="s">
        <v>397</v>
      </c>
      <c r="C673" s="6" t="s">
        <v>270</v>
      </c>
      <c r="D673" s="91" t="s">
        <v>124</v>
      </c>
      <c r="E673" s="94">
        <v>0.7</v>
      </c>
      <c r="F673" s="22" t="s">
        <v>265</v>
      </c>
    </row>
    <row r="674" spans="1:6">
      <c r="A674" s="22" t="s">
        <v>596</v>
      </c>
      <c r="B674" s="33" t="s">
        <v>613</v>
      </c>
      <c r="C674" s="6" t="s">
        <v>270</v>
      </c>
      <c r="D674" s="91" t="s">
        <v>124</v>
      </c>
      <c r="E674" s="94">
        <v>30</v>
      </c>
      <c r="F674" s="22" t="s">
        <v>265</v>
      </c>
    </row>
    <row r="675" spans="1:6">
      <c r="A675" s="22" t="s">
        <v>596</v>
      </c>
      <c r="B675" s="33" t="s">
        <v>633</v>
      </c>
      <c r="C675" s="6" t="s">
        <v>270</v>
      </c>
      <c r="D675" s="91" t="s">
        <v>124</v>
      </c>
      <c r="E675" s="94">
        <v>3.5</v>
      </c>
      <c r="F675" s="22" t="s">
        <v>265</v>
      </c>
    </row>
    <row r="676" spans="1:6">
      <c r="A676" s="22" t="s">
        <v>596</v>
      </c>
      <c r="B676" s="33" t="s">
        <v>636</v>
      </c>
      <c r="C676" s="6" t="s">
        <v>270</v>
      </c>
      <c r="D676" s="91" t="s">
        <v>622</v>
      </c>
      <c r="E676" s="94">
        <v>16.5</v>
      </c>
      <c r="F676" s="22" t="s">
        <v>265</v>
      </c>
    </row>
    <row r="677" spans="1:6">
      <c r="A677" s="22" t="s">
        <v>596</v>
      </c>
      <c r="B677" s="33" t="s">
        <v>675</v>
      </c>
      <c r="C677" s="6" t="s">
        <v>270</v>
      </c>
      <c r="D677" s="91" t="s">
        <v>124</v>
      </c>
      <c r="E677" s="94">
        <v>65</v>
      </c>
      <c r="F677" s="22" t="s">
        <v>265</v>
      </c>
    </row>
    <row r="678" spans="1:6">
      <c r="A678" s="22" t="s">
        <v>596</v>
      </c>
      <c r="B678" s="33" t="s">
        <v>676</v>
      </c>
      <c r="C678" s="6" t="s">
        <v>270</v>
      </c>
      <c r="D678" s="91" t="s">
        <v>677</v>
      </c>
      <c r="E678" s="94">
        <v>22</v>
      </c>
      <c r="F678" s="22" t="s">
        <v>265</v>
      </c>
    </row>
    <row r="679" spans="1:6">
      <c r="A679" s="22" t="s">
        <v>596</v>
      </c>
      <c r="B679" s="33" t="s">
        <v>678</v>
      </c>
      <c r="C679" s="6" t="s">
        <v>270</v>
      </c>
      <c r="D679" s="91" t="s">
        <v>124</v>
      </c>
      <c r="E679" s="94">
        <v>5.75</v>
      </c>
      <c r="F679" s="22" t="s">
        <v>265</v>
      </c>
    </row>
    <row r="680" spans="1:6">
      <c r="A680" s="22" t="s">
        <v>596</v>
      </c>
      <c r="B680" s="33" t="s">
        <v>679</v>
      </c>
      <c r="C680" s="6" t="s">
        <v>270</v>
      </c>
      <c r="D680" s="91" t="s">
        <v>124</v>
      </c>
      <c r="E680" s="94">
        <v>10</v>
      </c>
      <c r="F680" s="22" t="s">
        <v>265</v>
      </c>
    </row>
    <row r="681" spans="1:6">
      <c r="A681" s="22" t="s">
        <v>596</v>
      </c>
      <c r="B681" s="33" t="s">
        <v>619</v>
      </c>
      <c r="C681" s="6" t="s">
        <v>270</v>
      </c>
      <c r="D681" s="91" t="s">
        <v>124</v>
      </c>
      <c r="E681" s="94">
        <v>4</v>
      </c>
      <c r="F681" s="22" t="s">
        <v>265</v>
      </c>
    </row>
    <row r="682" spans="1:6">
      <c r="A682" s="22" t="s">
        <v>596</v>
      </c>
      <c r="B682" s="33" t="s">
        <v>648</v>
      </c>
      <c r="C682" s="6" t="s">
        <v>270</v>
      </c>
      <c r="D682" s="91" t="s">
        <v>124</v>
      </c>
      <c r="E682" s="94">
        <v>5</v>
      </c>
      <c r="F682" s="22" t="s">
        <v>265</v>
      </c>
    </row>
    <row r="683" spans="1:6">
      <c r="A683" s="22" t="s">
        <v>596</v>
      </c>
      <c r="B683" s="33" t="s">
        <v>680</v>
      </c>
      <c r="C683" s="6" t="s">
        <v>270</v>
      </c>
      <c r="D683" s="91" t="s">
        <v>124</v>
      </c>
      <c r="E683" s="94">
        <v>6</v>
      </c>
      <c r="F683" s="22" t="s">
        <v>265</v>
      </c>
    </row>
    <row r="684" spans="1:6">
      <c r="A684" s="22" t="s">
        <v>596</v>
      </c>
      <c r="B684" s="33" t="s">
        <v>681</v>
      </c>
      <c r="C684" s="6" t="s">
        <v>270</v>
      </c>
      <c r="D684" s="91" t="s">
        <v>124</v>
      </c>
      <c r="E684" s="94">
        <v>12</v>
      </c>
      <c r="F684" s="22" t="s">
        <v>265</v>
      </c>
    </row>
    <row r="685" spans="1:6">
      <c r="A685" s="22" t="s">
        <v>596</v>
      </c>
      <c r="B685" s="33" t="s">
        <v>682</v>
      </c>
      <c r="C685" s="6" t="s">
        <v>270</v>
      </c>
      <c r="D685" s="91" t="s">
        <v>124</v>
      </c>
      <c r="E685" s="94">
        <v>4.5</v>
      </c>
      <c r="F685" s="22" t="s">
        <v>265</v>
      </c>
    </row>
    <row r="686" spans="1:6">
      <c r="A686" s="22" t="s">
        <v>596</v>
      </c>
      <c r="B686" s="33" t="s">
        <v>640</v>
      </c>
      <c r="C686" s="6" t="s">
        <v>270</v>
      </c>
      <c r="D686" s="91" t="s">
        <v>124</v>
      </c>
      <c r="E686" s="94">
        <v>4.5</v>
      </c>
      <c r="F686" s="22" t="s">
        <v>265</v>
      </c>
    </row>
    <row r="687" spans="1:6">
      <c r="A687" s="22" t="s">
        <v>596</v>
      </c>
      <c r="B687" s="33" t="s">
        <v>626</v>
      </c>
      <c r="C687" s="6" t="s">
        <v>270</v>
      </c>
      <c r="D687" s="91" t="s">
        <v>124</v>
      </c>
      <c r="E687" s="94">
        <v>12</v>
      </c>
      <c r="F687" s="22" t="s">
        <v>265</v>
      </c>
    </row>
    <row r="688" spans="1:6">
      <c r="A688" s="22" t="s">
        <v>596</v>
      </c>
      <c r="B688" s="33" t="s">
        <v>683</v>
      </c>
      <c r="C688" s="6" t="s">
        <v>270</v>
      </c>
      <c r="D688" s="91" t="s">
        <v>124</v>
      </c>
      <c r="E688" s="94">
        <v>18</v>
      </c>
      <c r="F688" s="22" t="s">
        <v>265</v>
      </c>
    </row>
    <row r="689" spans="1:6">
      <c r="A689" s="22" t="s">
        <v>596</v>
      </c>
      <c r="B689" s="33" t="s">
        <v>684</v>
      </c>
      <c r="C689" s="6" t="s">
        <v>270</v>
      </c>
      <c r="D689" s="91" t="s">
        <v>124</v>
      </c>
      <c r="E689" s="94">
        <v>25</v>
      </c>
      <c r="F689" s="22" t="s">
        <v>265</v>
      </c>
    </row>
    <row r="690" spans="1:6">
      <c r="A690" s="22" t="s">
        <v>596</v>
      </c>
      <c r="B690" s="33" t="s">
        <v>685</v>
      </c>
      <c r="C690" s="6" t="s">
        <v>270</v>
      </c>
      <c r="D690" s="91" t="s">
        <v>124</v>
      </c>
      <c r="E690" s="94">
        <v>0.12</v>
      </c>
      <c r="F690" s="22" t="s">
        <v>265</v>
      </c>
    </row>
    <row r="691" spans="1:6">
      <c r="A691" s="22" t="s">
        <v>596</v>
      </c>
      <c r="B691" s="33" t="s">
        <v>686</v>
      </c>
      <c r="C691" s="6" t="s">
        <v>270</v>
      </c>
      <c r="D691" s="91" t="s">
        <v>124</v>
      </c>
      <c r="E691" s="94">
        <v>1</v>
      </c>
      <c r="F691" s="22" t="s">
        <v>265</v>
      </c>
    </row>
    <row r="692" spans="1:6">
      <c r="A692" s="22" t="s">
        <v>596</v>
      </c>
      <c r="B692" s="33" t="s">
        <v>633</v>
      </c>
      <c r="C692" s="6" t="s">
        <v>270</v>
      </c>
      <c r="D692" s="91" t="s">
        <v>124</v>
      </c>
      <c r="E692" s="94">
        <v>3.5</v>
      </c>
      <c r="F692" s="22" t="s">
        <v>265</v>
      </c>
    </row>
    <row r="693" spans="1:6">
      <c r="A693" s="22" t="s">
        <v>596</v>
      </c>
      <c r="B693" s="33" t="s">
        <v>687</v>
      </c>
      <c r="C693" s="6" t="s">
        <v>270</v>
      </c>
      <c r="D693" s="91" t="s">
        <v>124</v>
      </c>
      <c r="E693" s="94">
        <v>25</v>
      </c>
      <c r="F693" s="22" t="s">
        <v>265</v>
      </c>
    </row>
    <row r="694" spans="1:6">
      <c r="A694" s="22" t="s">
        <v>596</v>
      </c>
      <c r="B694" s="33" t="s">
        <v>688</v>
      </c>
      <c r="C694" s="6" t="s">
        <v>270</v>
      </c>
      <c r="D694" s="91" t="s">
        <v>616</v>
      </c>
      <c r="E694" s="94">
        <v>13</v>
      </c>
      <c r="F694" s="22" t="s">
        <v>265</v>
      </c>
    </row>
    <row r="695" spans="1:6">
      <c r="A695" s="22" t="s">
        <v>596</v>
      </c>
      <c r="B695" s="33" t="s">
        <v>689</v>
      </c>
      <c r="C695" s="6" t="s">
        <v>270</v>
      </c>
      <c r="D695" s="91" t="s">
        <v>329</v>
      </c>
      <c r="E695" s="94">
        <v>185</v>
      </c>
      <c r="F695" s="22" t="s">
        <v>265</v>
      </c>
    </row>
    <row r="696" spans="1:6">
      <c r="A696" s="22" t="s">
        <v>596</v>
      </c>
      <c r="B696" s="33" t="s">
        <v>636</v>
      </c>
      <c r="C696" s="6" t="s">
        <v>270</v>
      </c>
      <c r="D696" s="91" t="s">
        <v>622</v>
      </c>
      <c r="E696" s="94">
        <v>17</v>
      </c>
      <c r="F696" s="22" t="s">
        <v>265</v>
      </c>
    </row>
    <row r="697" spans="1:6">
      <c r="A697" s="22" t="s">
        <v>596</v>
      </c>
      <c r="B697" s="33" t="s">
        <v>690</v>
      </c>
      <c r="C697" s="6" t="s">
        <v>270</v>
      </c>
      <c r="D697" s="91" t="s">
        <v>622</v>
      </c>
      <c r="E697" s="94">
        <v>34</v>
      </c>
      <c r="F697" s="22" t="s">
        <v>265</v>
      </c>
    </row>
    <row r="698" spans="1:6">
      <c r="A698" s="22" t="s">
        <v>596</v>
      </c>
      <c r="B698" s="33" t="s">
        <v>691</v>
      </c>
      <c r="C698" s="6" t="s">
        <v>270</v>
      </c>
      <c r="D698" s="91" t="s">
        <v>124</v>
      </c>
      <c r="E698" s="94">
        <v>3</v>
      </c>
      <c r="F698" s="22" t="s">
        <v>265</v>
      </c>
    </row>
    <row r="699" spans="1:6">
      <c r="A699" s="22" t="s">
        <v>596</v>
      </c>
      <c r="B699" s="33" t="s">
        <v>692</v>
      </c>
      <c r="C699" s="6" t="s">
        <v>270</v>
      </c>
      <c r="D699" s="91" t="s">
        <v>399</v>
      </c>
      <c r="E699" s="94">
        <v>15</v>
      </c>
      <c r="F699" s="22" t="s">
        <v>265</v>
      </c>
    </row>
    <row r="700" spans="1:6">
      <c r="A700" s="22" t="s">
        <v>596</v>
      </c>
      <c r="B700" s="33" t="s">
        <v>647</v>
      </c>
      <c r="C700" s="6" t="s">
        <v>270</v>
      </c>
      <c r="D700" s="91" t="s">
        <v>329</v>
      </c>
      <c r="E700" s="94">
        <v>12</v>
      </c>
      <c r="F700" s="22" t="s">
        <v>265</v>
      </c>
    </row>
    <row r="701" spans="1:6">
      <c r="A701" s="22" t="s">
        <v>596</v>
      </c>
      <c r="B701" s="33" t="s">
        <v>693</v>
      </c>
      <c r="C701" s="6" t="s">
        <v>270</v>
      </c>
      <c r="D701" s="91" t="s">
        <v>399</v>
      </c>
      <c r="E701" s="94">
        <v>30</v>
      </c>
      <c r="F701" s="22" t="s">
        <v>265</v>
      </c>
    </row>
    <row r="702" spans="1:6">
      <c r="A702" s="22" t="s">
        <v>596</v>
      </c>
      <c r="B702" s="33" t="s">
        <v>655</v>
      </c>
      <c r="C702" s="6" t="s">
        <v>270</v>
      </c>
      <c r="D702" s="91" t="s">
        <v>329</v>
      </c>
      <c r="E702" s="94">
        <v>90</v>
      </c>
      <c r="F702" s="22" t="s">
        <v>265</v>
      </c>
    </row>
    <row r="703" spans="1:6">
      <c r="A703" s="22" t="s">
        <v>596</v>
      </c>
      <c r="B703" s="33" t="s">
        <v>651</v>
      </c>
      <c r="C703" s="6" t="s">
        <v>270</v>
      </c>
      <c r="D703" s="91" t="s">
        <v>329</v>
      </c>
      <c r="E703" s="94">
        <v>1</v>
      </c>
      <c r="F703" s="22" t="s">
        <v>265</v>
      </c>
    </row>
    <row r="704" spans="1:6">
      <c r="A704" s="22" t="s">
        <v>596</v>
      </c>
      <c r="B704" s="33" t="s">
        <v>694</v>
      </c>
      <c r="C704" s="6" t="s">
        <v>270</v>
      </c>
      <c r="D704" s="91" t="s">
        <v>329</v>
      </c>
      <c r="E704" s="94">
        <v>5</v>
      </c>
      <c r="F704" s="22" t="s">
        <v>265</v>
      </c>
    </row>
    <row r="705" spans="1:6">
      <c r="A705" s="22" t="s">
        <v>596</v>
      </c>
      <c r="B705" s="33" t="s">
        <v>695</v>
      </c>
      <c r="C705" s="6" t="s">
        <v>270</v>
      </c>
      <c r="D705" s="91" t="s">
        <v>124</v>
      </c>
      <c r="E705" s="94">
        <v>5</v>
      </c>
      <c r="F705" s="22" t="s">
        <v>265</v>
      </c>
    </row>
    <row r="706" spans="1:6">
      <c r="A706" s="22" t="s">
        <v>596</v>
      </c>
      <c r="B706" s="33" t="s">
        <v>696</v>
      </c>
      <c r="C706" s="6" t="s">
        <v>270</v>
      </c>
      <c r="D706" s="91" t="s">
        <v>124</v>
      </c>
      <c r="E706" s="94">
        <v>2.5</v>
      </c>
      <c r="F706" s="22" t="s">
        <v>265</v>
      </c>
    </row>
    <row r="707" spans="1:6">
      <c r="A707" s="22" t="s">
        <v>596</v>
      </c>
      <c r="B707" s="33" t="s">
        <v>657</v>
      </c>
      <c r="C707" s="6" t="s">
        <v>270</v>
      </c>
      <c r="D707" s="91" t="s">
        <v>399</v>
      </c>
      <c r="E707" s="94">
        <v>5.5</v>
      </c>
      <c r="F707" s="22" t="s">
        <v>265</v>
      </c>
    </row>
    <row r="708" spans="1:6">
      <c r="A708" s="22" t="s">
        <v>596</v>
      </c>
      <c r="B708" s="33" t="s">
        <v>656</v>
      </c>
      <c r="C708" s="6" t="s">
        <v>270</v>
      </c>
      <c r="D708" s="91" t="s">
        <v>124</v>
      </c>
      <c r="E708" s="94">
        <v>3</v>
      </c>
      <c r="F708" s="22" t="s">
        <v>265</v>
      </c>
    </row>
    <row r="709" spans="1:6">
      <c r="A709" s="22" t="s">
        <v>596</v>
      </c>
      <c r="B709" s="33" t="s">
        <v>697</v>
      </c>
      <c r="C709" s="6" t="s">
        <v>270</v>
      </c>
      <c r="D709" s="91" t="s">
        <v>329</v>
      </c>
      <c r="E709" s="94">
        <v>55</v>
      </c>
      <c r="F709" s="22" t="s">
        <v>265</v>
      </c>
    </row>
    <row r="710" spans="1:6">
      <c r="A710" s="22" t="s">
        <v>596</v>
      </c>
      <c r="B710" s="33" t="s">
        <v>698</v>
      </c>
      <c r="C710" s="6" t="s">
        <v>270</v>
      </c>
      <c r="D710" s="91" t="s">
        <v>124</v>
      </c>
      <c r="E710" s="94">
        <v>48</v>
      </c>
      <c r="F710" s="22" t="s">
        <v>265</v>
      </c>
    </row>
    <row r="711" spans="1:6">
      <c r="A711" s="22" t="s">
        <v>596</v>
      </c>
      <c r="B711" s="33" t="s">
        <v>629</v>
      </c>
      <c r="C711" s="6" t="s">
        <v>270</v>
      </c>
      <c r="D711" s="91" t="s">
        <v>124</v>
      </c>
      <c r="E711" s="94">
        <v>2.5</v>
      </c>
      <c r="F711" s="22" t="s">
        <v>265</v>
      </c>
    </row>
    <row r="712" spans="1:6">
      <c r="A712" s="22" t="s">
        <v>596</v>
      </c>
      <c r="B712" s="33" t="s">
        <v>699</v>
      </c>
      <c r="C712" s="6" t="s">
        <v>270</v>
      </c>
      <c r="D712" s="91" t="s">
        <v>700</v>
      </c>
      <c r="E712" s="94">
        <v>850</v>
      </c>
      <c r="F712" s="22" t="s">
        <v>265</v>
      </c>
    </row>
    <row r="713" spans="1:6">
      <c r="A713" s="22" t="s">
        <v>596</v>
      </c>
      <c r="B713" s="33" t="s">
        <v>701</v>
      </c>
      <c r="C713" s="6" t="s">
        <v>301</v>
      </c>
      <c r="D713" s="91" t="s">
        <v>702</v>
      </c>
      <c r="E713" s="94">
        <v>6.5</v>
      </c>
      <c r="F713" s="22" t="s">
        <v>265</v>
      </c>
    </row>
    <row r="714" spans="1:6">
      <c r="A714" s="22" t="s">
        <v>596</v>
      </c>
      <c r="B714" s="33" t="s">
        <v>703</v>
      </c>
      <c r="C714" s="6" t="s">
        <v>301</v>
      </c>
      <c r="D714" s="91" t="s">
        <v>124</v>
      </c>
      <c r="E714" s="94">
        <v>5.25</v>
      </c>
      <c r="F714" s="22" t="s">
        <v>265</v>
      </c>
    </row>
    <row r="715" spans="1:6">
      <c r="A715" s="22" t="s">
        <v>596</v>
      </c>
      <c r="B715" s="33" t="s">
        <v>704</v>
      </c>
      <c r="C715" s="6" t="s">
        <v>301</v>
      </c>
      <c r="D715" s="91" t="s">
        <v>124</v>
      </c>
      <c r="E715" s="94">
        <v>3</v>
      </c>
      <c r="F715" s="22" t="s">
        <v>265</v>
      </c>
    </row>
    <row r="716" spans="1:6">
      <c r="A716" s="22" t="s">
        <v>596</v>
      </c>
      <c r="B716" s="33" t="s">
        <v>705</v>
      </c>
      <c r="C716" s="6" t="s">
        <v>301</v>
      </c>
      <c r="D716" s="91" t="s">
        <v>124</v>
      </c>
      <c r="E716" s="94">
        <v>2</v>
      </c>
      <c r="F716" s="22" t="s">
        <v>265</v>
      </c>
    </row>
    <row r="717" spans="1:6">
      <c r="A717" s="22" t="s">
        <v>596</v>
      </c>
      <c r="B717" s="33" t="s">
        <v>706</v>
      </c>
      <c r="C717" s="6" t="s">
        <v>301</v>
      </c>
      <c r="D717" s="91" t="s">
        <v>124</v>
      </c>
      <c r="E717" s="94">
        <v>0.75</v>
      </c>
      <c r="F717" s="22" t="s">
        <v>265</v>
      </c>
    </row>
    <row r="718" spans="1:6">
      <c r="A718" s="22" t="s">
        <v>596</v>
      </c>
      <c r="B718" s="33" t="s">
        <v>707</v>
      </c>
      <c r="C718" s="6" t="s">
        <v>301</v>
      </c>
      <c r="D718" s="91" t="s">
        <v>124</v>
      </c>
      <c r="E718" s="94">
        <v>6</v>
      </c>
      <c r="F718" s="22" t="s">
        <v>265</v>
      </c>
    </row>
    <row r="719" spans="1:6">
      <c r="A719" s="22" t="s">
        <v>596</v>
      </c>
      <c r="B719" s="33" t="s">
        <v>610</v>
      </c>
      <c r="C719" s="6" t="s">
        <v>301</v>
      </c>
      <c r="D719" s="91" t="s">
        <v>124</v>
      </c>
      <c r="E719" s="94">
        <v>5</v>
      </c>
      <c r="F719" s="22" t="s">
        <v>265</v>
      </c>
    </row>
    <row r="720" spans="1:6">
      <c r="A720" s="22" t="s">
        <v>596</v>
      </c>
      <c r="B720" s="33" t="s">
        <v>708</v>
      </c>
      <c r="C720" s="6" t="s">
        <v>301</v>
      </c>
      <c r="D720" s="91" t="s">
        <v>329</v>
      </c>
      <c r="E720" s="94">
        <v>6.5</v>
      </c>
      <c r="F720" s="22" t="s">
        <v>265</v>
      </c>
    </row>
    <row r="721" spans="1:6">
      <c r="A721" s="22" t="s">
        <v>596</v>
      </c>
      <c r="B721" s="33" t="s">
        <v>709</v>
      </c>
      <c r="C721" s="6" t="s">
        <v>301</v>
      </c>
      <c r="D721" s="91" t="s">
        <v>124</v>
      </c>
      <c r="E721" s="94">
        <v>7</v>
      </c>
      <c r="F721" s="22" t="s">
        <v>265</v>
      </c>
    </row>
    <row r="722" spans="1:6">
      <c r="A722" s="22" t="s">
        <v>596</v>
      </c>
      <c r="B722" s="33" t="s">
        <v>710</v>
      </c>
      <c r="C722" s="6" t="s">
        <v>301</v>
      </c>
      <c r="D722" s="91" t="s">
        <v>124</v>
      </c>
      <c r="E722" s="94">
        <v>17</v>
      </c>
      <c r="F722" s="22" t="s">
        <v>265</v>
      </c>
    </row>
    <row r="723" spans="1:6">
      <c r="A723" s="22" t="s">
        <v>596</v>
      </c>
      <c r="B723" s="33" t="s">
        <v>607</v>
      </c>
      <c r="C723" s="6" t="s">
        <v>301</v>
      </c>
      <c r="D723" s="91" t="s">
        <v>124</v>
      </c>
      <c r="E723" s="94">
        <v>15</v>
      </c>
      <c r="F723" s="22" t="s">
        <v>265</v>
      </c>
    </row>
    <row r="724" spans="1:6">
      <c r="A724" s="22" t="s">
        <v>596</v>
      </c>
      <c r="B724" s="33" t="s">
        <v>629</v>
      </c>
      <c r="C724" s="6" t="s">
        <v>301</v>
      </c>
      <c r="D724" s="91" t="s">
        <v>124</v>
      </c>
      <c r="E724" s="94">
        <v>3.5</v>
      </c>
      <c r="F724" s="22" t="s">
        <v>265</v>
      </c>
    </row>
    <row r="725" spans="1:6">
      <c r="A725" s="22" t="s">
        <v>596</v>
      </c>
      <c r="B725" s="33" t="s">
        <v>711</v>
      </c>
      <c r="C725" s="6" t="s">
        <v>301</v>
      </c>
      <c r="D725" s="91" t="s">
        <v>124</v>
      </c>
      <c r="E725" s="94">
        <v>0.55</v>
      </c>
      <c r="F725" s="22" t="s">
        <v>265</v>
      </c>
    </row>
    <row r="726" spans="1:6">
      <c r="A726" s="22" t="s">
        <v>596</v>
      </c>
      <c r="B726" s="33" t="s">
        <v>712</v>
      </c>
      <c r="C726" s="6" t="s">
        <v>301</v>
      </c>
      <c r="D726" s="91" t="s">
        <v>124</v>
      </c>
      <c r="E726" s="94">
        <v>5</v>
      </c>
      <c r="F726" s="22" t="s">
        <v>265</v>
      </c>
    </row>
    <row r="727" spans="1:6">
      <c r="A727" s="22" t="s">
        <v>596</v>
      </c>
      <c r="B727" s="33" t="s">
        <v>713</v>
      </c>
      <c r="C727" s="6" t="s">
        <v>301</v>
      </c>
      <c r="D727" s="91" t="s">
        <v>399</v>
      </c>
      <c r="E727" s="94">
        <v>15</v>
      </c>
      <c r="F727" s="22" t="s">
        <v>265</v>
      </c>
    </row>
    <row r="728" spans="1:6">
      <c r="A728" s="22" t="s">
        <v>596</v>
      </c>
      <c r="B728" s="33" t="s">
        <v>714</v>
      </c>
      <c r="C728" s="6" t="s">
        <v>301</v>
      </c>
      <c r="D728" s="91" t="s">
        <v>399</v>
      </c>
      <c r="E728" s="94">
        <v>5</v>
      </c>
      <c r="F728" s="22" t="s">
        <v>265</v>
      </c>
    </row>
    <row r="729" spans="1:6">
      <c r="A729" s="22" t="s">
        <v>596</v>
      </c>
      <c r="B729" s="33" t="s">
        <v>686</v>
      </c>
      <c r="C729" s="6" t="s">
        <v>301</v>
      </c>
      <c r="D729" s="91" t="s">
        <v>124</v>
      </c>
      <c r="E729" s="94">
        <v>2.5</v>
      </c>
      <c r="F729" s="22" t="s">
        <v>265</v>
      </c>
    </row>
    <row r="730" spans="1:6">
      <c r="A730" s="22" t="s">
        <v>596</v>
      </c>
      <c r="B730" s="33" t="s">
        <v>636</v>
      </c>
      <c r="C730" s="6" t="s">
        <v>301</v>
      </c>
      <c r="D730" s="91" t="s">
        <v>622</v>
      </c>
      <c r="E730" s="94">
        <v>18</v>
      </c>
      <c r="F730" s="22" t="s">
        <v>265</v>
      </c>
    </row>
    <row r="731" spans="1:6">
      <c r="A731" s="22" t="s">
        <v>596</v>
      </c>
      <c r="B731" s="33" t="s">
        <v>637</v>
      </c>
      <c r="C731" s="6" t="s">
        <v>301</v>
      </c>
      <c r="D731" s="91" t="s">
        <v>524</v>
      </c>
      <c r="E731" s="94">
        <v>35</v>
      </c>
      <c r="F731" s="22" t="s">
        <v>265</v>
      </c>
    </row>
    <row r="732" spans="1:6">
      <c r="A732" s="22" t="s">
        <v>596</v>
      </c>
      <c r="B732" s="33" t="s">
        <v>629</v>
      </c>
      <c r="C732" s="6" t="s">
        <v>301</v>
      </c>
      <c r="D732" s="91" t="s">
        <v>124</v>
      </c>
      <c r="E732" s="94">
        <v>4</v>
      </c>
      <c r="F732" s="22" t="s">
        <v>265</v>
      </c>
    </row>
    <row r="733" spans="1:6">
      <c r="A733" s="22" t="s">
        <v>596</v>
      </c>
      <c r="B733" s="33" t="s">
        <v>715</v>
      </c>
      <c r="C733" s="6" t="s">
        <v>301</v>
      </c>
      <c r="D733" s="91" t="s">
        <v>124</v>
      </c>
      <c r="E733" s="94">
        <v>3</v>
      </c>
      <c r="F733" s="22" t="s">
        <v>265</v>
      </c>
    </row>
    <row r="734" spans="1:6">
      <c r="A734" s="22" t="s">
        <v>596</v>
      </c>
      <c r="B734" s="33" t="s">
        <v>716</v>
      </c>
      <c r="C734" s="6" t="s">
        <v>301</v>
      </c>
      <c r="D734" s="91" t="s">
        <v>124</v>
      </c>
      <c r="E734" s="94">
        <v>250</v>
      </c>
      <c r="F734" s="22" t="s">
        <v>265</v>
      </c>
    </row>
    <row r="735" spans="1:6">
      <c r="A735" s="22" t="s">
        <v>596</v>
      </c>
      <c r="B735" s="33" t="s">
        <v>646</v>
      </c>
      <c r="C735" s="6" t="s">
        <v>301</v>
      </c>
      <c r="D735" s="91" t="s">
        <v>124</v>
      </c>
      <c r="E735" s="94">
        <v>5.5</v>
      </c>
      <c r="F735" s="22" t="s">
        <v>265</v>
      </c>
    </row>
    <row r="736" spans="1:6">
      <c r="A736" s="22" t="s">
        <v>596</v>
      </c>
      <c r="B736" s="33" t="s">
        <v>603</v>
      </c>
      <c r="C736" s="6" t="s">
        <v>301</v>
      </c>
      <c r="D736" s="91" t="s">
        <v>622</v>
      </c>
      <c r="E736" s="94">
        <v>70</v>
      </c>
      <c r="F736" s="22" t="s">
        <v>265</v>
      </c>
    </row>
    <row r="737" spans="1:6">
      <c r="A737" s="22" t="s">
        <v>596</v>
      </c>
      <c r="B737" s="33" t="s">
        <v>612</v>
      </c>
      <c r="C737" s="6" t="s">
        <v>301</v>
      </c>
      <c r="D737" s="91" t="s">
        <v>124</v>
      </c>
      <c r="E737" s="94">
        <v>2.5</v>
      </c>
      <c r="F737" s="22" t="s">
        <v>265</v>
      </c>
    </row>
    <row r="738" spans="1:6">
      <c r="A738" s="22" t="s">
        <v>596</v>
      </c>
      <c r="B738" s="33" t="s">
        <v>633</v>
      </c>
      <c r="C738" s="6" t="s">
        <v>301</v>
      </c>
      <c r="D738" s="91" t="s">
        <v>124</v>
      </c>
      <c r="E738" s="94">
        <v>5.5</v>
      </c>
      <c r="F738" s="22" t="s">
        <v>265</v>
      </c>
    </row>
    <row r="739" spans="1:6">
      <c r="A739" s="22" t="s">
        <v>596</v>
      </c>
      <c r="B739" s="33" t="s">
        <v>640</v>
      </c>
      <c r="C739" s="6" t="s">
        <v>301</v>
      </c>
      <c r="D739" s="91" t="s">
        <v>124</v>
      </c>
      <c r="E739" s="94">
        <v>25</v>
      </c>
      <c r="F739" s="22" t="s">
        <v>265</v>
      </c>
    </row>
    <row r="740" spans="1:6">
      <c r="A740" s="22" t="s">
        <v>596</v>
      </c>
      <c r="B740" s="33" t="s">
        <v>682</v>
      </c>
      <c r="C740" s="6" t="s">
        <v>301</v>
      </c>
      <c r="D740" s="91" t="s">
        <v>124</v>
      </c>
      <c r="E740" s="94">
        <v>20</v>
      </c>
      <c r="F740" s="22" t="s">
        <v>265</v>
      </c>
    </row>
    <row r="741" spans="1:6">
      <c r="A741" s="22" t="s">
        <v>596</v>
      </c>
      <c r="B741" s="33" t="s">
        <v>681</v>
      </c>
      <c r="C741" s="6" t="s">
        <v>301</v>
      </c>
      <c r="D741" s="91" t="s">
        <v>124</v>
      </c>
      <c r="E741" s="94">
        <v>15</v>
      </c>
      <c r="F741" s="22" t="s">
        <v>265</v>
      </c>
    </row>
    <row r="742" spans="1:6">
      <c r="A742" s="22" t="s">
        <v>596</v>
      </c>
      <c r="B742" s="33" t="s">
        <v>665</v>
      </c>
      <c r="C742" s="6" t="s">
        <v>301</v>
      </c>
      <c r="D742" s="91" t="s">
        <v>124</v>
      </c>
      <c r="E742" s="94">
        <v>15</v>
      </c>
      <c r="F742" s="22" t="s">
        <v>265</v>
      </c>
    </row>
    <row r="743" spans="1:6">
      <c r="A743" s="22" t="s">
        <v>596</v>
      </c>
      <c r="B743" s="33" t="s">
        <v>717</v>
      </c>
      <c r="C743" s="6" t="s">
        <v>301</v>
      </c>
      <c r="D743" s="91" t="s">
        <v>329</v>
      </c>
      <c r="E743" s="94">
        <v>4.5</v>
      </c>
      <c r="F743" s="22" t="s">
        <v>265</v>
      </c>
    </row>
    <row r="744" spans="1:6">
      <c r="A744" s="22" t="s">
        <v>596</v>
      </c>
      <c r="B744" s="33" t="s">
        <v>718</v>
      </c>
      <c r="C744" s="6" t="s">
        <v>301</v>
      </c>
      <c r="D744" s="91" t="s">
        <v>124</v>
      </c>
      <c r="E744" s="94">
        <v>13</v>
      </c>
      <c r="F744" s="22" t="s">
        <v>265</v>
      </c>
    </row>
    <row r="745" spans="1:6">
      <c r="A745" s="22" t="s">
        <v>596</v>
      </c>
      <c r="B745" s="33" t="s">
        <v>719</v>
      </c>
      <c r="C745" s="6" t="s">
        <v>301</v>
      </c>
      <c r="D745" s="91" t="s">
        <v>124</v>
      </c>
      <c r="E745" s="94">
        <v>16</v>
      </c>
      <c r="F745" s="22" t="s">
        <v>265</v>
      </c>
    </row>
    <row r="746" spans="1:6">
      <c r="A746" s="22" t="s">
        <v>596</v>
      </c>
      <c r="B746" s="33" t="s">
        <v>720</v>
      </c>
      <c r="C746" s="6" t="s">
        <v>301</v>
      </c>
      <c r="D746" s="91" t="s">
        <v>124</v>
      </c>
      <c r="E746" s="94">
        <v>20</v>
      </c>
      <c r="F746" s="22" t="s">
        <v>265</v>
      </c>
    </row>
    <row r="747" spans="1:6">
      <c r="A747" s="22" t="s">
        <v>596</v>
      </c>
      <c r="B747" s="33" t="s">
        <v>721</v>
      </c>
      <c r="C747" s="6" t="s">
        <v>301</v>
      </c>
      <c r="D747" s="91" t="s">
        <v>124</v>
      </c>
      <c r="E747" s="94">
        <v>35</v>
      </c>
      <c r="F747" s="22" t="s">
        <v>265</v>
      </c>
    </row>
    <row r="748" spans="1:6">
      <c r="A748" s="22" t="s">
        <v>596</v>
      </c>
      <c r="B748" s="33" t="s">
        <v>722</v>
      </c>
      <c r="C748" s="6" t="s">
        <v>301</v>
      </c>
      <c r="D748" s="91" t="s">
        <v>124</v>
      </c>
      <c r="E748" s="94">
        <v>25</v>
      </c>
      <c r="F748" s="22" t="s">
        <v>265</v>
      </c>
    </row>
    <row r="749" spans="1:6">
      <c r="A749" s="22" t="s">
        <v>596</v>
      </c>
      <c r="B749" s="33" t="s">
        <v>723</v>
      </c>
      <c r="C749" s="6" t="s">
        <v>301</v>
      </c>
      <c r="D749" s="91" t="s">
        <v>124</v>
      </c>
      <c r="E749" s="94">
        <v>9</v>
      </c>
      <c r="F749" s="22" t="s">
        <v>265</v>
      </c>
    </row>
    <row r="750" spans="1:6">
      <c r="A750" s="22" t="s">
        <v>596</v>
      </c>
      <c r="B750" s="33" t="s">
        <v>724</v>
      </c>
      <c r="C750" s="6" t="s">
        <v>270</v>
      </c>
      <c r="D750" s="91" t="s">
        <v>124</v>
      </c>
      <c r="E750" s="94">
        <v>55</v>
      </c>
      <c r="F750" s="22" t="s">
        <v>265</v>
      </c>
    </row>
    <row r="751" spans="1:6">
      <c r="A751" s="22" t="s">
        <v>596</v>
      </c>
      <c r="B751" s="33" t="s">
        <v>661</v>
      </c>
      <c r="C751" s="6" t="s">
        <v>301</v>
      </c>
      <c r="D751" s="91" t="s">
        <v>124</v>
      </c>
      <c r="E751" s="94">
        <v>40</v>
      </c>
      <c r="F751" s="22" t="s">
        <v>265</v>
      </c>
    </row>
    <row r="752" spans="1:6">
      <c r="A752" s="22" t="s">
        <v>596</v>
      </c>
      <c r="B752" s="33" t="s">
        <v>725</v>
      </c>
      <c r="C752" s="6" t="s">
        <v>301</v>
      </c>
      <c r="D752" s="91" t="s">
        <v>124</v>
      </c>
      <c r="E752" s="94">
        <v>65</v>
      </c>
      <c r="F752" s="22" t="s">
        <v>265</v>
      </c>
    </row>
    <row r="753" spans="1:9">
      <c r="A753" s="22" t="s">
        <v>596</v>
      </c>
      <c r="B753" s="33" t="s">
        <v>726</v>
      </c>
      <c r="C753" s="6" t="s">
        <v>301</v>
      </c>
      <c r="D753" s="91" t="s">
        <v>124</v>
      </c>
      <c r="E753" s="94">
        <v>12</v>
      </c>
      <c r="F753" s="22" t="s">
        <v>265</v>
      </c>
    </row>
    <row r="754" spans="1:9">
      <c r="A754" s="22" t="s">
        <v>596</v>
      </c>
      <c r="B754" s="33" t="s">
        <v>727</v>
      </c>
      <c r="C754" s="6" t="s">
        <v>301</v>
      </c>
      <c r="D754" s="91" t="s">
        <v>124</v>
      </c>
      <c r="E754" s="94">
        <v>15</v>
      </c>
      <c r="F754" s="22" t="s">
        <v>265</v>
      </c>
    </row>
    <row r="755" spans="1:9">
      <c r="A755" s="22" t="s">
        <v>596</v>
      </c>
      <c r="B755" s="33" t="s">
        <v>728</v>
      </c>
      <c r="C755" s="6" t="s">
        <v>301</v>
      </c>
      <c r="D755" s="91" t="s">
        <v>124</v>
      </c>
      <c r="E755" s="94">
        <v>130</v>
      </c>
      <c r="F755" s="22" t="s">
        <v>265</v>
      </c>
    </row>
    <row r="756" spans="1:9">
      <c r="A756" s="22" t="s">
        <v>596</v>
      </c>
      <c r="B756" s="33" t="s">
        <v>606</v>
      </c>
      <c r="C756" s="6" t="s">
        <v>301</v>
      </c>
      <c r="D756" s="91" t="s">
        <v>124</v>
      </c>
      <c r="E756" s="94">
        <v>15</v>
      </c>
      <c r="F756" s="22" t="s">
        <v>265</v>
      </c>
    </row>
    <row r="757" spans="1:9">
      <c r="A757" s="22" t="s">
        <v>596</v>
      </c>
      <c r="B757" s="33" t="s">
        <v>726</v>
      </c>
      <c r="C757" s="6" t="s">
        <v>301</v>
      </c>
      <c r="D757" s="91" t="s">
        <v>124</v>
      </c>
      <c r="E757" s="94">
        <v>12</v>
      </c>
      <c r="F757" s="22" t="s">
        <v>265</v>
      </c>
    </row>
    <row r="758" spans="1:9">
      <c r="A758" s="22" t="s">
        <v>596</v>
      </c>
      <c r="B758" s="33" t="s">
        <v>729</v>
      </c>
      <c r="C758" s="6" t="s">
        <v>301</v>
      </c>
      <c r="D758" s="91" t="s">
        <v>124</v>
      </c>
      <c r="E758" s="94">
        <v>15</v>
      </c>
      <c r="F758" s="22" t="s">
        <v>265</v>
      </c>
    </row>
    <row r="759" spans="1:9">
      <c r="A759" s="22" t="s">
        <v>596</v>
      </c>
      <c r="B759" s="33" t="s">
        <v>730</v>
      </c>
      <c r="C759" s="6" t="s">
        <v>301</v>
      </c>
      <c r="D759" s="91" t="s">
        <v>124</v>
      </c>
      <c r="E759" s="94">
        <v>18</v>
      </c>
      <c r="F759" s="22" t="s">
        <v>265</v>
      </c>
    </row>
    <row r="760" spans="1:9">
      <c r="A760" s="22" t="s">
        <v>596</v>
      </c>
      <c r="B760" s="33" t="s">
        <v>731</v>
      </c>
      <c r="C760" s="6" t="s">
        <v>301</v>
      </c>
      <c r="D760" s="91" t="s">
        <v>124</v>
      </c>
      <c r="E760" s="94">
        <v>24</v>
      </c>
      <c r="F760" s="22" t="s">
        <v>265</v>
      </c>
    </row>
    <row r="761" spans="1:9">
      <c r="A761" s="22" t="s">
        <v>596</v>
      </c>
      <c r="B761" s="33" t="s">
        <v>732</v>
      </c>
      <c r="C761" s="6" t="s">
        <v>301</v>
      </c>
      <c r="D761" s="91" t="s">
        <v>124</v>
      </c>
      <c r="E761" s="94">
        <v>45</v>
      </c>
      <c r="F761" s="22" t="s">
        <v>265</v>
      </c>
    </row>
    <row r="762" spans="1:9">
      <c r="A762" s="22" t="s">
        <v>596</v>
      </c>
      <c r="B762" s="33" t="s">
        <v>733</v>
      </c>
      <c r="C762" s="6" t="s">
        <v>734</v>
      </c>
      <c r="D762" s="87" t="s">
        <v>250</v>
      </c>
      <c r="E762" s="93">
        <v>775</v>
      </c>
      <c r="F762" s="22" t="s">
        <v>259</v>
      </c>
    </row>
    <row r="763" spans="1:9">
      <c r="A763" s="22" t="s">
        <v>596</v>
      </c>
      <c r="B763" s="33" t="s">
        <v>735</v>
      </c>
      <c r="C763" s="6" t="s">
        <v>734</v>
      </c>
      <c r="D763" s="87" t="s">
        <v>250</v>
      </c>
      <c r="E763" s="93">
        <v>387.5</v>
      </c>
      <c r="F763" s="22" t="s">
        <v>259</v>
      </c>
    </row>
    <row r="764" spans="1:9">
      <c r="A764" s="22" t="s">
        <v>596</v>
      </c>
      <c r="B764" s="33" t="s">
        <v>736</v>
      </c>
      <c r="C764" s="6" t="s">
        <v>734</v>
      </c>
      <c r="D764" s="87" t="s">
        <v>250</v>
      </c>
      <c r="E764" s="93">
        <v>4000</v>
      </c>
      <c r="F764" s="22" t="s">
        <v>259</v>
      </c>
    </row>
    <row r="765" spans="1:9">
      <c r="A765" s="6" t="s">
        <v>570</v>
      </c>
      <c r="B765" s="42" t="s">
        <v>737</v>
      </c>
      <c r="C765" s="33" t="s">
        <v>738</v>
      </c>
      <c r="D765" s="87" t="s">
        <v>250</v>
      </c>
      <c r="E765" s="82">
        <v>300</v>
      </c>
      <c r="F765" s="22" t="s">
        <v>259</v>
      </c>
    </row>
    <row r="766" spans="1:9">
      <c r="A766" s="6" t="s">
        <v>570</v>
      </c>
      <c r="B766" s="42" t="s">
        <v>739</v>
      </c>
      <c r="C766" s="33" t="s">
        <v>738</v>
      </c>
      <c r="D766" s="87" t="s">
        <v>250</v>
      </c>
      <c r="E766" s="82">
        <v>110</v>
      </c>
      <c r="F766" s="22" t="s">
        <v>259</v>
      </c>
    </row>
    <row r="767" spans="1:9">
      <c r="A767" s="6" t="s">
        <v>570</v>
      </c>
      <c r="B767" s="6" t="s">
        <v>740</v>
      </c>
      <c r="C767" s="6" t="s">
        <v>741</v>
      </c>
      <c r="D767" s="87" t="s">
        <v>461</v>
      </c>
      <c r="E767" s="82">
        <v>17000</v>
      </c>
      <c r="F767" s="22" t="s">
        <v>259</v>
      </c>
    </row>
    <row r="768" spans="1:9">
      <c r="A768" s="6" t="s">
        <v>570</v>
      </c>
      <c r="B768" s="33" t="s">
        <v>742</v>
      </c>
      <c r="C768" s="33" t="s">
        <v>734</v>
      </c>
      <c r="D768" s="87" t="s">
        <v>250</v>
      </c>
      <c r="E768" s="82">
        <v>4000</v>
      </c>
      <c r="F768" s="22" t="s">
        <v>259</v>
      </c>
      <c r="I768" s="47"/>
    </row>
    <row r="769" spans="1:9">
      <c r="A769" s="6" t="s">
        <v>570</v>
      </c>
      <c r="B769" s="48" t="s">
        <v>743</v>
      </c>
      <c r="C769" s="33" t="s">
        <v>744</v>
      </c>
      <c r="D769" s="87" t="s">
        <v>250</v>
      </c>
      <c r="E769" s="82">
        <v>2200</v>
      </c>
      <c r="F769" s="22" t="s">
        <v>259</v>
      </c>
      <c r="I769" s="47"/>
    </row>
    <row r="770" spans="1:9">
      <c r="A770" s="6" t="s">
        <v>570</v>
      </c>
      <c r="B770" s="48" t="s">
        <v>745</v>
      </c>
      <c r="C770" s="33" t="s">
        <v>301</v>
      </c>
      <c r="D770" s="87" t="s">
        <v>250</v>
      </c>
      <c r="E770" s="82">
        <v>1050</v>
      </c>
      <c r="F770" s="22" t="s">
        <v>259</v>
      </c>
      <c r="I770" s="47"/>
    </row>
    <row r="771" spans="1:9">
      <c r="A771" s="6" t="s">
        <v>570</v>
      </c>
      <c r="B771" s="48" t="s">
        <v>745</v>
      </c>
      <c r="C771" s="33" t="s">
        <v>270</v>
      </c>
      <c r="D771" s="87" t="s">
        <v>250</v>
      </c>
      <c r="E771" s="82">
        <v>950</v>
      </c>
      <c r="F771" s="22" t="s">
        <v>259</v>
      </c>
      <c r="I771" s="47"/>
    </row>
    <row r="772" ht="24" spans="1:9">
      <c r="A772" s="6" t="s">
        <v>570</v>
      </c>
      <c r="B772" s="6" t="s">
        <v>746</v>
      </c>
      <c r="C772" s="6" t="s">
        <v>747</v>
      </c>
      <c r="D772" s="87" t="s">
        <v>250</v>
      </c>
      <c r="E772" s="82">
        <v>4500</v>
      </c>
      <c r="F772" s="22" t="s">
        <v>259</v>
      </c>
      <c r="I772" s="49" t="s">
        <v>748</v>
      </c>
    </row>
    <row r="773" spans="1:9">
      <c r="A773" s="6" t="s">
        <v>570</v>
      </c>
      <c r="B773" s="6" t="s">
        <v>749</v>
      </c>
      <c r="C773" s="6" t="s">
        <v>741</v>
      </c>
      <c r="D773" s="87" t="s">
        <v>461</v>
      </c>
      <c r="E773" s="82">
        <v>1300</v>
      </c>
      <c r="F773" s="22" t="s">
        <v>259</v>
      </c>
    </row>
    <row r="774" spans="1:9">
      <c r="A774" s="6"/>
      <c r="B774" s="20" t="s">
        <v>750</v>
      </c>
      <c r="C774" s="6"/>
      <c r="D774" s="87"/>
      <c r="E774" s="82"/>
      <c r="F774" s="6"/>
    </row>
    <row r="775" spans="1:9">
      <c r="A775" s="11" t="s">
        <v>1</v>
      </c>
      <c r="B775" s="12" t="s">
        <v>2</v>
      </c>
      <c r="C775" s="13" t="s">
        <v>3</v>
      </c>
      <c r="D775" s="14" t="s">
        <v>4</v>
      </c>
      <c r="E775" s="81" t="s">
        <v>5</v>
      </c>
      <c r="F775" s="6"/>
    </row>
    <row r="776" spans="1:9">
      <c r="A776" s="22" t="s">
        <v>750</v>
      </c>
      <c r="B776" s="33" t="s">
        <v>751</v>
      </c>
      <c r="C776" s="6" t="s">
        <v>301</v>
      </c>
      <c r="D776" s="91" t="s">
        <v>547</v>
      </c>
      <c r="E776" s="94">
        <v>65</v>
      </c>
      <c r="F776" s="22" t="s">
        <v>265</v>
      </c>
    </row>
    <row r="777" spans="1:9">
      <c r="A777" s="22" t="s">
        <v>750</v>
      </c>
      <c r="B777" s="33" t="s">
        <v>752</v>
      </c>
      <c r="C777" s="6" t="s">
        <v>301</v>
      </c>
      <c r="D777" s="91" t="s">
        <v>124</v>
      </c>
      <c r="E777" s="94">
        <v>7</v>
      </c>
      <c r="F777" s="22" t="s">
        <v>265</v>
      </c>
    </row>
    <row r="778" spans="1:9">
      <c r="A778" s="22" t="s">
        <v>750</v>
      </c>
      <c r="B778" s="33" t="s">
        <v>694</v>
      </c>
      <c r="C778" s="6" t="s">
        <v>301</v>
      </c>
      <c r="D778" s="91" t="s">
        <v>524</v>
      </c>
      <c r="E778" s="94">
        <v>120</v>
      </c>
      <c r="F778" s="22" t="s">
        <v>265</v>
      </c>
    </row>
    <row r="779" spans="1:9">
      <c r="A779" s="22" t="s">
        <v>750</v>
      </c>
      <c r="B779" s="33" t="s">
        <v>753</v>
      </c>
      <c r="C779" s="6" t="s">
        <v>572</v>
      </c>
      <c r="D779" s="91" t="s">
        <v>124</v>
      </c>
      <c r="E779" s="94">
        <v>10</v>
      </c>
      <c r="F779" s="22" t="s">
        <v>265</v>
      </c>
    </row>
    <row r="780" spans="1:9">
      <c r="A780" s="22" t="s">
        <v>750</v>
      </c>
      <c r="B780" s="33" t="s">
        <v>754</v>
      </c>
      <c r="C780" s="6" t="s">
        <v>572</v>
      </c>
      <c r="D780" s="91" t="s">
        <v>124</v>
      </c>
      <c r="E780" s="94">
        <v>28</v>
      </c>
      <c r="F780" s="22" t="s">
        <v>265</v>
      </c>
    </row>
    <row r="781" spans="1:9">
      <c r="A781" s="22" t="s">
        <v>750</v>
      </c>
      <c r="B781" s="33" t="s">
        <v>755</v>
      </c>
      <c r="C781" s="6" t="s">
        <v>572</v>
      </c>
      <c r="D781" s="91" t="s">
        <v>124</v>
      </c>
      <c r="E781" s="94">
        <v>20</v>
      </c>
      <c r="F781" s="22" t="s">
        <v>265</v>
      </c>
    </row>
    <row r="782" spans="1:9">
      <c r="A782" s="22" t="s">
        <v>750</v>
      </c>
      <c r="B782" s="33" t="s">
        <v>756</v>
      </c>
      <c r="C782" s="6" t="s">
        <v>572</v>
      </c>
      <c r="D782" s="91" t="s">
        <v>399</v>
      </c>
      <c r="E782" s="94">
        <v>25</v>
      </c>
      <c r="F782" s="22" t="s">
        <v>265</v>
      </c>
    </row>
    <row r="783" spans="1:9">
      <c r="A783" s="22" t="s">
        <v>750</v>
      </c>
      <c r="B783" s="33" t="s">
        <v>757</v>
      </c>
      <c r="C783" s="6" t="s">
        <v>572</v>
      </c>
      <c r="D783" s="91" t="s">
        <v>524</v>
      </c>
      <c r="E783" s="94">
        <v>42</v>
      </c>
      <c r="F783" s="22" t="s">
        <v>265</v>
      </c>
    </row>
    <row r="784" spans="1:9">
      <c r="A784" s="22" t="s">
        <v>750</v>
      </c>
      <c r="B784" s="33" t="s">
        <v>758</v>
      </c>
      <c r="C784" s="6" t="s">
        <v>572</v>
      </c>
      <c r="D784" s="91" t="s">
        <v>124</v>
      </c>
      <c r="E784" s="94">
        <v>15</v>
      </c>
      <c r="F784" s="22" t="s">
        <v>265</v>
      </c>
    </row>
    <row r="785" spans="1:6">
      <c r="A785" s="22" t="s">
        <v>750</v>
      </c>
      <c r="B785" s="33" t="s">
        <v>694</v>
      </c>
      <c r="C785" s="6" t="s">
        <v>572</v>
      </c>
      <c r="D785" s="91" t="s">
        <v>124</v>
      </c>
      <c r="E785" s="94">
        <v>18</v>
      </c>
      <c r="F785" s="22" t="s">
        <v>265</v>
      </c>
    </row>
    <row r="786" spans="1:6">
      <c r="A786" s="22" t="s">
        <v>750</v>
      </c>
      <c r="B786" s="33" t="s">
        <v>759</v>
      </c>
      <c r="C786" s="6" t="s">
        <v>572</v>
      </c>
      <c r="D786" s="91" t="s">
        <v>124</v>
      </c>
      <c r="E786" s="94">
        <v>10</v>
      </c>
      <c r="F786" s="22" t="s">
        <v>265</v>
      </c>
    </row>
    <row r="787" spans="1:6">
      <c r="A787" s="22" t="s">
        <v>750</v>
      </c>
      <c r="B787" s="33" t="s">
        <v>760</v>
      </c>
      <c r="C787" s="6" t="s">
        <v>572</v>
      </c>
      <c r="D787" s="91" t="s">
        <v>124</v>
      </c>
      <c r="E787" s="94">
        <v>50</v>
      </c>
      <c r="F787" s="22" t="s">
        <v>265</v>
      </c>
    </row>
    <row r="788" spans="1:6">
      <c r="A788" s="22" t="s">
        <v>750</v>
      </c>
      <c r="B788" s="33" t="s">
        <v>761</v>
      </c>
      <c r="C788" s="6" t="s">
        <v>572</v>
      </c>
      <c r="D788" s="91" t="s">
        <v>124</v>
      </c>
      <c r="E788" s="94">
        <v>0.5</v>
      </c>
      <c r="F788" s="22" t="s">
        <v>265</v>
      </c>
    </row>
    <row r="789" spans="1:6">
      <c r="A789" s="22" t="s">
        <v>750</v>
      </c>
      <c r="B789" s="33" t="s">
        <v>692</v>
      </c>
      <c r="C789" s="6" t="s">
        <v>572</v>
      </c>
      <c r="D789" s="91" t="s">
        <v>399</v>
      </c>
      <c r="E789" s="94">
        <v>2.25</v>
      </c>
      <c r="F789" s="22" t="s">
        <v>265</v>
      </c>
    </row>
    <row r="790" spans="1:6">
      <c r="A790" s="22" t="s">
        <v>750</v>
      </c>
      <c r="B790" s="33" t="s">
        <v>762</v>
      </c>
      <c r="C790" s="6" t="s">
        <v>572</v>
      </c>
      <c r="D790" s="91" t="s">
        <v>702</v>
      </c>
      <c r="E790" s="94">
        <v>13</v>
      </c>
      <c r="F790" s="22" t="s">
        <v>265</v>
      </c>
    </row>
    <row r="791" spans="1:6">
      <c r="A791" s="22" t="s">
        <v>750</v>
      </c>
      <c r="B791" s="33" t="s">
        <v>763</v>
      </c>
      <c r="C791" s="6" t="s">
        <v>572</v>
      </c>
      <c r="D791" s="91" t="s">
        <v>677</v>
      </c>
      <c r="E791" s="94">
        <v>5</v>
      </c>
      <c r="F791" s="22" t="s">
        <v>265</v>
      </c>
    </row>
    <row r="792" spans="1:6">
      <c r="A792" s="22" t="s">
        <v>750</v>
      </c>
      <c r="B792" s="33" t="s">
        <v>764</v>
      </c>
      <c r="C792" s="6" t="s">
        <v>572</v>
      </c>
      <c r="D792" s="91" t="s">
        <v>124</v>
      </c>
      <c r="E792" s="94">
        <v>65</v>
      </c>
      <c r="F792" s="22" t="s">
        <v>265</v>
      </c>
    </row>
    <row r="793" spans="1:6">
      <c r="A793" s="22" t="s">
        <v>750</v>
      </c>
      <c r="B793" s="33" t="s">
        <v>765</v>
      </c>
      <c r="C793" s="6" t="s">
        <v>572</v>
      </c>
      <c r="D793" s="91" t="s">
        <v>124</v>
      </c>
      <c r="E793" s="94">
        <v>15</v>
      </c>
      <c r="F793" s="22" t="s">
        <v>265</v>
      </c>
    </row>
    <row r="794" spans="1:6">
      <c r="A794" s="22" t="s">
        <v>750</v>
      </c>
      <c r="B794" s="38" t="s">
        <v>766</v>
      </c>
      <c r="C794" s="22" t="s">
        <v>572</v>
      </c>
      <c r="D794" s="39" t="s">
        <v>124</v>
      </c>
      <c r="E794" s="95">
        <v>43</v>
      </c>
      <c r="F794" s="22" t="s">
        <v>265</v>
      </c>
    </row>
    <row r="795" spans="1:6">
      <c r="A795" s="22" t="s">
        <v>750</v>
      </c>
      <c r="B795" s="38" t="s">
        <v>767</v>
      </c>
      <c r="C795" s="22" t="s">
        <v>572</v>
      </c>
      <c r="D795" s="39" t="s">
        <v>124</v>
      </c>
      <c r="E795" s="95">
        <v>12</v>
      </c>
      <c r="F795" s="22" t="s">
        <v>265</v>
      </c>
    </row>
    <row r="796" spans="1:6">
      <c r="A796" s="22" t="s">
        <v>750</v>
      </c>
      <c r="B796" s="38" t="s">
        <v>768</v>
      </c>
      <c r="C796" s="22" t="s">
        <v>572</v>
      </c>
      <c r="D796" s="39" t="s">
        <v>124</v>
      </c>
      <c r="E796" s="95">
        <v>42</v>
      </c>
      <c r="F796" s="22" t="s">
        <v>265</v>
      </c>
    </row>
    <row r="797" spans="1:6">
      <c r="A797" s="22" t="s">
        <v>750</v>
      </c>
      <c r="B797" s="38" t="s">
        <v>769</v>
      </c>
      <c r="C797" s="22" t="s">
        <v>572</v>
      </c>
      <c r="D797" s="39" t="s">
        <v>547</v>
      </c>
      <c r="E797" s="95">
        <v>80</v>
      </c>
      <c r="F797" s="22" t="s">
        <v>265</v>
      </c>
    </row>
    <row r="798" spans="1:6">
      <c r="A798" s="22" t="s">
        <v>750</v>
      </c>
      <c r="B798" s="38" t="s">
        <v>753</v>
      </c>
      <c r="C798" s="22" t="s">
        <v>572</v>
      </c>
      <c r="D798" s="39" t="s">
        <v>124</v>
      </c>
      <c r="E798" s="95">
        <v>18</v>
      </c>
      <c r="F798" s="22" t="s">
        <v>265</v>
      </c>
    </row>
    <row r="799" spans="1:6">
      <c r="A799" s="22" t="s">
        <v>750</v>
      </c>
      <c r="B799" s="33" t="s">
        <v>770</v>
      </c>
      <c r="C799" s="6" t="s">
        <v>572</v>
      </c>
      <c r="D799" s="91" t="s">
        <v>124</v>
      </c>
      <c r="E799" s="94">
        <v>18</v>
      </c>
      <c r="F799" s="22" t="s">
        <v>259</v>
      </c>
    </row>
    <row r="800" spans="1:6">
      <c r="A800" s="22" t="s">
        <v>750</v>
      </c>
      <c r="B800" s="33" t="s">
        <v>771</v>
      </c>
      <c r="C800" s="6" t="s">
        <v>572</v>
      </c>
      <c r="D800" s="91" t="s">
        <v>124</v>
      </c>
      <c r="E800" s="94">
        <v>190</v>
      </c>
      <c r="F800" s="22" t="s">
        <v>259</v>
      </c>
    </row>
    <row r="801" spans="1:6">
      <c r="A801" s="22" t="s">
        <v>750</v>
      </c>
      <c r="B801" s="33" t="s">
        <v>772</v>
      </c>
      <c r="C801" s="6" t="s">
        <v>572</v>
      </c>
      <c r="D801" s="91" t="s">
        <v>124</v>
      </c>
      <c r="E801" s="94">
        <v>90</v>
      </c>
      <c r="F801" s="22" t="s">
        <v>259</v>
      </c>
    </row>
    <row r="802" spans="1:6">
      <c r="A802" s="22" t="s">
        <v>750</v>
      </c>
      <c r="B802" s="33" t="s">
        <v>773</v>
      </c>
      <c r="C802" s="6" t="s">
        <v>572</v>
      </c>
      <c r="D802" s="91" t="s">
        <v>124</v>
      </c>
      <c r="E802" s="94">
        <v>300</v>
      </c>
      <c r="F802" s="22" t="s">
        <v>259</v>
      </c>
    </row>
    <row r="803" spans="1:6">
      <c r="A803" s="22" t="s">
        <v>750</v>
      </c>
      <c r="B803" s="33" t="s">
        <v>774</v>
      </c>
      <c r="C803" s="6" t="s">
        <v>572</v>
      </c>
      <c r="D803" s="91" t="s">
        <v>124</v>
      </c>
      <c r="E803" s="94">
        <v>145</v>
      </c>
      <c r="F803" s="22" t="s">
        <v>259</v>
      </c>
    </row>
    <row r="804" spans="1:6">
      <c r="A804" s="22" t="s">
        <v>750</v>
      </c>
      <c r="B804" s="33" t="s">
        <v>775</v>
      </c>
      <c r="C804" s="6" t="s">
        <v>572</v>
      </c>
      <c r="D804" s="91" t="s">
        <v>124</v>
      </c>
      <c r="E804" s="94">
        <v>65</v>
      </c>
      <c r="F804" s="22" t="s">
        <v>259</v>
      </c>
    </row>
    <row r="805" spans="1:6">
      <c r="A805" s="22" t="s">
        <v>750</v>
      </c>
      <c r="B805" s="33" t="s">
        <v>710</v>
      </c>
      <c r="C805" s="6" t="s">
        <v>572</v>
      </c>
      <c r="D805" s="91" t="s">
        <v>124</v>
      </c>
      <c r="E805" s="94">
        <v>20</v>
      </c>
      <c r="F805" s="22" t="s">
        <v>259</v>
      </c>
    </row>
    <row r="806" spans="1:6">
      <c r="A806" s="22" t="s">
        <v>750</v>
      </c>
      <c r="B806" s="33" t="s">
        <v>776</v>
      </c>
      <c r="C806" s="6" t="s">
        <v>572</v>
      </c>
      <c r="D806" s="91" t="s">
        <v>124</v>
      </c>
      <c r="E806" s="94">
        <v>90</v>
      </c>
      <c r="F806" s="22" t="s">
        <v>259</v>
      </c>
    </row>
    <row r="807" spans="1:6">
      <c r="A807" s="22" t="s">
        <v>750</v>
      </c>
      <c r="B807" s="33" t="s">
        <v>777</v>
      </c>
      <c r="C807" s="6" t="s">
        <v>572</v>
      </c>
      <c r="D807" s="91" t="s">
        <v>124</v>
      </c>
      <c r="E807" s="94">
        <v>35</v>
      </c>
      <c r="F807" s="22" t="s">
        <v>259</v>
      </c>
    </row>
    <row r="808" spans="1:6">
      <c r="A808" s="22" t="s">
        <v>750</v>
      </c>
      <c r="B808" s="33" t="s">
        <v>778</v>
      </c>
      <c r="C808" s="6" t="s">
        <v>572</v>
      </c>
      <c r="D808" s="91" t="s">
        <v>124</v>
      </c>
      <c r="E808" s="94">
        <v>17</v>
      </c>
      <c r="F808" s="22" t="s">
        <v>259</v>
      </c>
    </row>
    <row r="809" spans="1:6">
      <c r="A809" s="22" t="s">
        <v>750</v>
      </c>
      <c r="B809" s="33" t="s">
        <v>779</v>
      </c>
      <c r="C809" s="6" t="s">
        <v>572</v>
      </c>
      <c r="D809" s="91" t="s">
        <v>124</v>
      </c>
      <c r="E809" s="94">
        <v>17</v>
      </c>
      <c r="F809" s="22" t="s">
        <v>259</v>
      </c>
    </row>
    <row r="810" spans="1:6">
      <c r="A810" s="22" t="s">
        <v>750</v>
      </c>
      <c r="B810" s="33" t="s">
        <v>780</v>
      </c>
      <c r="C810" s="6" t="s">
        <v>572</v>
      </c>
      <c r="D810" s="91" t="s">
        <v>124</v>
      </c>
      <c r="E810" s="94">
        <v>18</v>
      </c>
      <c r="F810" s="22" t="s">
        <v>259</v>
      </c>
    </row>
    <row r="811" spans="1:6">
      <c r="A811" s="22" t="s">
        <v>750</v>
      </c>
      <c r="B811" s="33" t="s">
        <v>781</v>
      </c>
      <c r="C811" s="6" t="s">
        <v>572</v>
      </c>
      <c r="D811" s="91" t="s">
        <v>124</v>
      </c>
      <c r="E811" s="94">
        <v>2250</v>
      </c>
      <c r="F811" s="22" t="s">
        <v>259</v>
      </c>
    </row>
    <row r="812" spans="1:6">
      <c r="A812" s="22" t="s">
        <v>750</v>
      </c>
      <c r="B812" s="33" t="s">
        <v>782</v>
      </c>
      <c r="C812" s="6" t="s">
        <v>572</v>
      </c>
      <c r="D812" s="91" t="s">
        <v>124</v>
      </c>
      <c r="E812" s="94">
        <v>130</v>
      </c>
      <c r="F812" s="22" t="s">
        <v>259</v>
      </c>
    </row>
    <row r="813" spans="1:6">
      <c r="A813" s="22" t="s">
        <v>750</v>
      </c>
      <c r="B813" s="38" t="s">
        <v>783</v>
      </c>
      <c r="C813" s="22" t="s">
        <v>572</v>
      </c>
      <c r="D813" s="39" t="s">
        <v>124</v>
      </c>
      <c r="E813" s="95">
        <v>125</v>
      </c>
      <c r="F813" s="22" t="s">
        <v>259</v>
      </c>
    </row>
    <row r="814" spans="1:6">
      <c r="B814" s="7" t="s">
        <v>784</v>
      </c>
    </row>
    <row r="815" spans="1:6">
      <c r="A815" s="11" t="s">
        <v>1</v>
      </c>
      <c r="B815" s="12" t="s">
        <v>2</v>
      </c>
      <c r="C815" s="13" t="s">
        <v>3</v>
      </c>
      <c r="D815" s="14" t="s">
        <v>4</v>
      </c>
      <c r="E815" s="81" t="s">
        <v>5</v>
      </c>
      <c r="F815" s="6"/>
    </row>
    <row r="816" spans="1:6">
      <c r="A816" s="28" t="s">
        <v>784</v>
      </c>
      <c r="B816" s="33" t="s">
        <v>785</v>
      </c>
      <c r="C816" s="6" t="s">
        <v>786</v>
      </c>
      <c r="D816" s="87" t="s">
        <v>787</v>
      </c>
      <c r="E816" s="93">
        <v>3800</v>
      </c>
      <c r="F816" s="22" t="s">
        <v>288</v>
      </c>
    </row>
    <row r="817" spans="1:6">
      <c r="A817" s="28" t="s">
        <v>784</v>
      </c>
      <c r="B817" s="33" t="s">
        <v>788</v>
      </c>
      <c r="C817" s="6" t="s">
        <v>786</v>
      </c>
      <c r="D817" s="87" t="s">
        <v>787</v>
      </c>
      <c r="E817" s="93">
        <v>4800</v>
      </c>
      <c r="F817" s="22" t="s">
        <v>288</v>
      </c>
    </row>
    <row r="818" spans="1:6">
      <c r="A818" s="28" t="s">
        <v>784</v>
      </c>
      <c r="B818" s="33" t="s">
        <v>789</v>
      </c>
      <c r="C818" s="6" t="s">
        <v>786</v>
      </c>
      <c r="D818" s="87" t="s">
        <v>787</v>
      </c>
      <c r="E818" s="82">
        <v>2400</v>
      </c>
      <c r="F818" s="22" t="s">
        <v>288</v>
      </c>
    </row>
    <row r="819" spans="1:6">
      <c r="A819" s="28" t="s">
        <v>784</v>
      </c>
      <c r="B819" s="6" t="s">
        <v>790</v>
      </c>
      <c r="C819" s="6" t="s">
        <v>791</v>
      </c>
      <c r="D819" s="87" t="s">
        <v>792</v>
      </c>
      <c r="E819" s="82">
        <v>60</v>
      </c>
      <c r="F819" s="22" t="s">
        <v>288</v>
      </c>
    </row>
    <row r="820" spans="1:6">
      <c r="A820" s="28" t="s">
        <v>784</v>
      </c>
      <c r="B820" s="6" t="s">
        <v>793</v>
      </c>
      <c r="C820" s="6" t="s">
        <v>791</v>
      </c>
      <c r="D820" s="87" t="s">
        <v>792</v>
      </c>
      <c r="E820" s="82">
        <v>36</v>
      </c>
      <c r="F820" s="22" t="s">
        <v>288</v>
      </c>
    </row>
    <row r="821" spans="1:6">
      <c r="A821" s="28" t="s">
        <v>784</v>
      </c>
      <c r="B821" s="6" t="s">
        <v>794</v>
      </c>
      <c r="C821" s="6" t="s">
        <v>791</v>
      </c>
      <c r="D821" s="87" t="s">
        <v>792</v>
      </c>
      <c r="E821" s="82">
        <v>70</v>
      </c>
      <c r="F821" s="22" t="s">
        <v>288</v>
      </c>
    </row>
    <row r="822" spans="1:6">
      <c r="A822" s="28" t="s">
        <v>784</v>
      </c>
      <c r="B822" s="6" t="s">
        <v>795</v>
      </c>
      <c r="C822" s="6" t="s">
        <v>796</v>
      </c>
      <c r="D822" s="87" t="s">
        <v>787</v>
      </c>
      <c r="E822" s="82">
        <v>7500</v>
      </c>
      <c r="F822" s="22" t="s">
        <v>288</v>
      </c>
    </row>
    <row r="823" spans="1:6">
      <c r="A823" s="28" t="s">
        <v>784</v>
      </c>
      <c r="B823" s="33" t="s">
        <v>797</v>
      </c>
      <c r="C823" s="6" t="s">
        <v>798</v>
      </c>
      <c r="D823" s="87" t="s">
        <v>363</v>
      </c>
      <c r="E823" s="93">
        <v>450</v>
      </c>
      <c r="F823" s="22" t="s">
        <v>288</v>
      </c>
    </row>
    <row r="824" spans="1:6">
      <c r="A824" s="28" t="s">
        <v>784</v>
      </c>
      <c r="B824" s="33" t="s">
        <v>799</v>
      </c>
      <c r="C824" s="6" t="s">
        <v>800</v>
      </c>
      <c r="D824" s="87" t="s">
        <v>363</v>
      </c>
      <c r="E824" s="93">
        <v>500</v>
      </c>
      <c r="F824" s="22" t="s">
        <v>288</v>
      </c>
    </row>
    <row r="825" spans="1:6">
      <c r="A825" s="28" t="s">
        <v>784</v>
      </c>
      <c r="B825" s="6" t="s">
        <v>801</v>
      </c>
      <c r="C825" s="33" t="s">
        <v>802</v>
      </c>
      <c r="D825" s="91" t="s">
        <v>803</v>
      </c>
      <c r="E825" s="93">
        <v>4000</v>
      </c>
      <c r="F825" s="22" t="s">
        <v>288</v>
      </c>
    </row>
    <row r="826" spans="1:6">
      <c r="A826" s="28" t="s">
        <v>784</v>
      </c>
      <c r="B826" s="33" t="s">
        <v>804</v>
      </c>
      <c r="C826" s="33" t="s">
        <v>802</v>
      </c>
      <c r="D826" s="91" t="s">
        <v>803</v>
      </c>
      <c r="E826" s="93">
        <v>1800</v>
      </c>
      <c r="F826" s="22" t="s">
        <v>288</v>
      </c>
    </row>
    <row r="827" spans="1:6">
      <c r="A827" s="28" t="s">
        <v>784</v>
      </c>
      <c r="B827" s="33" t="s">
        <v>804</v>
      </c>
      <c r="C827" s="33" t="s">
        <v>802</v>
      </c>
      <c r="D827" s="91" t="s">
        <v>805</v>
      </c>
      <c r="E827" s="93">
        <v>180</v>
      </c>
      <c r="F827" s="22" t="s">
        <v>288</v>
      </c>
    </row>
    <row r="828" spans="1:6">
      <c r="A828" s="28" t="s">
        <v>784</v>
      </c>
      <c r="B828" s="33" t="s">
        <v>806</v>
      </c>
      <c r="C828" s="33" t="s">
        <v>802</v>
      </c>
      <c r="D828" s="91" t="s">
        <v>805</v>
      </c>
      <c r="E828" s="93">
        <v>180</v>
      </c>
      <c r="F828" s="22" t="s">
        <v>288</v>
      </c>
    </row>
    <row r="829" spans="1:6">
      <c r="A829" s="28" t="s">
        <v>784</v>
      </c>
      <c r="B829" s="33" t="s">
        <v>807</v>
      </c>
      <c r="C829" s="33" t="s">
        <v>802</v>
      </c>
      <c r="D829" s="91" t="s">
        <v>805</v>
      </c>
      <c r="E829" s="93">
        <v>69.23</v>
      </c>
      <c r="F829" s="22" t="s">
        <v>288</v>
      </c>
    </row>
    <row r="830" spans="1:6">
      <c r="A830" s="28" t="s">
        <v>784</v>
      </c>
      <c r="B830" s="33" t="s">
        <v>807</v>
      </c>
      <c r="C830" s="33" t="s">
        <v>802</v>
      </c>
      <c r="D830" s="87" t="s">
        <v>787</v>
      </c>
      <c r="E830" s="82">
        <v>18000</v>
      </c>
      <c r="F830" s="22" t="s">
        <v>288</v>
      </c>
    </row>
    <row r="831" spans="1:6">
      <c r="A831" s="28" t="s">
        <v>784</v>
      </c>
      <c r="B831" s="6" t="s">
        <v>808</v>
      </c>
      <c r="C831" s="6" t="s">
        <v>809</v>
      </c>
      <c r="D831" s="87" t="s">
        <v>810</v>
      </c>
      <c r="E831" s="82">
        <v>100</v>
      </c>
      <c r="F831" s="22" t="s">
        <v>288</v>
      </c>
    </row>
    <row r="832" spans="1:6">
      <c r="A832" s="28" t="s">
        <v>784</v>
      </c>
      <c r="B832" s="6" t="s">
        <v>811</v>
      </c>
      <c r="C832" s="6" t="s">
        <v>796</v>
      </c>
      <c r="D832" s="87" t="s">
        <v>787</v>
      </c>
      <c r="E832" s="82">
        <v>5000</v>
      </c>
      <c r="F832" s="22" t="s">
        <v>288</v>
      </c>
    </row>
    <row r="833" spans="1:6">
      <c r="A833" s="28" t="s">
        <v>784</v>
      </c>
      <c r="B833" s="6" t="s">
        <v>812</v>
      </c>
      <c r="C833" s="6" t="s">
        <v>813</v>
      </c>
      <c r="D833" s="87" t="s">
        <v>810</v>
      </c>
      <c r="E833" s="82">
        <v>60</v>
      </c>
      <c r="F833" s="22" t="s">
        <v>288</v>
      </c>
    </row>
    <row r="834" spans="1:6">
      <c r="A834" s="28" t="s">
        <v>784</v>
      </c>
      <c r="B834" s="33" t="s">
        <v>814</v>
      </c>
      <c r="C834" s="33" t="s">
        <v>815</v>
      </c>
      <c r="D834" s="87" t="s">
        <v>810</v>
      </c>
      <c r="E834" s="82">
        <v>1200</v>
      </c>
      <c r="F834" s="22" t="s">
        <v>288</v>
      </c>
    </row>
    <row r="835" spans="1:6">
      <c r="A835" s="28" t="s">
        <v>784</v>
      </c>
      <c r="B835" s="33" t="s">
        <v>816</v>
      </c>
      <c r="C835" s="33" t="s">
        <v>817</v>
      </c>
      <c r="D835" s="87" t="s">
        <v>810</v>
      </c>
      <c r="E835" s="93">
        <v>20</v>
      </c>
      <c r="F835" s="22" t="s">
        <v>288</v>
      </c>
    </row>
    <row r="836" spans="1:6">
      <c r="A836" s="28" t="s">
        <v>784</v>
      </c>
      <c r="B836" s="33" t="s">
        <v>818</v>
      </c>
      <c r="C836" s="33" t="s">
        <v>817</v>
      </c>
      <c r="D836" s="87" t="s">
        <v>810</v>
      </c>
      <c r="E836" s="93">
        <v>30</v>
      </c>
      <c r="F836" s="22" t="s">
        <v>288</v>
      </c>
    </row>
    <row r="837" spans="1:6">
      <c r="A837" s="28" t="s">
        <v>784</v>
      </c>
      <c r="B837" s="33" t="s">
        <v>812</v>
      </c>
      <c r="C837" s="33" t="s">
        <v>817</v>
      </c>
      <c r="D837" s="87" t="s">
        <v>810</v>
      </c>
      <c r="E837" s="93">
        <v>60</v>
      </c>
      <c r="F837" s="22" t="s">
        <v>288</v>
      </c>
    </row>
    <row r="838" spans="1:6">
      <c r="A838" s="28" t="s">
        <v>784</v>
      </c>
      <c r="B838" s="33" t="s">
        <v>819</v>
      </c>
      <c r="C838" s="33" t="s">
        <v>817</v>
      </c>
      <c r="D838" s="91" t="s">
        <v>803</v>
      </c>
      <c r="E838" s="93">
        <v>66.66</v>
      </c>
      <c r="F838" s="22" t="s">
        <v>288</v>
      </c>
    </row>
    <row r="839" spans="1:6">
      <c r="A839" s="28" t="s">
        <v>784</v>
      </c>
      <c r="B839" s="33" t="s">
        <v>820</v>
      </c>
      <c r="C839" s="33" t="s">
        <v>817</v>
      </c>
      <c r="D839" s="91" t="s">
        <v>803</v>
      </c>
      <c r="E839" s="93">
        <v>15</v>
      </c>
      <c r="F839" s="22" t="s">
        <v>288</v>
      </c>
    </row>
    <row r="840" spans="1:6">
      <c r="A840" s="28" t="s">
        <v>784</v>
      </c>
      <c r="B840" s="33" t="s">
        <v>821</v>
      </c>
      <c r="C840" s="33" t="s">
        <v>817</v>
      </c>
      <c r="D840" s="91" t="s">
        <v>803</v>
      </c>
      <c r="E840" s="93">
        <v>20</v>
      </c>
      <c r="F840" s="22" t="s">
        <v>288</v>
      </c>
    </row>
    <row r="841" spans="1:6">
      <c r="A841" s="28" t="s">
        <v>784</v>
      </c>
      <c r="B841" s="33" t="s">
        <v>822</v>
      </c>
      <c r="C841" s="33" t="s">
        <v>817</v>
      </c>
      <c r="D841" s="91" t="s">
        <v>803</v>
      </c>
      <c r="E841" s="93">
        <v>20</v>
      </c>
      <c r="F841" s="22" t="s">
        <v>288</v>
      </c>
    </row>
    <row r="842" spans="1:6">
      <c r="A842" s="28" t="s">
        <v>784</v>
      </c>
      <c r="B842" s="33" t="s">
        <v>823</v>
      </c>
      <c r="C842" s="33" t="s">
        <v>817</v>
      </c>
      <c r="D842" s="91" t="s">
        <v>803</v>
      </c>
      <c r="E842" s="93">
        <v>15</v>
      </c>
      <c r="F842" s="22" t="s">
        <v>288</v>
      </c>
    </row>
    <row r="843" spans="1:6">
      <c r="A843" s="28" t="s">
        <v>784</v>
      </c>
      <c r="B843" s="33" t="s">
        <v>824</v>
      </c>
      <c r="C843" s="33" t="s">
        <v>817</v>
      </c>
      <c r="D843" s="91" t="s">
        <v>803</v>
      </c>
      <c r="E843" s="93">
        <v>15</v>
      </c>
      <c r="F843" s="22" t="s">
        <v>288</v>
      </c>
    </row>
    <row r="844" spans="1:6">
      <c r="A844" s="28" t="s">
        <v>784</v>
      </c>
      <c r="B844" s="33" t="s">
        <v>825</v>
      </c>
      <c r="C844" s="33" t="s">
        <v>817</v>
      </c>
      <c r="D844" s="91" t="s">
        <v>803</v>
      </c>
      <c r="E844" s="93">
        <v>66.66</v>
      </c>
      <c r="F844" s="22" t="s">
        <v>288</v>
      </c>
    </row>
    <row r="845" spans="1:6">
      <c r="A845" s="28" t="s">
        <v>784</v>
      </c>
      <c r="B845" s="33" t="s">
        <v>826</v>
      </c>
      <c r="C845" s="33" t="s">
        <v>817</v>
      </c>
      <c r="D845" s="91" t="s">
        <v>124</v>
      </c>
      <c r="E845" s="93">
        <v>30</v>
      </c>
      <c r="F845" s="22" t="s">
        <v>288</v>
      </c>
    </row>
    <row r="846" spans="1:6">
      <c r="A846" s="28" t="s">
        <v>784</v>
      </c>
      <c r="B846" s="6" t="s">
        <v>827</v>
      </c>
      <c r="C846" s="6" t="s">
        <v>828</v>
      </c>
      <c r="D846" s="87" t="s">
        <v>363</v>
      </c>
      <c r="E846" s="82">
        <v>800</v>
      </c>
      <c r="F846" s="22" t="s">
        <v>288</v>
      </c>
    </row>
    <row r="847" spans="1:6">
      <c r="A847" s="28" t="s">
        <v>784</v>
      </c>
      <c r="B847" s="33" t="s">
        <v>829</v>
      </c>
      <c r="C847" s="33" t="s">
        <v>830</v>
      </c>
      <c r="D847" s="87" t="s">
        <v>363</v>
      </c>
      <c r="E847" s="93">
        <v>300</v>
      </c>
      <c r="F847" s="22" t="s">
        <v>288</v>
      </c>
    </row>
    <row r="848" spans="1:6">
      <c r="A848" s="28" t="s">
        <v>784</v>
      </c>
      <c r="B848" s="33" t="s">
        <v>831</v>
      </c>
      <c r="C848" s="33" t="s">
        <v>830</v>
      </c>
      <c r="D848" s="87" t="s">
        <v>363</v>
      </c>
      <c r="E848" s="93">
        <v>149</v>
      </c>
      <c r="F848" s="22" t="s">
        <v>288</v>
      </c>
    </row>
    <row r="849" spans="1:6">
      <c r="A849" s="28" t="s">
        <v>784</v>
      </c>
      <c r="B849" s="33" t="s">
        <v>832</v>
      </c>
      <c r="C849" s="33" t="s">
        <v>830</v>
      </c>
      <c r="D849" s="87" t="s">
        <v>363</v>
      </c>
      <c r="E849" s="93">
        <v>10</v>
      </c>
      <c r="F849" s="22" t="s">
        <v>288</v>
      </c>
    </row>
    <row r="850" spans="1:6">
      <c r="A850" s="28" t="s">
        <v>784</v>
      </c>
      <c r="B850" s="33" t="s">
        <v>833</v>
      </c>
      <c r="C850" s="33" t="s">
        <v>834</v>
      </c>
      <c r="D850" s="87" t="s">
        <v>363</v>
      </c>
      <c r="E850" s="82">
        <v>40</v>
      </c>
      <c r="F850" s="22" t="s">
        <v>288</v>
      </c>
    </row>
    <row r="851" spans="1:6">
      <c r="A851" s="28" t="s">
        <v>784</v>
      </c>
      <c r="B851" s="33" t="s">
        <v>835</v>
      </c>
      <c r="C851" s="33" t="s">
        <v>834</v>
      </c>
      <c r="D851" s="87" t="s">
        <v>363</v>
      </c>
      <c r="E851" s="82">
        <v>40</v>
      </c>
      <c r="F851" s="22" t="s">
        <v>288</v>
      </c>
    </row>
    <row r="852" s="2" customFormat="1" spans="1:6">
      <c r="A852" s="28" t="s">
        <v>784</v>
      </c>
      <c r="B852" s="53" t="s">
        <v>836</v>
      </c>
      <c r="C852" s="53" t="s">
        <v>834</v>
      </c>
      <c r="D852" s="18" t="s">
        <v>363</v>
      </c>
      <c r="E852" s="98">
        <v>115</v>
      </c>
      <c r="F852" s="22" t="s">
        <v>288</v>
      </c>
    </row>
    <row r="853" s="2" customFormat="1" spans="1:6">
      <c r="A853" s="28" t="s">
        <v>784</v>
      </c>
      <c r="B853" s="53" t="s">
        <v>837</v>
      </c>
      <c r="C853" s="17" t="s">
        <v>838</v>
      </c>
      <c r="D853" s="55" t="s">
        <v>377</v>
      </c>
      <c r="E853" s="99">
        <v>6300</v>
      </c>
      <c r="F853" s="22" t="s">
        <v>288</v>
      </c>
    </row>
    <row r="854" s="2" customFormat="1" spans="1:6">
      <c r="A854" s="28" t="s">
        <v>784</v>
      </c>
      <c r="B854" s="53" t="s">
        <v>837</v>
      </c>
      <c r="C854" s="17" t="s">
        <v>838</v>
      </c>
      <c r="D854" s="55" t="s">
        <v>803</v>
      </c>
      <c r="E854" s="99">
        <v>210</v>
      </c>
      <c r="F854" s="22" t="s">
        <v>288</v>
      </c>
    </row>
    <row r="855" s="2" customFormat="1" spans="1:6">
      <c r="A855" s="28" t="s">
        <v>784</v>
      </c>
      <c r="B855" s="53" t="s">
        <v>839</v>
      </c>
      <c r="C855" s="17" t="s">
        <v>838</v>
      </c>
      <c r="D855" s="55" t="s">
        <v>377</v>
      </c>
      <c r="E855" s="99">
        <v>3500</v>
      </c>
      <c r="F855" s="22" t="s">
        <v>288</v>
      </c>
    </row>
    <row r="856" spans="1:6">
      <c r="A856" s="28" t="s">
        <v>784</v>
      </c>
      <c r="B856" s="6" t="s">
        <v>840</v>
      </c>
      <c r="C856" s="17" t="s">
        <v>841</v>
      </c>
      <c r="D856" s="55" t="s">
        <v>377</v>
      </c>
      <c r="E856" s="99">
        <v>10500</v>
      </c>
      <c r="F856" s="22" t="s">
        <v>288</v>
      </c>
    </row>
    <row r="857" spans="1:6">
      <c r="A857" s="28" t="s">
        <v>784</v>
      </c>
      <c r="B857" s="33" t="s">
        <v>842</v>
      </c>
      <c r="C857" s="6" t="s">
        <v>843</v>
      </c>
      <c r="D857" s="91" t="s">
        <v>124</v>
      </c>
      <c r="E857" s="93">
        <v>1400</v>
      </c>
      <c r="F857" s="22" t="s">
        <v>259</v>
      </c>
    </row>
    <row r="858" spans="1:6">
      <c r="A858" s="28" t="s">
        <v>784</v>
      </c>
      <c r="B858" s="33" t="s">
        <v>844</v>
      </c>
      <c r="C858" s="6" t="s">
        <v>843</v>
      </c>
      <c r="D858" s="91" t="s">
        <v>124</v>
      </c>
      <c r="E858" s="93">
        <v>245</v>
      </c>
      <c r="F858" s="22" t="s">
        <v>259</v>
      </c>
    </row>
    <row r="859" spans="1:6">
      <c r="A859" s="28" t="s">
        <v>784</v>
      </c>
      <c r="B859" s="33" t="s">
        <v>845</v>
      </c>
      <c r="C859" s="6" t="s">
        <v>843</v>
      </c>
      <c r="D859" s="91" t="s">
        <v>124</v>
      </c>
      <c r="E859" s="93">
        <v>495</v>
      </c>
      <c r="F859" s="22" t="s">
        <v>259</v>
      </c>
    </row>
    <row r="860" spans="1:6">
      <c r="A860" s="28" t="s">
        <v>784</v>
      </c>
      <c r="B860" s="33" t="s">
        <v>846</v>
      </c>
      <c r="C860" s="6" t="s">
        <v>843</v>
      </c>
      <c r="D860" s="91" t="s">
        <v>124</v>
      </c>
      <c r="E860" s="93">
        <v>910</v>
      </c>
      <c r="F860" s="22" t="s">
        <v>259</v>
      </c>
    </row>
    <row r="861" spans="1:6">
      <c r="A861" s="28" t="s">
        <v>784</v>
      </c>
      <c r="B861" s="33" t="s">
        <v>847</v>
      </c>
      <c r="C861" s="6" t="s">
        <v>843</v>
      </c>
      <c r="D861" s="91" t="s">
        <v>124</v>
      </c>
      <c r="E861" s="93">
        <v>245</v>
      </c>
      <c r="F861" s="22" t="s">
        <v>259</v>
      </c>
    </row>
    <row r="862" spans="1:6">
      <c r="A862" s="28" t="s">
        <v>784</v>
      </c>
      <c r="B862" s="33" t="s">
        <v>848</v>
      </c>
      <c r="C862" s="6" t="s">
        <v>843</v>
      </c>
      <c r="D862" s="91" t="s">
        <v>124</v>
      </c>
      <c r="E862" s="93">
        <v>410</v>
      </c>
      <c r="F862" s="22" t="s">
        <v>259</v>
      </c>
    </row>
    <row r="863" spans="1:6">
      <c r="A863" s="28" t="s">
        <v>784</v>
      </c>
      <c r="B863" s="33" t="s">
        <v>849</v>
      </c>
      <c r="C863" s="6" t="s">
        <v>843</v>
      </c>
      <c r="D863" s="91" t="s">
        <v>124</v>
      </c>
      <c r="E863" s="93">
        <v>220</v>
      </c>
      <c r="F863" s="22" t="s">
        <v>259</v>
      </c>
    </row>
    <row r="864" spans="1:6">
      <c r="A864" s="28" t="s">
        <v>784</v>
      </c>
      <c r="B864" s="33" t="s">
        <v>850</v>
      </c>
      <c r="C864" s="6" t="s">
        <v>843</v>
      </c>
      <c r="D864" s="91" t="s">
        <v>124</v>
      </c>
      <c r="E864" s="93">
        <v>150</v>
      </c>
      <c r="F864" s="22" t="s">
        <v>259</v>
      </c>
    </row>
    <row r="865" spans="1:9">
      <c r="A865" s="28" t="s">
        <v>784</v>
      </c>
      <c r="B865" s="33" t="s">
        <v>851</v>
      </c>
      <c r="C865" s="6" t="s">
        <v>843</v>
      </c>
      <c r="D865" s="91" t="s">
        <v>124</v>
      </c>
      <c r="E865" s="93">
        <v>720</v>
      </c>
      <c r="F865" s="22" t="s">
        <v>259</v>
      </c>
    </row>
    <row r="866" spans="1:9">
      <c r="A866" s="28" t="s">
        <v>784</v>
      </c>
      <c r="B866" s="33" t="s">
        <v>852</v>
      </c>
      <c r="C866" s="6" t="s">
        <v>843</v>
      </c>
      <c r="D866" s="91" t="s">
        <v>124</v>
      </c>
      <c r="E866" s="93">
        <v>170</v>
      </c>
      <c r="F866" s="22" t="s">
        <v>259</v>
      </c>
    </row>
    <row r="867" spans="1:9">
      <c r="A867" s="28" t="s">
        <v>784</v>
      </c>
      <c r="B867" s="33" t="s">
        <v>853</v>
      </c>
      <c r="C867" s="33" t="s">
        <v>744</v>
      </c>
      <c r="D867" s="91" t="s">
        <v>124</v>
      </c>
      <c r="E867" s="93">
        <v>190</v>
      </c>
      <c r="F867" s="22" t="s">
        <v>259</v>
      </c>
    </row>
    <row r="868" spans="1:9">
      <c r="A868" s="28" t="s">
        <v>784</v>
      </c>
      <c r="B868" s="33" t="s">
        <v>854</v>
      </c>
      <c r="C868" s="33" t="s">
        <v>744</v>
      </c>
      <c r="D868" s="91" t="s">
        <v>124</v>
      </c>
      <c r="E868" s="93">
        <v>340</v>
      </c>
      <c r="F868" s="22" t="s">
        <v>259</v>
      </c>
    </row>
    <row r="869" spans="1:9">
      <c r="A869" s="28" t="s">
        <v>784</v>
      </c>
      <c r="B869" s="33" t="s">
        <v>855</v>
      </c>
      <c r="C869" s="33" t="s">
        <v>744</v>
      </c>
      <c r="D869" s="91" t="s">
        <v>124</v>
      </c>
      <c r="E869" s="93">
        <v>780</v>
      </c>
      <c r="F869" s="22" t="s">
        <v>259</v>
      </c>
    </row>
    <row r="870" spans="1:9">
      <c r="A870" s="28" t="s">
        <v>784</v>
      </c>
      <c r="B870" s="33" t="s">
        <v>856</v>
      </c>
      <c r="C870" s="33" t="s">
        <v>744</v>
      </c>
      <c r="D870" s="91" t="s">
        <v>124</v>
      </c>
      <c r="E870" s="93">
        <v>990</v>
      </c>
      <c r="F870" s="22" t="s">
        <v>259</v>
      </c>
    </row>
    <row r="871" spans="1:9">
      <c r="A871" s="28" t="s">
        <v>784</v>
      </c>
      <c r="B871" s="6" t="s">
        <v>716</v>
      </c>
      <c r="C871" s="6" t="s">
        <v>301</v>
      </c>
      <c r="D871" s="91" t="s">
        <v>124</v>
      </c>
      <c r="E871" s="82">
        <v>250</v>
      </c>
      <c r="F871" s="22" t="s">
        <v>259</v>
      </c>
    </row>
    <row r="872" spans="1:9">
      <c r="A872" s="28" t="s">
        <v>784</v>
      </c>
      <c r="B872" s="6" t="s">
        <v>857</v>
      </c>
      <c r="C872" s="6" t="s">
        <v>747</v>
      </c>
      <c r="D872" s="87" t="s">
        <v>124</v>
      </c>
      <c r="E872" s="82">
        <v>970</v>
      </c>
      <c r="F872" s="22" t="s">
        <v>259</v>
      </c>
    </row>
    <row r="873" spans="1:9">
      <c r="A873" s="28" t="s">
        <v>784</v>
      </c>
      <c r="B873" s="6" t="s">
        <v>858</v>
      </c>
      <c r="C873" s="33" t="s">
        <v>859</v>
      </c>
      <c r="D873" s="87" t="s">
        <v>124</v>
      </c>
      <c r="E873" s="93">
        <v>4450</v>
      </c>
      <c r="F873" s="22" t="s">
        <v>259</v>
      </c>
    </row>
    <row r="874" spans="1:9">
      <c r="A874" s="28" t="s">
        <v>784</v>
      </c>
      <c r="B874" s="6" t="s">
        <v>860</v>
      </c>
      <c r="C874" s="6" t="s">
        <v>747</v>
      </c>
      <c r="D874" s="87" t="s">
        <v>250</v>
      </c>
      <c r="E874" s="82">
        <v>5400</v>
      </c>
      <c r="F874" s="22" t="s">
        <v>259</v>
      </c>
      <c r="I874" s="47"/>
    </row>
    <row r="875" spans="1:9">
      <c r="A875" s="28" t="s">
        <v>784</v>
      </c>
      <c r="B875" s="57" t="s">
        <v>861</v>
      </c>
      <c r="C875" s="33" t="s">
        <v>744</v>
      </c>
      <c r="D875" s="87" t="s">
        <v>250</v>
      </c>
      <c r="E875" s="82">
        <v>2100</v>
      </c>
      <c r="F875" s="22" t="s">
        <v>259</v>
      </c>
      <c r="I875" s="47"/>
    </row>
    <row r="876" spans="1:9">
      <c r="A876" s="28" t="s">
        <v>784</v>
      </c>
      <c r="B876" s="58" t="s">
        <v>862</v>
      </c>
      <c r="C876" s="6" t="s">
        <v>863</v>
      </c>
      <c r="D876" s="87" t="s">
        <v>250</v>
      </c>
      <c r="E876" s="100">
        <v>3800</v>
      </c>
      <c r="F876" s="22" t="s">
        <v>259</v>
      </c>
    </row>
    <row r="877" spans="1:9">
      <c r="A877" s="28" t="s">
        <v>784</v>
      </c>
      <c r="B877" s="58" t="s">
        <v>864</v>
      </c>
      <c r="C877" s="6" t="s">
        <v>863</v>
      </c>
      <c r="D877" s="87" t="s">
        <v>250</v>
      </c>
      <c r="E877" s="100">
        <v>2600</v>
      </c>
      <c r="F877" s="22" t="s">
        <v>259</v>
      </c>
    </row>
    <row r="878" spans="1:9">
      <c r="A878" s="28" t="s">
        <v>784</v>
      </c>
      <c r="B878" s="58" t="s">
        <v>865</v>
      </c>
      <c r="C878" s="6" t="s">
        <v>863</v>
      </c>
      <c r="D878" s="87" t="s">
        <v>250</v>
      </c>
      <c r="E878" s="100">
        <v>4900</v>
      </c>
      <c r="F878" s="22" t="s">
        <v>259</v>
      </c>
    </row>
    <row r="879" spans="1:9">
      <c r="A879" s="28" t="s">
        <v>784</v>
      </c>
      <c r="B879" s="6" t="s">
        <v>866</v>
      </c>
      <c r="C879" s="6" t="s">
        <v>747</v>
      </c>
      <c r="D879" s="87" t="s">
        <v>250</v>
      </c>
      <c r="E879" s="82">
        <v>1900</v>
      </c>
      <c r="F879" s="22" t="s">
        <v>259</v>
      </c>
    </row>
    <row r="880" spans="1:9">
      <c r="A880" s="28" t="s">
        <v>784</v>
      </c>
      <c r="B880" s="6" t="s">
        <v>867</v>
      </c>
      <c r="C880" s="33" t="s">
        <v>868</v>
      </c>
      <c r="D880" s="87" t="s">
        <v>461</v>
      </c>
      <c r="E880" s="93">
        <v>86700</v>
      </c>
      <c r="F880" s="22" t="s">
        <v>259</v>
      </c>
    </row>
    <row r="881" spans="1:6">
      <c r="A881" s="28" t="s">
        <v>784</v>
      </c>
      <c r="B881" s="6" t="s">
        <v>869</v>
      </c>
      <c r="C881" s="33" t="s">
        <v>870</v>
      </c>
      <c r="D881" s="87" t="s">
        <v>250</v>
      </c>
      <c r="E881" s="93">
        <v>93000</v>
      </c>
      <c r="F881" s="22" t="s">
        <v>259</v>
      </c>
    </row>
    <row r="882" spans="1:6">
      <c r="A882" s="28" t="s">
        <v>784</v>
      </c>
      <c r="B882" s="33" t="s">
        <v>871</v>
      </c>
      <c r="C882" s="33" t="s">
        <v>258</v>
      </c>
      <c r="D882" s="91" t="s">
        <v>124</v>
      </c>
      <c r="E882" s="93">
        <v>3100</v>
      </c>
      <c r="F882" s="22" t="s">
        <v>259</v>
      </c>
    </row>
    <row r="883" spans="1:6">
      <c r="A883" s="28" t="s">
        <v>784</v>
      </c>
      <c r="B883" s="6" t="s">
        <v>872</v>
      </c>
      <c r="C883" s="6" t="s">
        <v>747</v>
      </c>
      <c r="D883" s="87" t="s">
        <v>250</v>
      </c>
      <c r="E883" s="82">
        <v>530</v>
      </c>
      <c r="F883" s="22" t="s">
        <v>259</v>
      </c>
    </row>
    <row r="884" spans="1:6">
      <c r="A884" s="6" t="s">
        <v>570</v>
      </c>
      <c r="B884" s="6" t="s">
        <v>873</v>
      </c>
      <c r="C884" s="6" t="s">
        <v>874</v>
      </c>
      <c r="D884" s="87" t="s">
        <v>250</v>
      </c>
      <c r="E884" s="82">
        <v>17000</v>
      </c>
      <c r="F884" s="22" t="s">
        <v>259</v>
      </c>
    </row>
    <row r="885" spans="1:6">
      <c r="A885" s="6" t="s">
        <v>570</v>
      </c>
      <c r="B885" s="6" t="s">
        <v>875</v>
      </c>
      <c r="C885" s="6" t="s">
        <v>876</v>
      </c>
      <c r="D885" s="87" t="s">
        <v>124</v>
      </c>
      <c r="E885" s="82">
        <v>16500</v>
      </c>
      <c r="F885" s="22" t="s">
        <v>259</v>
      </c>
    </row>
    <row r="886" spans="1:6">
      <c r="A886" s="6"/>
      <c r="B886" s="20" t="s">
        <v>877</v>
      </c>
      <c r="C886" s="6"/>
      <c r="D886" s="87"/>
      <c r="E886" s="82"/>
      <c r="F886" s="6"/>
    </row>
    <row r="887" spans="1:6">
      <c r="A887" s="11" t="s">
        <v>1</v>
      </c>
      <c r="B887" s="12" t="s">
        <v>2</v>
      </c>
      <c r="C887" s="13" t="s">
        <v>3</v>
      </c>
      <c r="D887" s="14" t="s">
        <v>4</v>
      </c>
      <c r="E887" s="81" t="s">
        <v>5</v>
      </c>
      <c r="F887" s="6"/>
    </row>
    <row r="888" spans="1:6">
      <c r="A888" s="6" t="s">
        <v>878</v>
      </c>
      <c r="B888" s="61" t="s">
        <v>879</v>
      </c>
      <c r="C888" s="6" t="s">
        <v>111</v>
      </c>
      <c r="D888" s="92" t="s">
        <v>9</v>
      </c>
      <c r="E888" s="92">
        <v>225</v>
      </c>
      <c r="F888" s="6" t="s">
        <v>880</v>
      </c>
    </row>
    <row r="889" spans="1:6">
      <c r="A889" s="6" t="s">
        <v>878</v>
      </c>
      <c r="B889" s="61" t="s">
        <v>881</v>
      </c>
      <c r="C889" s="6" t="s">
        <v>111</v>
      </c>
      <c r="D889" s="92" t="s">
        <v>9</v>
      </c>
      <c r="E889" s="92">
        <v>1500</v>
      </c>
      <c r="F889" s="6" t="s">
        <v>880</v>
      </c>
    </row>
    <row r="890" spans="1:6">
      <c r="A890" s="6" t="s">
        <v>878</v>
      </c>
      <c r="B890" s="61" t="s">
        <v>882</v>
      </c>
      <c r="C890" s="6" t="s">
        <v>13</v>
      </c>
      <c r="D890" s="92" t="s">
        <v>9</v>
      </c>
      <c r="E890" s="92">
        <v>20</v>
      </c>
      <c r="F890" s="6" t="s">
        <v>880</v>
      </c>
    </row>
    <row r="891" spans="1:6">
      <c r="A891" s="6" t="s">
        <v>878</v>
      </c>
      <c r="B891" s="61" t="s">
        <v>883</v>
      </c>
      <c r="C891" s="6" t="s">
        <v>13</v>
      </c>
      <c r="D891" s="92" t="s">
        <v>9</v>
      </c>
      <c r="E891" s="92">
        <v>17</v>
      </c>
      <c r="F891" s="6" t="s">
        <v>880</v>
      </c>
    </row>
    <row r="892" spans="1:6">
      <c r="A892" s="6" t="s">
        <v>878</v>
      </c>
      <c r="B892" s="61" t="s">
        <v>884</v>
      </c>
      <c r="C892" s="6" t="s">
        <v>99</v>
      </c>
      <c r="D892" s="92" t="s">
        <v>9</v>
      </c>
      <c r="E892" s="92">
        <v>350</v>
      </c>
      <c r="F892" s="6" t="s">
        <v>880</v>
      </c>
    </row>
    <row r="893" spans="1:6">
      <c r="A893" s="6" t="s">
        <v>878</v>
      </c>
      <c r="B893" s="61" t="s">
        <v>885</v>
      </c>
      <c r="C893" s="6" t="s">
        <v>99</v>
      </c>
      <c r="D893" s="92" t="s">
        <v>9</v>
      </c>
      <c r="E893" s="92">
        <v>350</v>
      </c>
      <c r="F893" s="6" t="s">
        <v>880</v>
      </c>
    </row>
    <row r="894" spans="1:6">
      <c r="B894" s="63" t="s">
        <v>886</v>
      </c>
    </row>
    <row r="895" spans="1:6">
      <c r="A895" s="11" t="s">
        <v>1</v>
      </c>
      <c r="B895" s="12" t="s">
        <v>2</v>
      </c>
      <c r="C895" s="13" t="s">
        <v>3</v>
      </c>
      <c r="D895" s="14" t="s">
        <v>4</v>
      </c>
      <c r="E895" s="81" t="s">
        <v>5</v>
      </c>
      <c r="F895" s="6"/>
    </row>
    <row r="896" spans="1:6">
      <c r="A896" s="22" t="s">
        <v>886</v>
      </c>
      <c r="B896" s="33" t="s">
        <v>887</v>
      </c>
      <c r="C896" s="33" t="s">
        <v>888</v>
      </c>
      <c r="D896" s="93" t="s">
        <v>124</v>
      </c>
      <c r="E896" s="93">
        <v>50</v>
      </c>
      <c r="F896" s="6" t="s">
        <v>288</v>
      </c>
    </row>
    <row r="897" spans="1:6">
      <c r="A897" s="22" t="s">
        <v>886</v>
      </c>
      <c r="B897" s="33" t="s">
        <v>889</v>
      </c>
      <c r="C897" s="33" t="s">
        <v>888</v>
      </c>
      <c r="D897" s="93" t="s">
        <v>124</v>
      </c>
      <c r="E897" s="93">
        <v>50</v>
      </c>
      <c r="F897" s="6" t="s">
        <v>288</v>
      </c>
    </row>
    <row r="898" spans="1:6">
      <c r="A898" s="22" t="s">
        <v>886</v>
      </c>
      <c r="B898" s="33" t="s">
        <v>890</v>
      </c>
      <c r="C898" s="33" t="s">
        <v>888</v>
      </c>
      <c r="D898" s="93" t="s">
        <v>124</v>
      </c>
      <c r="E898" s="93">
        <v>70</v>
      </c>
      <c r="F898" s="6" t="s">
        <v>288</v>
      </c>
    </row>
    <row r="899" spans="1:6">
      <c r="A899" s="22" t="s">
        <v>886</v>
      </c>
      <c r="B899" s="33" t="s">
        <v>891</v>
      </c>
      <c r="C899" s="33" t="s">
        <v>888</v>
      </c>
      <c r="D899" s="93" t="s">
        <v>124</v>
      </c>
      <c r="E899" s="93">
        <v>70</v>
      </c>
      <c r="F899" s="6" t="s">
        <v>288</v>
      </c>
    </row>
    <row r="900" spans="1:6">
      <c r="A900" s="22" t="s">
        <v>886</v>
      </c>
      <c r="B900" s="33" t="s">
        <v>892</v>
      </c>
      <c r="C900" s="33" t="s">
        <v>888</v>
      </c>
      <c r="D900" s="93" t="s">
        <v>124</v>
      </c>
      <c r="E900" s="93">
        <v>95</v>
      </c>
      <c r="F900" s="6" t="s">
        <v>288</v>
      </c>
    </row>
    <row r="901" spans="1:6">
      <c r="A901" s="22" t="s">
        <v>886</v>
      </c>
      <c r="B901" s="33" t="s">
        <v>893</v>
      </c>
      <c r="C901" s="33" t="s">
        <v>888</v>
      </c>
      <c r="D901" s="93" t="s">
        <v>124</v>
      </c>
      <c r="E901" s="93">
        <v>135</v>
      </c>
      <c r="F901" s="6" t="s">
        <v>288</v>
      </c>
    </row>
    <row r="902" spans="1:6">
      <c r="A902" s="22" t="s">
        <v>886</v>
      </c>
      <c r="B902" s="33" t="s">
        <v>894</v>
      </c>
      <c r="C902" s="33" t="s">
        <v>888</v>
      </c>
      <c r="D902" s="93" t="s">
        <v>124</v>
      </c>
      <c r="E902" s="93">
        <v>120</v>
      </c>
      <c r="F902" s="6" t="s">
        <v>288</v>
      </c>
    </row>
    <row r="903" spans="1:6">
      <c r="A903" s="22" t="s">
        <v>886</v>
      </c>
      <c r="B903" s="33" t="s">
        <v>895</v>
      </c>
      <c r="C903" s="33" t="s">
        <v>888</v>
      </c>
      <c r="D903" s="93" t="s">
        <v>124</v>
      </c>
      <c r="E903" s="93">
        <v>135</v>
      </c>
      <c r="F903" s="6" t="s">
        <v>288</v>
      </c>
    </row>
    <row r="904" spans="1:6">
      <c r="A904" s="22" t="s">
        <v>886</v>
      </c>
      <c r="B904" s="33" t="s">
        <v>896</v>
      </c>
      <c r="C904" s="33" t="s">
        <v>888</v>
      </c>
      <c r="D904" s="93" t="s">
        <v>124</v>
      </c>
      <c r="E904" s="93">
        <v>170</v>
      </c>
      <c r="F904" s="6" t="s">
        <v>288</v>
      </c>
    </row>
    <row r="905" spans="1:6">
      <c r="A905" s="22" t="s">
        <v>886</v>
      </c>
      <c r="B905" s="33" t="s">
        <v>897</v>
      </c>
      <c r="C905" s="33" t="s">
        <v>888</v>
      </c>
      <c r="D905" s="93" t="s">
        <v>124</v>
      </c>
      <c r="E905" s="93">
        <v>60</v>
      </c>
      <c r="F905" s="6" t="s">
        <v>288</v>
      </c>
    </row>
    <row r="906" spans="1:6">
      <c r="A906" s="22" t="s">
        <v>886</v>
      </c>
      <c r="B906" s="33" t="s">
        <v>898</v>
      </c>
      <c r="C906" s="33" t="s">
        <v>888</v>
      </c>
      <c r="D906" s="93" t="s">
        <v>124</v>
      </c>
      <c r="E906" s="93">
        <v>50</v>
      </c>
      <c r="F906" s="6" t="s">
        <v>288</v>
      </c>
    </row>
    <row r="907" spans="1:6">
      <c r="A907" s="22" t="s">
        <v>886</v>
      </c>
      <c r="B907" s="33" t="s">
        <v>899</v>
      </c>
      <c r="C907" s="33" t="s">
        <v>888</v>
      </c>
      <c r="D907" s="93" t="s">
        <v>124</v>
      </c>
      <c r="E907" s="93">
        <v>130</v>
      </c>
      <c r="F907" s="6" t="s">
        <v>288</v>
      </c>
    </row>
    <row r="908" spans="1:6">
      <c r="A908" s="22" t="s">
        <v>886</v>
      </c>
      <c r="B908" s="33" t="s">
        <v>900</v>
      </c>
      <c r="C908" s="33" t="s">
        <v>888</v>
      </c>
      <c r="D908" s="93" t="s">
        <v>124</v>
      </c>
      <c r="E908" s="93">
        <v>170</v>
      </c>
      <c r="F908" s="6" t="s">
        <v>288</v>
      </c>
    </row>
    <row r="909" spans="1:6">
      <c r="A909" s="22" t="s">
        <v>886</v>
      </c>
      <c r="B909" s="33" t="s">
        <v>901</v>
      </c>
      <c r="C909" s="33" t="s">
        <v>888</v>
      </c>
      <c r="D909" s="93" t="s">
        <v>124</v>
      </c>
      <c r="E909" s="93">
        <v>300</v>
      </c>
      <c r="F909" s="6" t="s">
        <v>288</v>
      </c>
    </row>
    <row r="910" spans="1:6">
      <c r="A910" s="22" t="s">
        <v>886</v>
      </c>
      <c r="B910" s="33" t="s">
        <v>902</v>
      </c>
      <c r="C910" s="33" t="s">
        <v>888</v>
      </c>
      <c r="D910" s="93" t="s">
        <v>124</v>
      </c>
      <c r="E910" s="93">
        <v>125</v>
      </c>
      <c r="F910" s="6" t="s">
        <v>288</v>
      </c>
    </row>
    <row r="911" spans="1:6">
      <c r="A911" s="22" t="s">
        <v>886</v>
      </c>
      <c r="B911" s="33" t="s">
        <v>903</v>
      </c>
      <c r="C911" s="33" t="s">
        <v>888</v>
      </c>
      <c r="D911" s="93" t="s">
        <v>124</v>
      </c>
      <c r="E911" s="93">
        <v>95</v>
      </c>
      <c r="F911" s="6" t="s">
        <v>288</v>
      </c>
    </row>
    <row r="912" spans="1:6">
      <c r="A912" s="22" t="s">
        <v>886</v>
      </c>
      <c r="B912" s="33" t="s">
        <v>904</v>
      </c>
      <c r="C912" s="33" t="s">
        <v>888</v>
      </c>
      <c r="D912" s="93" t="s">
        <v>124</v>
      </c>
      <c r="E912" s="93">
        <v>375</v>
      </c>
      <c r="F912" s="6" t="s">
        <v>288</v>
      </c>
    </row>
    <row r="913" spans="1:6">
      <c r="A913" s="22" t="s">
        <v>886</v>
      </c>
      <c r="B913" s="33" t="s">
        <v>905</v>
      </c>
      <c r="C913" s="33" t="s">
        <v>888</v>
      </c>
      <c r="D913" s="93" t="s">
        <v>124</v>
      </c>
      <c r="E913" s="93">
        <v>500</v>
      </c>
      <c r="F913" s="6" t="s">
        <v>288</v>
      </c>
    </row>
    <row r="914" spans="1:6">
      <c r="A914" s="22" t="s">
        <v>886</v>
      </c>
      <c r="B914" s="33" t="s">
        <v>906</v>
      </c>
      <c r="C914" s="33" t="s">
        <v>888</v>
      </c>
      <c r="D914" s="93" t="s">
        <v>124</v>
      </c>
      <c r="E914" s="93">
        <v>470</v>
      </c>
      <c r="F914" s="6" t="s">
        <v>288</v>
      </c>
    </row>
    <row r="915" spans="1:6">
      <c r="A915" s="22" t="s">
        <v>886</v>
      </c>
      <c r="B915" s="33" t="s">
        <v>907</v>
      </c>
      <c r="C915" s="33" t="s">
        <v>888</v>
      </c>
      <c r="D915" s="93" t="s">
        <v>124</v>
      </c>
      <c r="E915" s="93">
        <v>450</v>
      </c>
      <c r="F915" s="6" t="s">
        <v>288</v>
      </c>
    </row>
    <row r="916" spans="1:6">
      <c r="A916" s="22" t="s">
        <v>886</v>
      </c>
      <c r="B916" s="33" t="s">
        <v>908</v>
      </c>
      <c r="C916" s="33" t="s">
        <v>888</v>
      </c>
      <c r="D916" s="93" t="s">
        <v>124</v>
      </c>
      <c r="E916" s="93">
        <v>60</v>
      </c>
      <c r="F916" s="6" t="s">
        <v>288</v>
      </c>
    </row>
    <row r="917" spans="1:6">
      <c r="A917" s="22" t="s">
        <v>886</v>
      </c>
      <c r="B917" s="33" t="s">
        <v>909</v>
      </c>
      <c r="C917" s="33" t="s">
        <v>888</v>
      </c>
      <c r="D917" s="93" t="s">
        <v>124</v>
      </c>
      <c r="E917" s="93">
        <v>65</v>
      </c>
      <c r="F917" s="6" t="s">
        <v>288</v>
      </c>
    </row>
    <row r="918" spans="1:6">
      <c r="A918" s="22" t="s">
        <v>886</v>
      </c>
      <c r="B918" s="33" t="s">
        <v>910</v>
      </c>
      <c r="C918" s="33" t="s">
        <v>888</v>
      </c>
      <c r="D918" s="93" t="s">
        <v>124</v>
      </c>
      <c r="E918" s="93">
        <v>70</v>
      </c>
      <c r="F918" s="6" t="s">
        <v>288</v>
      </c>
    </row>
    <row r="919" spans="1:6">
      <c r="A919" s="22" t="s">
        <v>886</v>
      </c>
      <c r="B919" s="33" t="s">
        <v>911</v>
      </c>
      <c r="C919" s="33" t="s">
        <v>888</v>
      </c>
      <c r="D919" s="93" t="s">
        <v>124</v>
      </c>
      <c r="E919" s="93">
        <v>50</v>
      </c>
      <c r="F919" s="6" t="s">
        <v>288</v>
      </c>
    </row>
    <row r="920" spans="1:6">
      <c r="A920" s="22" t="s">
        <v>886</v>
      </c>
      <c r="B920" s="33" t="s">
        <v>912</v>
      </c>
      <c r="C920" s="33" t="s">
        <v>888</v>
      </c>
      <c r="D920" s="93" t="s">
        <v>124</v>
      </c>
      <c r="E920" s="93">
        <v>95</v>
      </c>
      <c r="F920" s="6" t="s">
        <v>288</v>
      </c>
    </row>
    <row r="921" spans="1:6">
      <c r="A921" s="22" t="s">
        <v>886</v>
      </c>
      <c r="B921" s="33" t="s">
        <v>913</v>
      </c>
      <c r="C921" s="33" t="s">
        <v>888</v>
      </c>
      <c r="D921" s="93" t="s">
        <v>124</v>
      </c>
      <c r="E921" s="93">
        <v>95</v>
      </c>
      <c r="F921" s="6" t="s">
        <v>288</v>
      </c>
    </row>
    <row r="922" spans="1:6">
      <c r="A922" s="22" t="s">
        <v>886</v>
      </c>
      <c r="B922" s="33" t="s">
        <v>914</v>
      </c>
      <c r="C922" s="33" t="s">
        <v>888</v>
      </c>
      <c r="D922" s="93" t="s">
        <v>124</v>
      </c>
      <c r="E922" s="93">
        <v>75</v>
      </c>
      <c r="F922" s="6" t="s">
        <v>288</v>
      </c>
    </row>
    <row r="923" spans="1:6">
      <c r="A923" s="22" t="s">
        <v>886</v>
      </c>
      <c r="B923" s="33" t="s">
        <v>915</v>
      </c>
      <c r="C923" s="33" t="s">
        <v>888</v>
      </c>
      <c r="D923" s="93" t="s">
        <v>124</v>
      </c>
      <c r="E923" s="93">
        <v>75</v>
      </c>
      <c r="F923" s="6" t="s">
        <v>288</v>
      </c>
    </row>
    <row r="924" spans="1:6">
      <c r="A924" s="22" t="s">
        <v>886</v>
      </c>
      <c r="B924" s="33" t="s">
        <v>916</v>
      </c>
      <c r="C924" s="33" t="s">
        <v>888</v>
      </c>
      <c r="D924" s="93" t="s">
        <v>124</v>
      </c>
      <c r="E924" s="93">
        <v>150</v>
      </c>
      <c r="F924" s="6" t="s">
        <v>288</v>
      </c>
    </row>
    <row r="925" spans="1:6">
      <c r="A925" s="22" t="s">
        <v>886</v>
      </c>
      <c r="B925" s="33" t="s">
        <v>917</v>
      </c>
      <c r="C925" s="33" t="s">
        <v>888</v>
      </c>
      <c r="D925" s="93" t="s">
        <v>124</v>
      </c>
      <c r="E925" s="93">
        <v>50</v>
      </c>
      <c r="F925" s="6" t="s">
        <v>288</v>
      </c>
    </row>
    <row r="926" spans="1:6">
      <c r="A926" s="22" t="s">
        <v>886</v>
      </c>
      <c r="B926" s="33" t="s">
        <v>918</v>
      </c>
      <c r="C926" s="33" t="s">
        <v>888</v>
      </c>
      <c r="D926" s="93" t="s">
        <v>124</v>
      </c>
      <c r="E926" s="93">
        <v>170</v>
      </c>
      <c r="F926" s="6" t="s">
        <v>288</v>
      </c>
    </row>
    <row r="927" spans="1:6">
      <c r="A927" s="22" t="s">
        <v>886</v>
      </c>
      <c r="B927" s="33" t="s">
        <v>919</v>
      </c>
      <c r="C927" s="33" t="s">
        <v>888</v>
      </c>
      <c r="D927" s="93" t="s">
        <v>124</v>
      </c>
      <c r="E927" s="93">
        <v>75</v>
      </c>
      <c r="F927" s="6" t="s">
        <v>288</v>
      </c>
    </row>
    <row r="928" spans="1:6">
      <c r="A928" s="22" t="s">
        <v>886</v>
      </c>
      <c r="B928" s="33" t="s">
        <v>920</v>
      </c>
      <c r="C928" s="33" t="s">
        <v>888</v>
      </c>
      <c r="D928" s="93" t="s">
        <v>124</v>
      </c>
      <c r="E928" s="93">
        <v>95</v>
      </c>
      <c r="F928" s="6" t="s">
        <v>288</v>
      </c>
    </row>
    <row r="929" spans="1:6">
      <c r="A929" s="22" t="s">
        <v>886</v>
      </c>
      <c r="B929" s="33" t="s">
        <v>921</v>
      </c>
      <c r="C929" s="33" t="s">
        <v>888</v>
      </c>
      <c r="D929" s="93" t="s">
        <v>124</v>
      </c>
      <c r="E929" s="93">
        <v>120</v>
      </c>
      <c r="F929" s="6" t="s">
        <v>288</v>
      </c>
    </row>
    <row r="930" spans="1:6">
      <c r="A930" s="22" t="s">
        <v>886</v>
      </c>
      <c r="B930" s="33" t="s">
        <v>922</v>
      </c>
      <c r="C930" s="33" t="s">
        <v>888</v>
      </c>
      <c r="D930" s="93" t="s">
        <v>124</v>
      </c>
      <c r="E930" s="93">
        <v>120</v>
      </c>
      <c r="F930" s="6" t="s">
        <v>288</v>
      </c>
    </row>
    <row r="931" spans="1:6">
      <c r="A931" s="22" t="s">
        <v>886</v>
      </c>
      <c r="B931" s="33" t="s">
        <v>923</v>
      </c>
      <c r="C931" s="33" t="s">
        <v>888</v>
      </c>
      <c r="D931" s="93" t="s">
        <v>124</v>
      </c>
      <c r="E931" s="93">
        <v>8</v>
      </c>
      <c r="F931" s="6" t="s">
        <v>288</v>
      </c>
    </row>
    <row r="932" spans="1:6">
      <c r="A932" s="22" t="s">
        <v>886</v>
      </c>
      <c r="B932" s="33" t="s">
        <v>924</v>
      </c>
      <c r="C932" s="33" t="s">
        <v>888</v>
      </c>
      <c r="D932" s="93" t="s">
        <v>124</v>
      </c>
      <c r="E932" s="93">
        <v>100</v>
      </c>
      <c r="F932" s="6" t="s">
        <v>288</v>
      </c>
    </row>
    <row r="933" spans="1:6">
      <c r="A933" s="22" t="s">
        <v>886</v>
      </c>
      <c r="B933" s="33" t="s">
        <v>925</v>
      </c>
      <c r="C933" s="33" t="s">
        <v>888</v>
      </c>
      <c r="D933" s="93" t="s">
        <v>124</v>
      </c>
      <c r="E933" s="93">
        <v>15</v>
      </c>
      <c r="F933" s="6" t="s">
        <v>288</v>
      </c>
    </row>
    <row r="934" spans="1:6">
      <c r="A934" s="22" t="s">
        <v>886</v>
      </c>
      <c r="B934" s="33" t="s">
        <v>926</v>
      </c>
      <c r="C934" s="33" t="s">
        <v>888</v>
      </c>
      <c r="D934" s="93" t="s">
        <v>124</v>
      </c>
      <c r="E934" s="93">
        <v>600</v>
      </c>
      <c r="F934" s="6" t="s">
        <v>288</v>
      </c>
    </row>
    <row r="935" spans="1:6">
      <c r="A935" s="22" t="s">
        <v>886</v>
      </c>
      <c r="B935" s="33" t="s">
        <v>927</v>
      </c>
      <c r="C935" s="33" t="s">
        <v>888</v>
      </c>
      <c r="D935" s="93" t="s">
        <v>124</v>
      </c>
      <c r="E935" s="93">
        <v>18</v>
      </c>
      <c r="F935" s="6" t="s">
        <v>288</v>
      </c>
    </row>
    <row r="936" spans="1:6">
      <c r="A936" s="22" t="s">
        <v>886</v>
      </c>
      <c r="B936" s="33" t="s">
        <v>928</v>
      </c>
      <c r="C936" s="33" t="s">
        <v>888</v>
      </c>
      <c r="D936" s="93" t="s">
        <v>124</v>
      </c>
      <c r="E936" s="93">
        <v>18</v>
      </c>
      <c r="F936" s="6" t="s">
        <v>288</v>
      </c>
    </row>
    <row r="937" spans="1:6">
      <c r="A937" s="22" t="s">
        <v>886</v>
      </c>
      <c r="B937" s="33" t="s">
        <v>929</v>
      </c>
      <c r="C937" s="33" t="s">
        <v>888</v>
      </c>
      <c r="D937" s="93" t="s">
        <v>124</v>
      </c>
      <c r="E937" s="93">
        <v>65</v>
      </c>
      <c r="F937" s="6" t="s">
        <v>288</v>
      </c>
    </row>
    <row r="938" spans="1:6">
      <c r="A938" s="22" t="s">
        <v>886</v>
      </c>
      <c r="B938" s="33" t="s">
        <v>930</v>
      </c>
      <c r="C938" s="33" t="s">
        <v>888</v>
      </c>
      <c r="D938" s="93" t="s">
        <v>124</v>
      </c>
      <c r="E938" s="93">
        <v>85</v>
      </c>
      <c r="F938" s="6" t="s">
        <v>288</v>
      </c>
    </row>
    <row r="939" spans="1:6">
      <c r="A939" s="22" t="s">
        <v>886</v>
      </c>
      <c r="B939" s="33" t="s">
        <v>931</v>
      </c>
      <c r="C939" s="33" t="s">
        <v>888</v>
      </c>
      <c r="D939" s="93" t="s">
        <v>124</v>
      </c>
      <c r="E939" s="93">
        <v>60</v>
      </c>
      <c r="F939" s="6" t="s">
        <v>288</v>
      </c>
    </row>
    <row r="940" spans="1:6">
      <c r="A940" s="22" t="s">
        <v>886</v>
      </c>
      <c r="B940" s="33" t="s">
        <v>932</v>
      </c>
      <c r="C940" s="33" t="s">
        <v>888</v>
      </c>
      <c r="D940" s="93" t="s">
        <v>124</v>
      </c>
      <c r="E940" s="93">
        <v>85</v>
      </c>
      <c r="F940" s="6" t="s">
        <v>288</v>
      </c>
    </row>
    <row r="941" spans="1:6">
      <c r="A941" s="22" t="s">
        <v>886</v>
      </c>
      <c r="B941" s="33" t="s">
        <v>933</v>
      </c>
      <c r="C941" s="33" t="s">
        <v>888</v>
      </c>
      <c r="D941" s="93" t="s">
        <v>124</v>
      </c>
      <c r="E941" s="93">
        <v>65</v>
      </c>
      <c r="F941" s="6" t="s">
        <v>288</v>
      </c>
    </row>
    <row r="942" spans="1:6">
      <c r="A942" s="22" t="s">
        <v>886</v>
      </c>
      <c r="B942" s="33" t="s">
        <v>929</v>
      </c>
      <c r="C942" s="33" t="s">
        <v>888</v>
      </c>
      <c r="D942" s="93" t="s">
        <v>124</v>
      </c>
      <c r="E942" s="93">
        <v>50</v>
      </c>
      <c r="F942" s="6" t="s">
        <v>288</v>
      </c>
    </row>
    <row r="943" spans="1:6">
      <c r="A943" s="22" t="s">
        <v>886</v>
      </c>
      <c r="B943" s="33" t="s">
        <v>934</v>
      </c>
      <c r="C943" s="33" t="s">
        <v>888</v>
      </c>
      <c r="D943" s="93" t="s">
        <v>124</v>
      </c>
      <c r="E943" s="93">
        <v>55</v>
      </c>
      <c r="F943" s="6" t="s">
        <v>288</v>
      </c>
    </row>
    <row r="944" spans="1:6">
      <c r="A944" s="22" t="s">
        <v>886</v>
      </c>
      <c r="B944" s="33" t="s">
        <v>935</v>
      </c>
      <c r="C944" s="33" t="s">
        <v>888</v>
      </c>
      <c r="D944" s="93" t="s">
        <v>124</v>
      </c>
      <c r="E944" s="93">
        <v>45</v>
      </c>
      <c r="F944" s="6" t="s">
        <v>288</v>
      </c>
    </row>
    <row r="945" spans="1:6">
      <c r="A945" s="22" t="s">
        <v>886</v>
      </c>
      <c r="B945" s="33" t="s">
        <v>936</v>
      </c>
      <c r="C945" s="33" t="s">
        <v>888</v>
      </c>
      <c r="D945" s="93" t="s">
        <v>124</v>
      </c>
      <c r="E945" s="93">
        <v>55</v>
      </c>
      <c r="F945" s="6" t="s">
        <v>288</v>
      </c>
    </row>
    <row r="946" spans="1:6">
      <c r="A946" s="22" t="s">
        <v>886</v>
      </c>
      <c r="B946" s="33" t="s">
        <v>937</v>
      </c>
      <c r="C946" s="33" t="s">
        <v>888</v>
      </c>
      <c r="D946" s="93" t="s">
        <v>124</v>
      </c>
      <c r="E946" s="93">
        <v>95</v>
      </c>
      <c r="F946" s="6" t="s">
        <v>288</v>
      </c>
    </row>
    <row r="947" spans="1:6">
      <c r="A947" s="22" t="s">
        <v>886</v>
      </c>
      <c r="B947" s="33" t="s">
        <v>938</v>
      </c>
      <c r="C947" s="33" t="s">
        <v>888</v>
      </c>
      <c r="D947" s="93" t="s">
        <v>124</v>
      </c>
      <c r="E947" s="93">
        <v>95</v>
      </c>
      <c r="F947" s="6" t="s">
        <v>288</v>
      </c>
    </row>
    <row r="948" spans="1:6">
      <c r="A948" s="22" t="s">
        <v>886</v>
      </c>
      <c r="B948" s="33" t="s">
        <v>939</v>
      </c>
      <c r="C948" s="33" t="s">
        <v>888</v>
      </c>
      <c r="D948" s="93" t="s">
        <v>124</v>
      </c>
      <c r="E948" s="93">
        <v>60</v>
      </c>
      <c r="F948" s="6" t="s">
        <v>288</v>
      </c>
    </row>
    <row r="949" spans="1:6">
      <c r="A949" s="22" t="s">
        <v>886</v>
      </c>
      <c r="B949" s="33" t="s">
        <v>940</v>
      </c>
      <c r="C949" s="33" t="s">
        <v>888</v>
      </c>
      <c r="D949" s="93" t="s">
        <v>124</v>
      </c>
      <c r="E949" s="93">
        <v>65</v>
      </c>
      <c r="F949" s="6" t="s">
        <v>288</v>
      </c>
    </row>
    <row r="950" spans="1:6">
      <c r="A950" s="22" t="s">
        <v>886</v>
      </c>
      <c r="B950" s="33" t="s">
        <v>941</v>
      </c>
      <c r="C950" s="33" t="s">
        <v>888</v>
      </c>
      <c r="D950" s="93" t="s">
        <v>124</v>
      </c>
      <c r="E950" s="93">
        <v>17</v>
      </c>
      <c r="F950" s="6" t="s">
        <v>288</v>
      </c>
    </row>
    <row r="951" spans="1:6">
      <c r="A951" s="22" t="s">
        <v>886</v>
      </c>
      <c r="B951" s="33" t="s">
        <v>942</v>
      </c>
      <c r="C951" s="33" t="s">
        <v>888</v>
      </c>
      <c r="D951" s="93" t="s">
        <v>124</v>
      </c>
      <c r="E951" s="93">
        <v>18</v>
      </c>
      <c r="F951" s="6" t="s">
        <v>288</v>
      </c>
    </row>
    <row r="952" spans="1:6">
      <c r="A952" s="22" t="s">
        <v>886</v>
      </c>
      <c r="B952" s="33" t="s">
        <v>943</v>
      </c>
      <c r="C952" s="33" t="s">
        <v>888</v>
      </c>
      <c r="D952" s="93" t="s">
        <v>124</v>
      </c>
      <c r="E952" s="93">
        <v>75</v>
      </c>
      <c r="F952" s="6" t="s">
        <v>288</v>
      </c>
    </row>
    <row r="953" spans="1:6">
      <c r="A953" s="22" t="s">
        <v>886</v>
      </c>
      <c r="B953" s="33" t="s">
        <v>944</v>
      </c>
      <c r="C953" s="33" t="s">
        <v>888</v>
      </c>
      <c r="D953" s="93" t="s">
        <v>124</v>
      </c>
      <c r="E953" s="93">
        <v>75</v>
      </c>
      <c r="F953" s="6" t="s">
        <v>288</v>
      </c>
    </row>
    <row r="954" spans="1:6">
      <c r="A954" s="22" t="s">
        <v>886</v>
      </c>
      <c r="B954" s="33" t="s">
        <v>945</v>
      </c>
      <c r="C954" s="33" t="s">
        <v>888</v>
      </c>
      <c r="D954" s="93" t="s">
        <v>124</v>
      </c>
      <c r="E954" s="93">
        <v>75</v>
      </c>
      <c r="F954" s="6" t="s">
        <v>288</v>
      </c>
    </row>
    <row r="955" spans="1:6">
      <c r="A955" s="22" t="s">
        <v>886</v>
      </c>
      <c r="B955" s="33" t="s">
        <v>946</v>
      </c>
      <c r="C955" s="33" t="s">
        <v>888</v>
      </c>
      <c r="D955" s="93" t="s">
        <v>124</v>
      </c>
      <c r="E955" s="93">
        <v>75</v>
      </c>
      <c r="F955" s="6" t="s">
        <v>288</v>
      </c>
    </row>
    <row r="956" spans="1:6">
      <c r="A956" s="22" t="s">
        <v>886</v>
      </c>
      <c r="B956" s="33" t="s">
        <v>947</v>
      </c>
      <c r="C956" s="33" t="s">
        <v>888</v>
      </c>
      <c r="D956" s="93" t="s">
        <v>124</v>
      </c>
      <c r="E956" s="93">
        <v>95</v>
      </c>
      <c r="F956" s="6" t="s">
        <v>288</v>
      </c>
    </row>
    <row r="957" spans="1:6">
      <c r="A957" s="22" t="s">
        <v>886</v>
      </c>
      <c r="B957" s="33" t="s">
        <v>948</v>
      </c>
      <c r="C957" s="33" t="s">
        <v>888</v>
      </c>
      <c r="D957" s="93" t="s">
        <v>124</v>
      </c>
      <c r="E957" s="93">
        <v>95</v>
      </c>
      <c r="F957" s="6" t="s">
        <v>288</v>
      </c>
    </row>
    <row r="958" spans="1:6">
      <c r="A958" s="22" t="s">
        <v>886</v>
      </c>
      <c r="B958" s="33" t="s">
        <v>949</v>
      </c>
      <c r="C958" s="33" t="s">
        <v>888</v>
      </c>
      <c r="D958" s="93" t="s">
        <v>124</v>
      </c>
      <c r="E958" s="93">
        <v>85</v>
      </c>
      <c r="F958" s="6" t="s">
        <v>288</v>
      </c>
    </row>
    <row r="959" spans="1:6">
      <c r="A959" s="22" t="s">
        <v>886</v>
      </c>
      <c r="B959" s="33" t="s">
        <v>950</v>
      </c>
      <c r="C959" s="33" t="s">
        <v>888</v>
      </c>
      <c r="D959" s="93" t="s">
        <v>124</v>
      </c>
      <c r="E959" s="93">
        <v>120</v>
      </c>
      <c r="F959" s="6" t="s">
        <v>288</v>
      </c>
    </row>
    <row r="960" spans="1:6">
      <c r="A960" s="22" t="s">
        <v>886</v>
      </c>
      <c r="B960" s="33" t="s">
        <v>951</v>
      </c>
      <c r="C960" s="33" t="s">
        <v>888</v>
      </c>
      <c r="D960" s="93" t="s">
        <v>124</v>
      </c>
      <c r="E960" s="93">
        <v>120</v>
      </c>
      <c r="F960" s="6" t="s">
        <v>288</v>
      </c>
    </row>
    <row r="961" spans="1:6">
      <c r="A961" s="22" t="s">
        <v>886</v>
      </c>
      <c r="B961" s="33" t="s">
        <v>952</v>
      </c>
      <c r="C961" s="33" t="s">
        <v>888</v>
      </c>
      <c r="D961" s="93" t="s">
        <v>124</v>
      </c>
      <c r="E961" s="93">
        <v>375</v>
      </c>
      <c r="F961" s="6" t="s">
        <v>288</v>
      </c>
    </row>
    <row r="962" spans="1:6">
      <c r="A962" s="22" t="s">
        <v>886</v>
      </c>
      <c r="B962" s="33" t="s">
        <v>953</v>
      </c>
      <c r="C962" s="33" t="s">
        <v>888</v>
      </c>
      <c r="D962" s="93" t="s">
        <v>124</v>
      </c>
      <c r="E962" s="93">
        <v>275</v>
      </c>
      <c r="F962" s="6" t="s">
        <v>288</v>
      </c>
    </row>
    <row r="963" spans="1:6">
      <c r="A963" s="22" t="s">
        <v>886</v>
      </c>
      <c r="B963" s="33" t="s">
        <v>954</v>
      </c>
      <c r="C963" s="33" t="s">
        <v>888</v>
      </c>
      <c r="D963" s="93" t="s">
        <v>124</v>
      </c>
      <c r="E963" s="93">
        <v>170</v>
      </c>
      <c r="F963" s="6" t="s">
        <v>288</v>
      </c>
    </row>
    <row r="964" spans="1:6">
      <c r="A964" s="22" t="s">
        <v>886</v>
      </c>
      <c r="B964" s="33" t="s">
        <v>955</v>
      </c>
      <c r="C964" s="33" t="s">
        <v>888</v>
      </c>
      <c r="D964" s="93" t="s">
        <v>124</v>
      </c>
      <c r="E964" s="93">
        <v>120</v>
      </c>
      <c r="F964" s="6" t="s">
        <v>288</v>
      </c>
    </row>
    <row r="965" spans="1:6">
      <c r="A965" s="22" t="s">
        <v>886</v>
      </c>
      <c r="B965" s="33" t="s">
        <v>956</v>
      </c>
      <c r="C965" s="33" t="s">
        <v>888</v>
      </c>
      <c r="D965" s="93" t="s">
        <v>124</v>
      </c>
      <c r="E965" s="93">
        <v>1400</v>
      </c>
      <c r="F965" s="6" t="s">
        <v>288</v>
      </c>
    </row>
    <row r="966" spans="1:6">
      <c r="A966" s="22" t="s">
        <v>886</v>
      </c>
      <c r="B966" s="33" t="s">
        <v>957</v>
      </c>
      <c r="C966" s="33" t="s">
        <v>888</v>
      </c>
      <c r="D966" s="93" t="s">
        <v>124</v>
      </c>
      <c r="E966" s="93">
        <v>1200</v>
      </c>
      <c r="F966" s="6" t="s">
        <v>288</v>
      </c>
    </row>
    <row r="967" spans="1:6">
      <c r="A967" s="22" t="s">
        <v>886</v>
      </c>
      <c r="B967" s="33" t="s">
        <v>958</v>
      </c>
      <c r="C967" s="33" t="s">
        <v>888</v>
      </c>
      <c r="D967" s="93" t="s">
        <v>124</v>
      </c>
      <c r="E967" s="93">
        <v>1000</v>
      </c>
      <c r="F967" s="6" t="s">
        <v>288</v>
      </c>
    </row>
    <row r="968" spans="1:6">
      <c r="A968" s="22" t="s">
        <v>886</v>
      </c>
      <c r="B968" s="33" t="s">
        <v>959</v>
      </c>
      <c r="C968" s="33" t="s">
        <v>888</v>
      </c>
      <c r="D968" s="93" t="s">
        <v>124</v>
      </c>
      <c r="E968" s="93">
        <v>85</v>
      </c>
      <c r="F968" s="6" t="s">
        <v>288</v>
      </c>
    </row>
    <row r="969" spans="1:6">
      <c r="A969" s="22" t="s">
        <v>886</v>
      </c>
      <c r="B969" s="33" t="s">
        <v>960</v>
      </c>
      <c r="C969" s="33" t="s">
        <v>888</v>
      </c>
      <c r="D969" s="93" t="s">
        <v>124</v>
      </c>
      <c r="E969" s="93">
        <v>85</v>
      </c>
      <c r="F969" s="6" t="s">
        <v>288</v>
      </c>
    </row>
    <row r="970" spans="1:6">
      <c r="A970" s="22" t="s">
        <v>886</v>
      </c>
      <c r="B970" s="33" t="s">
        <v>961</v>
      </c>
      <c r="C970" s="33" t="s">
        <v>888</v>
      </c>
      <c r="D970" s="93" t="s">
        <v>124</v>
      </c>
      <c r="E970" s="93">
        <v>85</v>
      </c>
      <c r="F970" s="6" t="s">
        <v>288</v>
      </c>
    </row>
    <row r="971" spans="1:6">
      <c r="A971" s="22" t="s">
        <v>886</v>
      </c>
      <c r="B971" s="33" t="s">
        <v>962</v>
      </c>
      <c r="C971" s="33" t="s">
        <v>888</v>
      </c>
      <c r="D971" s="93" t="s">
        <v>124</v>
      </c>
      <c r="E971" s="93">
        <v>85</v>
      </c>
      <c r="F971" s="6" t="s">
        <v>288</v>
      </c>
    </row>
    <row r="972" spans="1:6">
      <c r="A972" s="22" t="s">
        <v>886</v>
      </c>
      <c r="B972" s="33" t="s">
        <v>963</v>
      </c>
      <c r="C972" s="33" t="s">
        <v>888</v>
      </c>
      <c r="D972" s="93" t="s">
        <v>124</v>
      </c>
      <c r="E972" s="93">
        <v>85</v>
      </c>
      <c r="F972" s="6" t="s">
        <v>288</v>
      </c>
    </row>
    <row r="973" spans="1:6">
      <c r="A973" s="22" t="s">
        <v>886</v>
      </c>
      <c r="B973" s="33" t="s">
        <v>964</v>
      </c>
      <c r="C973" s="33" t="s">
        <v>888</v>
      </c>
      <c r="D973" s="93" t="s">
        <v>124</v>
      </c>
      <c r="E973" s="93">
        <v>50</v>
      </c>
      <c r="F973" s="6" t="s">
        <v>288</v>
      </c>
    </row>
    <row r="974" spans="1:6">
      <c r="A974" s="22" t="s">
        <v>886</v>
      </c>
      <c r="B974" s="33" t="s">
        <v>961</v>
      </c>
      <c r="C974" s="33" t="s">
        <v>888</v>
      </c>
      <c r="D974" s="93" t="s">
        <v>124</v>
      </c>
      <c r="E974" s="93">
        <v>80</v>
      </c>
      <c r="F974" s="6" t="s">
        <v>288</v>
      </c>
    </row>
    <row r="975" spans="1:6">
      <c r="A975" s="22" t="s">
        <v>886</v>
      </c>
      <c r="B975" s="33" t="s">
        <v>962</v>
      </c>
      <c r="C975" s="33" t="s">
        <v>888</v>
      </c>
      <c r="D975" s="93" t="s">
        <v>124</v>
      </c>
      <c r="E975" s="93">
        <v>65</v>
      </c>
      <c r="F975" s="6" t="s">
        <v>288</v>
      </c>
    </row>
    <row r="976" spans="1:6">
      <c r="A976" s="22" t="s">
        <v>886</v>
      </c>
      <c r="B976" s="33" t="s">
        <v>963</v>
      </c>
      <c r="C976" s="33" t="s">
        <v>888</v>
      </c>
      <c r="D976" s="93" t="s">
        <v>124</v>
      </c>
      <c r="E976" s="93">
        <v>65</v>
      </c>
      <c r="F976" s="6" t="s">
        <v>288</v>
      </c>
    </row>
    <row r="977" spans="1:6">
      <c r="A977" s="22" t="s">
        <v>886</v>
      </c>
      <c r="B977" s="33" t="s">
        <v>965</v>
      </c>
      <c r="C977" s="33" t="s">
        <v>888</v>
      </c>
      <c r="D977" s="93" t="s">
        <v>124</v>
      </c>
      <c r="E977" s="93">
        <v>400</v>
      </c>
      <c r="F977" s="6" t="s">
        <v>288</v>
      </c>
    </row>
    <row r="978" spans="1:6">
      <c r="A978" s="22" t="s">
        <v>886</v>
      </c>
      <c r="B978" s="33" t="s">
        <v>966</v>
      </c>
      <c r="C978" s="33" t="s">
        <v>888</v>
      </c>
      <c r="D978" s="93" t="s">
        <v>124</v>
      </c>
      <c r="E978" s="93">
        <v>100</v>
      </c>
      <c r="F978" s="6" t="s">
        <v>288</v>
      </c>
    </row>
    <row r="979" spans="1:6">
      <c r="A979" s="22" t="s">
        <v>886</v>
      </c>
      <c r="B979" s="33" t="s">
        <v>967</v>
      </c>
      <c r="C979" s="33" t="s">
        <v>968</v>
      </c>
      <c r="D979" s="93" t="s">
        <v>124</v>
      </c>
      <c r="E979" s="93">
        <v>150</v>
      </c>
      <c r="F979" s="6" t="s">
        <v>288</v>
      </c>
    </row>
    <row r="980" spans="1:6">
      <c r="A980" s="22" t="s">
        <v>886</v>
      </c>
      <c r="B980" s="33" t="s">
        <v>969</v>
      </c>
      <c r="C980" s="33" t="s">
        <v>968</v>
      </c>
      <c r="D980" s="93" t="s">
        <v>124</v>
      </c>
      <c r="E980" s="93">
        <v>150</v>
      </c>
      <c r="F980" s="6" t="s">
        <v>288</v>
      </c>
    </row>
    <row r="981" spans="1:6">
      <c r="A981" s="22" t="s">
        <v>886</v>
      </c>
      <c r="B981" s="33" t="s">
        <v>970</v>
      </c>
      <c r="C981" s="33" t="s">
        <v>968</v>
      </c>
      <c r="D981" s="93" t="s">
        <v>124</v>
      </c>
      <c r="E981" s="93">
        <v>150</v>
      </c>
      <c r="F981" s="6" t="s">
        <v>288</v>
      </c>
    </row>
    <row r="982" spans="1:6">
      <c r="A982" s="22" t="s">
        <v>886</v>
      </c>
      <c r="B982" s="33" t="s">
        <v>971</v>
      </c>
      <c r="C982" s="33" t="s">
        <v>968</v>
      </c>
      <c r="D982" s="93" t="s">
        <v>124</v>
      </c>
      <c r="E982" s="93">
        <v>150</v>
      </c>
      <c r="F982" s="6" t="s">
        <v>288</v>
      </c>
    </row>
    <row r="983" spans="1:6">
      <c r="A983" s="22" t="s">
        <v>886</v>
      </c>
      <c r="B983" s="33" t="s">
        <v>972</v>
      </c>
      <c r="C983" s="33" t="s">
        <v>968</v>
      </c>
      <c r="D983" s="93" t="s">
        <v>124</v>
      </c>
      <c r="E983" s="93">
        <v>150</v>
      </c>
      <c r="F983" s="6" t="s">
        <v>288</v>
      </c>
    </row>
    <row r="984" spans="1:6">
      <c r="A984" s="22" t="s">
        <v>886</v>
      </c>
      <c r="B984" s="33" t="s">
        <v>973</v>
      </c>
      <c r="C984" s="33" t="s">
        <v>968</v>
      </c>
      <c r="D984" s="93" t="s">
        <v>124</v>
      </c>
      <c r="E984" s="93">
        <v>150</v>
      </c>
      <c r="F984" s="6" t="s">
        <v>288</v>
      </c>
    </row>
    <row r="985" spans="1:6">
      <c r="A985" s="22" t="s">
        <v>886</v>
      </c>
      <c r="B985" s="33" t="s">
        <v>974</v>
      </c>
      <c r="C985" s="33" t="s">
        <v>968</v>
      </c>
      <c r="D985" s="93" t="s">
        <v>124</v>
      </c>
      <c r="E985" s="93">
        <v>150</v>
      </c>
      <c r="F985" s="6" t="s">
        <v>288</v>
      </c>
    </row>
    <row r="986" spans="1:6">
      <c r="A986" s="22" t="s">
        <v>886</v>
      </c>
      <c r="B986" s="33" t="s">
        <v>975</v>
      </c>
      <c r="C986" s="33" t="s">
        <v>968</v>
      </c>
      <c r="D986" s="93" t="s">
        <v>124</v>
      </c>
      <c r="E986" s="93">
        <v>500</v>
      </c>
      <c r="F986" s="6" t="s">
        <v>288</v>
      </c>
    </row>
    <row r="987" spans="1:6">
      <c r="A987" s="22" t="s">
        <v>886</v>
      </c>
      <c r="B987" s="6" t="s">
        <v>976</v>
      </c>
      <c r="C987" s="6" t="s">
        <v>977</v>
      </c>
      <c r="D987" s="93" t="s">
        <v>124</v>
      </c>
      <c r="E987" s="82">
        <v>200</v>
      </c>
      <c r="F987" s="6" t="s">
        <v>288</v>
      </c>
    </row>
    <row r="988" spans="1:6">
      <c r="A988" s="22" t="s">
        <v>886</v>
      </c>
      <c r="B988" s="6" t="s">
        <v>978</v>
      </c>
      <c r="C988" s="6" t="s">
        <v>977</v>
      </c>
      <c r="D988" s="93" t="s">
        <v>124</v>
      </c>
      <c r="E988" s="82">
        <v>150</v>
      </c>
      <c r="F988" s="6" t="s">
        <v>288</v>
      </c>
    </row>
    <row r="989" spans="1:6">
      <c r="A989" s="22" t="s">
        <v>886</v>
      </c>
      <c r="B989" s="6" t="s">
        <v>979</v>
      </c>
      <c r="C989" s="6" t="s">
        <v>977</v>
      </c>
      <c r="D989" s="93" t="s">
        <v>124</v>
      </c>
      <c r="E989" s="82">
        <v>150</v>
      </c>
      <c r="F989" s="6" t="s">
        <v>288</v>
      </c>
    </row>
    <row r="990" spans="1:6">
      <c r="A990" s="22" t="s">
        <v>886</v>
      </c>
      <c r="B990" s="6" t="s">
        <v>980</v>
      </c>
      <c r="C990" s="6" t="s">
        <v>981</v>
      </c>
      <c r="D990" s="93" t="s">
        <v>124</v>
      </c>
      <c r="E990" s="82">
        <v>50</v>
      </c>
      <c r="F990" s="6" t="s">
        <v>288</v>
      </c>
    </row>
    <row r="991" spans="1:6">
      <c r="A991" s="22" t="s">
        <v>886</v>
      </c>
      <c r="B991" s="6" t="s">
        <v>982</v>
      </c>
      <c r="C991" s="6" t="s">
        <v>981</v>
      </c>
      <c r="D991" s="93" t="s">
        <v>124</v>
      </c>
      <c r="E991" s="82">
        <v>80</v>
      </c>
      <c r="F991" s="6" t="s">
        <v>288</v>
      </c>
    </row>
    <row r="992" spans="1:6">
      <c r="A992" s="22" t="s">
        <v>886</v>
      </c>
      <c r="B992" s="6" t="s">
        <v>983</v>
      </c>
      <c r="C992" s="6" t="s">
        <v>981</v>
      </c>
      <c r="D992" s="93" t="s">
        <v>124</v>
      </c>
      <c r="E992" s="82">
        <v>80</v>
      </c>
      <c r="F992" s="6" t="s">
        <v>288</v>
      </c>
    </row>
    <row r="993" spans="1:6">
      <c r="A993" s="22" t="s">
        <v>886</v>
      </c>
      <c r="B993" s="6" t="s">
        <v>984</v>
      </c>
      <c r="C993" s="6" t="s">
        <v>981</v>
      </c>
      <c r="D993" s="93" t="s">
        <v>124</v>
      </c>
      <c r="E993" s="82">
        <v>80</v>
      </c>
      <c r="F993" s="6" t="s">
        <v>288</v>
      </c>
    </row>
    <row r="994" spans="1:6">
      <c r="A994" s="22" t="s">
        <v>886</v>
      </c>
      <c r="B994" s="6" t="s">
        <v>985</v>
      </c>
      <c r="C994" s="6" t="s">
        <v>981</v>
      </c>
      <c r="D994" s="93" t="s">
        <v>124</v>
      </c>
      <c r="E994" s="82">
        <v>80</v>
      </c>
      <c r="F994" s="6" t="s">
        <v>288</v>
      </c>
    </row>
    <row r="995" spans="1:6">
      <c r="A995" s="22" t="s">
        <v>886</v>
      </c>
      <c r="B995" s="6" t="s">
        <v>986</v>
      </c>
      <c r="C995" s="6" t="s">
        <v>981</v>
      </c>
      <c r="D995" s="93" t="s">
        <v>124</v>
      </c>
      <c r="E995" s="82">
        <v>80</v>
      </c>
      <c r="F995" s="6" t="s">
        <v>288</v>
      </c>
    </row>
    <row r="996" spans="1:6">
      <c r="A996" s="22" t="s">
        <v>886</v>
      </c>
      <c r="B996" s="6" t="s">
        <v>987</v>
      </c>
      <c r="C996" s="6" t="s">
        <v>981</v>
      </c>
      <c r="D996" s="93" t="s">
        <v>124</v>
      </c>
      <c r="E996" s="82">
        <v>80</v>
      </c>
      <c r="F996" s="6" t="s">
        <v>288</v>
      </c>
    </row>
    <row r="997" spans="1:6">
      <c r="A997" s="22" t="s">
        <v>886</v>
      </c>
      <c r="B997" s="6" t="s">
        <v>988</v>
      </c>
      <c r="C997" s="6" t="s">
        <v>981</v>
      </c>
      <c r="D997" s="93" t="s">
        <v>124</v>
      </c>
      <c r="E997" s="82">
        <v>80</v>
      </c>
      <c r="F997" s="6" t="s">
        <v>288</v>
      </c>
    </row>
    <row r="998" spans="1:6">
      <c r="A998" s="22" t="s">
        <v>886</v>
      </c>
      <c r="B998" s="6" t="s">
        <v>989</v>
      </c>
      <c r="C998" s="6" t="s">
        <v>981</v>
      </c>
      <c r="D998" s="93" t="s">
        <v>124</v>
      </c>
      <c r="E998" s="82">
        <v>80</v>
      </c>
      <c r="F998" s="6" t="s">
        <v>288</v>
      </c>
    </row>
    <row r="999" spans="1:6">
      <c r="A999" s="6"/>
      <c r="B999" s="20" t="s">
        <v>990</v>
      </c>
      <c r="C999" s="6"/>
      <c r="D999" s="87"/>
      <c r="E999" s="82"/>
      <c r="F999" s="6"/>
    </row>
    <row r="1000" spans="1:6">
      <c r="A1000" s="11" t="s">
        <v>1</v>
      </c>
      <c r="B1000" s="12" t="s">
        <v>2</v>
      </c>
      <c r="C1000" s="13" t="s">
        <v>3</v>
      </c>
      <c r="D1000" s="14" t="s">
        <v>4</v>
      </c>
      <c r="E1000" s="81" t="s">
        <v>5</v>
      </c>
      <c r="F1000" s="6"/>
    </row>
    <row r="1001" spans="1:6">
      <c r="A1001" s="22" t="s">
        <v>990</v>
      </c>
      <c r="B1001" s="33" t="s">
        <v>991</v>
      </c>
      <c r="C1001" s="33" t="s">
        <v>992</v>
      </c>
      <c r="D1001" s="33" t="s">
        <v>250</v>
      </c>
      <c r="E1001" s="93">
        <v>126</v>
      </c>
      <c r="F1001" s="6" t="s">
        <v>265</v>
      </c>
    </row>
    <row r="1002" spans="1:6">
      <c r="A1002" s="22" t="s">
        <v>990</v>
      </c>
      <c r="B1002" s="33" t="s">
        <v>993</v>
      </c>
      <c r="C1002" s="33" t="s">
        <v>992</v>
      </c>
      <c r="D1002" s="33" t="s">
        <v>124</v>
      </c>
      <c r="E1002" s="93">
        <v>170</v>
      </c>
      <c r="F1002" s="6" t="s">
        <v>259</v>
      </c>
    </row>
    <row r="1003" spans="1:6">
      <c r="A1003" s="22" t="s">
        <v>990</v>
      </c>
      <c r="B1003" s="33" t="s">
        <v>994</v>
      </c>
      <c r="C1003" s="33" t="s">
        <v>992</v>
      </c>
      <c r="D1003" s="33" t="s">
        <v>124</v>
      </c>
      <c r="E1003" s="93">
        <v>200</v>
      </c>
      <c r="F1003" s="6" t="s">
        <v>259</v>
      </c>
    </row>
    <row r="1004" spans="1:6">
      <c r="A1004" s="22" t="s">
        <v>990</v>
      </c>
      <c r="B1004" s="33" t="s">
        <v>995</v>
      </c>
      <c r="C1004" s="33" t="s">
        <v>992</v>
      </c>
      <c r="D1004" s="33" t="s">
        <v>124</v>
      </c>
      <c r="E1004" s="93">
        <v>40</v>
      </c>
      <c r="F1004" s="6" t="s">
        <v>265</v>
      </c>
    </row>
    <row r="1005" spans="1:6">
      <c r="A1005" s="22" t="s">
        <v>990</v>
      </c>
      <c r="B1005" s="33" t="s">
        <v>996</v>
      </c>
      <c r="C1005" s="33" t="s">
        <v>997</v>
      </c>
      <c r="D1005" s="33" t="s">
        <v>124</v>
      </c>
      <c r="E1005" s="93">
        <v>320</v>
      </c>
      <c r="F1005" s="6" t="s">
        <v>259</v>
      </c>
    </row>
    <row r="1006" spans="1:6">
      <c r="A1006" s="22" t="s">
        <v>990</v>
      </c>
      <c r="B1006" s="33" t="s">
        <v>998</v>
      </c>
      <c r="C1006" s="33" t="s">
        <v>997</v>
      </c>
      <c r="D1006" s="33" t="s">
        <v>124</v>
      </c>
      <c r="E1006" s="93">
        <v>123</v>
      </c>
      <c r="F1006" s="6" t="s">
        <v>265</v>
      </c>
    </row>
    <row r="1007" spans="1:6">
      <c r="A1007" s="22" t="s">
        <v>990</v>
      </c>
      <c r="B1007" s="6" t="s">
        <v>993</v>
      </c>
      <c r="C1007" s="33" t="s">
        <v>997</v>
      </c>
      <c r="D1007" s="33" t="s">
        <v>124</v>
      </c>
      <c r="E1007" s="82">
        <v>145</v>
      </c>
      <c r="F1007" s="6" t="s">
        <v>259</v>
      </c>
    </row>
  </sheetData>
  <autoFilter xmlns:etc="http://www.wps.cn/officeDocument/2017/etCustomData" ref="A2:E1007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23"/>
  <sheetViews>
    <sheetView topLeftCell="A1335" workbookViewId="0">
      <selection activeCell="A1372" sqref="A1372"/>
    </sheetView>
  </sheetViews>
  <sheetFormatPr defaultColWidth="9.14285714285714" defaultRowHeight="15" outlineLevelCol="7"/>
  <cols>
    <col min="1" max="1" width="57" customWidth="1"/>
    <col min="2" max="2" width="65.1428571428571" customWidth="1"/>
    <col min="3" max="3" width="33.7142857142857" customWidth="1"/>
  </cols>
  <sheetData>
    <row r="1" spans="1:5">
      <c r="A1" s="1" t="s">
        <v>999</v>
      </c>
      <c r="B1" s="1" t="s">
        <v>1000</v>
      </c>
      <c r="C1" s="1" t="s">
        <v>1</v>
      </c>
      <c r="D1" s="1" t="s">
        <v>1001</v>
      </c>
      <c r="E1" s="1" t="s">
        <v>1002</v>
      </c>
    </row>
    <row r="2" spans="1:5">
      <c r="A2" t="s">
        <v>241</v>
      </c>
      <c r="C2" t="s">
        <v>241</v>
      </c>
    </row>
    <row r="3" s="63" customFormat="1" spans="1:5">
      <c r="A3" s="63" t="s">
        <v>1003</v>
      </c>
      <c r="B3" s="63" t="s">
        <v>1004</v>
      </c>
      <c r="C3" s="63" t="s">
        <v>241</v>
      </c>
      <c r="E3" s="63" t="s">
        <v>124</v>
      </c>
    </row>
    <row r="4" spans="1:5">
      <c r="A4" t="s">
        <v>1005</v>
      </c>
      <c r="C4" t="s">
        <v>1005</v>
      </c>
    </row>
    <row r="5" spans="1:5">
      <c r="A5" t="s">
        <v>1006</v>
      </c>
      <c r="B5" t="s">
        <v>1006</v>
      </c>
      <c r="C5" t="s">
        <v>1005</v>
      </c>
      <c r="E5" t="s">
        <v>124</v>
      </c>
    </row>
    <row r="6" spans="1:5">
      <c r="A6" t="s">
        <v>458</v>
      </c>
      <c r="C6" t="s">
        <v>458</v>
      </c>
    </row>
    <row r="7" s="63" customFormat="1" spans="1:5">
      <c r="A7" s="63" t="s">
        <v>1007</v>
      </c>
      <c r="B7" s="63" t="s">
        <v>1007</v>
      </c>
      <c r="C7" s="63" t="s">
        <v>458</v>
      </c>
      <c r="E7" s="63" t="s">
        <v>124</v>
      </c>
    </row>
    <row r="8" s="63" customFormat="1" spans="1:5">
      <c r="A8" s="63" t="s">
        <v>1008</v>
      </c>
      <c r="B8" s="63" t="s">
        <v>1008</v>
      </c>
      <c r="C8" s="63" t="s">
        <v>458</v>
      </c>
      <c r="E8" s="63" t="s">
        <v>124</v>
      </c>
    </row>
    <row r="9" s="63" customFormat="1" spans="1:5">
      <c r="A9" s="63" t="s">
        <v>1009</v>
      </c>
      <c r="B9" s="63" t="s">
        <v>1009</v>
      </c>
      <c r="C9" s="63" t="s">
        <v>458</v>
      </c>
      <c r="E9" s="63" t="s">
        <v>124</v>
      </c>
    </row>
    <row r="10" s="63" customFormat="1" spans="1:5">
      <c r="A10" s="63" t="s">
        <v>1010</v>
      </c>
      <c r="B10" s="63" t="s">
        <v>1010</v>
      </c>
      <c r="C10" s="63" t="s">
        <v>458</v>
      </c>
      <c r="E10" s="63" t="s">
        <v>124</v>
      </c>
    </row>
    <row r="11" s="63" customFormat="1" spans="1:5">
      <c r="A11" s="63" t="s">
        <v>1011</v>
      </c>
      <c r="B11" s="63" t="s">
        <v>1012</v>
      </c>
      <c r="C11" s="63" t="s">
        <v>458</v>
      </c>
      <c r="E11" s="63" t="s">
        <v>124</v>
      </c>
    </row>
    <row r="12" s="63" customFormat="1" spans="1:5">
      <c r="A12" s="63" t="s">
        <v>1013</v>
      </c>
      <c r="B12" s="63" t="s">
        <v>1013</v>
      </c>
      <c r="C12" s="63" t="s">
        <v>458</v>
      </c>
      <c r="E12" s="63" t="s">
        <v>124</v>
      </c>
    </row>
    <row r="13" s="63" customFormat="1" spans="1:5">
      <c r="A13" s="63" t="s">
        <v>1014</v>
      </c>
      <c r="B13" s="63" t="s">
        <v>1015</v>
      </c>
      <c r="C13" s="63" t="s">
        <v>458</v>
      </c>
      <c r="E13" s="63" t="s">
        <v>124</v>
      </c>
    </row>
    <row r="14" s="63" customFormat="1" spans="1:5">
      <c r="A14" s="63" t="s">
        <v>1016</v>
      </c>
      <c r="B14" s="63" t="s">
        <v>1017</v>
      </c>
      <c r="C14" s="63" t="s">
        <v>458</v>
      </c>
      <c r="E14" s="63" t="s">
        <v>124</v>
      </c>
    </row>
    <row r="15" s="63" customFormat="1" spans="1:5">
      <c r="A15" s="63" t="s">
        <v>1018</v>
      </c>
      <c r="B15" s="63" t="s">
        <v>1018</v>
      </c>
      <c r="C15" s="63" t="s">
        <v>458</v>
      </c>
      <c r="E15" s="63" t="s">
        <v>124</v>
      </c>
    </row>
    <row r="16" s="63" customFormat="1" spans="1:5">
      <c r="A16" s="63" t="s">
        <v>1019</v>
      </c>
      <c r="B16" s="63" t="s">
        <v>1019</v>
      </c>
      <c r="C16" s="63" t="s">
        <v>458</v>
      </c>
      <c r="E16" s="63" t="s">
        <v>124</v>
      </c>
    </row>
    <row r="17" s="63" customFormat="1" spans="1:5">
      <c r="A17" s="63" t="s">
        <v>1020</v>
      </c>
      <c r="B17" s="63" t="s">
        <v>1020</v>
      </c>
      <c r="C17" s="63" t="s">
        <v>458</v>
      </c>
      <c r="E17" s="63" t="s">
        <v>124</v>
      </c>
    </row>
    <row r="18" s="63" customFormat="1" spans="1:5">
      <c r="A18" s="63" t="s">
        <v>1021</v>
      </c>
      <c r="B18" s="63" t="s">
        <v>1021</v>
      </c>
      <c r="C18" s="63" t="s">
        <v>458</v>
      </c>
      <c r="E18" s="63" t="s">
        <v>124</v>
      </c>
    </row>
    <row r="19" s="63" customFormat="1" spans="1:5">
      <c r="A19" s="63" t="s">
        <v>1022</v>
      </c>
      <c r="B19" s="63" t="s">
        <v>1022</v>
      </c>
      <c r="C19" s="63" t="s">
        <v>458</v>
      </c>
      <c r="E19" s="63" t="s">
        <v>124</v>
      </c>
    </row>
    <row r="20" s="63" customFormat="1" spans="1:5">
      <c r="A20" s="63" t="s">
        <v>1023</v>
      </c>
      <c r="B20" s="63" t="s">
        <v>1023</v>
      </c>
      <c r="C20" s="63" t="s">
        <v>458</v>
      </c>
      <c r="E20" s="63" t="s">
        <v>124</v>
      </c>
    </row>
    <row r="21" s="63" customFormat="1" spans="1:5">
      <c r="A21" s="63" t="s">
        <v>1024</v>
      </c>
      <c r="B21" s="63" t="s">
        <v>1024</v>
      </c>
      <c r="C21" s="63" t="s">
        <v>458</v>
      </c>
      <c r="E21" s="63" t="s">
        <v>124</v>
      </c>
    </row>
    <row r="22" s="63" customFormat="1" spans="1:5">
      <c r="A22" s="63" t="s">
        <v>1025</v>
      </c>
      <c r="B22" s="63" t="s">
        <v>1025</v>
      </c>
      <c r="C22" s="63" t="s">
        <v>458</v>
      </c>
      <c r="E22" s="63" t="s">
        <v>124</v>
      </c>
    </row>
    <row r="23" spans="1:5">
      <c r="A23" t="s">
        <v>263</v>
      </c>
      <c r="C23" t="s">
        <v>263</v>
      </c>
    </row>
    <row r="24" spans="1:5">
      <c r="A24" t="s">
        <v>263</v>
      </c>
      <c r="B24" t="s">
        <v>1026</v>
      </c>
      <c r="C24" t="s">
        <v>263</v>
      </c>
      <c r="E24" t="s">
        <v>622</v>
      </c>
    </row>
    <row r="25" s="63" customFormat="1" spans="1:5">
      <c r="A25" s="63" t="s">
        <v>1027</v>
      </c>
      <c r="B25" s="63" t="s">
        <v>1027</v>
      </c>
      <c r="C25" s="63" t="s">
        <v>263</v>
      </c>
      <c r="E25" s="63" t="s">
        <v>622</v>
      </c>
    </row>
    <row r="26" s="63" customFormat="1" spans="1:5">
      <c r="A26" s="63" t="s">
        <v>1028</v>
      </c>
      <c r="B26" s="63" t="s">
        <v>1028</v>
      </c>
      <c r="C26" s="63" t="s">
        <v>263</v>
      </c>
      <c r="E26" s="63" t="s">
        <v>622</v>
      </c>
    </row>
    <row r="27" s="63" customFormat="1" spans="1:5">
      <c r="A27" s="63" t="s">
        <v>1029</v>
      </c>
      <c r="B27" s="63" t="s">
        <v>1029</v>
      </c>
      <c r="C27" s="63" t="s">
        <v>263</v>
      </c>
      <c r="E27" s="63" t="s">
        <v>622</v>
      </c>
    </row>
    <row r="28" s="63" customFormat="1" spans="1:5">
      <c r="A28" s="63" t="s">
        <v>267</v>
      </c>
      <c r="B28" s="63" t="s">
        <v>267</v>
      </c>
      <c r="C28" s="63" t="s">
        <v>263</v>
      </c>
      <c r="E28" s="63" t="s">
        <v>622</v>
      </c>
    </row>
    <row r="29" s="63" customFormat="1" spans="1:5">
      <c r="A29" s="63" t="s">
        <v>268</v>
      </c>
      <c r="B29" s="63" t="s">
        <v>1030</v>
      </c>
      <c r="C29" s="63" t="s">
        <v>263</v>
      </c>
      <c r="E29" s="63" t="s">
        <v>622</v>
      </c>
    </row>
    <row r="30" spans="1:5">
      <c r="A30" t="s">
        <v>217</v>
      </c>
      <c r="C30" t="s">
        <v>217</v>
      </c>
    </row>
    <row r="31" s="63" customFormat="1" spans="1:5">
      <c r="A31" s="63" t="s">
        <v>1031</v>
      </c>
      <c r="B31" s="63" t="s">
        <v>1031</v>
      </c>
      <c r="C31" s="63" t="s">
        <v>217</v>
      </c>
      <c r="E31" s="63" t="s">
        <v>1032</v>
      </c>
    </row>
    <row r="32" s="63" customFormat="1" spans="1:5">
      <c r="A32" s="63" t="s">
        <v>1033</v>
      </c>
      <c r="B32" s="63" t="s">
        <v>1033</v>
      </c>
      <c r="C32" s="63" t="s">
        <v>217</v>
      </c>
      <c r="E32" s="63" t="s">
        <v>1032</v>
      </c>
    </row>
    <row r="33" spans="1:5">
      <c r="A33" t="s">
        <v>1034</v>
      </c>
      <c r="C33" t="s">
        <v>1034</v>
      </c>
    </row>
    <row r="34" s="63" customFormat="1" spans="1:5">
      <c r="A34" s="63" t="s">
        <v>1035</v>
      </c>
      <c r="B34" s="63" t="s">
        <v>1036</v>
      </c>
      <c r="C34" s="63" t="s">
        <v>1034</v>
      </c>
      <c r="E34" s="63" t="s">
        <v>124</v>
      </c>
    </row>
    <row r="35" s="63" customFormat="1" spans="1:5">
      <c r="A35" s="63" t="s">
        <v>1037</v>
      </c>
      <c r="B35" s="63" t="s">
        <v>1038</v>
      </c>
      <c r="C35" s="63" t="s">
        <v>1034</v>
      </c>
      <c r="E35" s="63" t="s">
        <v>124</v>
      </c>
    </row>
    <row r="36" s="63" customFormat="1" spans="1:5">
      <c r="A36" s="63" t="s">
        <v>1039</v>
      </c>
      <c r="B36" s="63" t="s">
        <v>1040</v>
      </c>
      <c r="C36" s="63" t="s">
        <v>1034</v>
      </c>
      <c r="E36" s="63" t="s">
        <v>329</v>
      </c>
    </row>
    <row r="37" spans="1:5">
      <c r="A37" t="s">
        <v>260</v>
      </c>
      <c r="C37" t="s">
        <v>260</v>
      </c>
    </row>
    <row r="38" s="63" customFormat="1" spans="1:5">
      <c r="A38" s="63" t="s">
        <v>1041</v>
      </c>
      <c r="B38" s="63" t="s">
        <v>1042</v>
      </c>
      <c r="C38" s="63" t="s">
        <v>260</v>
      </c>
      <c r="E38" s="63" t="s">
        <v>1043</v>
      </c>
    </row>
    <row r="39" s="63" customFormat="1" spans="1:5">
      <c r="A39" s="63" t="s">
        <v>1044</v>
      </c>
      <c r="B39" s="63" t="s">
        <v>1045</v>
      </c>
      <c r="C39" s="63" t="s">
        <v>260</v>
      </c>
      <c r="E39" s="63" t="s">
        <v>124</v>
      </c>
    </row>
    <row r="40" s="83" customFormat="1" spans="1:5">
      <c r="A40" s="83" t="s">
        <v>164</v>
      </c>
      <c r="C40" s="83" t="s">
        <v>164</v>
      </c>
    </row>
    <row r="41" s="63" customFormat="1" spans="1:5">
      <c r="A41" s="63" t="s">
        <v>1046</v>
      </c>
      <c r="B41" s="63" t="s">
        <v>1046</v>
      </c>
      <c r="C41" s="63" t="s">
        <v>164</v>
      </c>
      <c r="E41" s="63" t="s">
        <v>475</v>
      </c>
    </row>
    <row r="42" s="63" customFormat="1" spans="1:5">
      <c r="A42" s="63" t="s">
        <v>1047</v>
      </c>
      <c r="B42" s="63" t="s">
        <v>1047</v>
      </c>
      <c r="C42" s="63" t="s">
        <v>164</v>
      </c>
      <c r="E42" s="63" t="s">
        <v>1048</v>
      </c>
    </row>
    <row r="43" s="63" customFormat="1" spans="1:5">
      <c r="A43" s="63" t="s">
        <v>1049</v>
      </c>
      <c r="B43" s="63" t="s">
        <v>1050</v>
      </c>
      <c r="C43" s="63" t="s">
        <v>164</v>
      </c>
      <c r="E43" s="63" t="s">
        <v>475</v>
      </c>
    </row>
    <row r="44" s="63" customFormat="1" spans="1:5">
      <c r="A44" s="63" t="s">
        <v>1051</v>
      </c>
      <c r="B44" s="63" t="s">
        <v>1051</v>
      </c>
      <c r="C44" s="63" t="s">
        <v>164</v>
      </c>
      <c r="E44" s="63" t="s">
        <v>1052</v>
      </c>
    </row>
    <row r="45" s="63" customFormat="1" spans="1:5">
      <c r="A45" s="63" t="s">
        <v>1053</v>
      </c>
      <c r="B45" s="63" t="s">
        <v>1053</v>
      </c>
      <c r="C45" s="63" t="s">
        <v>164</v>
      </c>
      <c r="E45" s="63" t="s">
        <v>1048</v>
      </c>
    </row>
    <row r="46" s="63" customFormat="1" spans="1:5">
      <c r="A46" s="63" t="s">
        <v>1054</v>
      </c>
      <c r="B46" s="63" t="s">
        <v>1054</v>
      </c>
      <c r="C46" s="63" t="s">
        <v>164</v>
      </c>
      <c r="E46" s="63" t="s">
        <v>1048</v>
      </c>
    </row>
    <row r="47" s="63" customFormat="1" spans="1:5">
      <c r="A47" s="63" t="s">
        <v>1055</v>
      </c>
      <c r="B47" s="63" t="s">
        <v>1055</v>
      </c>
      <c r="C47" s="63" t="s">
        <v>164</v>
      </c>
      <c r="E47" s="63" t="s">
        <v>1048</v>
      </c>
    </row>
    <row r="48" s="63" customFormat="1" spans="1:5">
      <c r="A48" s="63" t="s">
        <v>1056</v>
      </c>
      <c r="B48" s="63" t="s">
        <v>1056</v>
      </c>
      <c r="C48" s="63" t="s">
        <v>164</v>
      </c>
      <c r="E48" s="63" t="s">
        <v>1048</v>
      </c>
    </row>
    <row r="49" s="63" customFormat="1" spans="1:5">
      <c r="A49" s="63" t="s">
        <v>1057</v>
      </c>
      <c r="B49" s="63" t="s">
        <v>1057</v>
      </c>
      <c r="C49" s="63" t="s">
        <v>164</v>
      </c>
      <c r="E49" s="63" t="s">
        <v>1048</v>
      </c>
    </row>
    <row r="50" s="63" customFormat="1" spans="1:5">
      <c r="A50" s="63" t="s">
        <v>1058</v>
      </c>
      <c r="B50" s="63" t="s">
        <v>1058</v>
      </c>
      <c r="C50" s="63" t="s">
        <v>164</v>
      </c>
      <c r="E50" s="63" t="s">
        <v>1048</v>
      </c>
    </row>
    <row r="51" s="63" customFormat="1" spans="1:5">
      <c r="A51" s="63" t="s">
        <v>1059</v>
      </c>
      <c r="B51" s="63" t="s">
        <v>1059</v>
      </c>
      <c r="C51" s="63" t="s">
        <v>164</v>
      </c>
      <c r="E51" s="63" t="s">
        <v>1048</v>
      </c>
    </row>
    <row r="52" s="63" customFormat="1" spans="1:5">
      <c r="A52" s="63" t="s">
        <v>1060</v>
      </c>
      <c r="B52" s="63" t="s">
        <v>1061</v>
      </c>
      <c r="C52" s="63" t="s">
        <v>164</v>
      </c>
      <c r="E52" s="63" t="s">
        <v>1048</v>
      </c>
    </row>
    <row r="53" s="63" customFormat="1" spans="1:5">
      <c r="A53" s="63" t="s">
        <v>1062</v>
      </c>
      <c r="B53" s="63" t="s">
        <v>1062</v>
      </c>
      <c r="C53" s="63" t="s">
        <v>164</v>
      </c>
      <c r="E53" s="63" t="s">
        <v>1048</v>
      </c>
    </row>
    <row r="54" s="63" customFormat="1" spans="1:5">
      <c r="A54" s="63" t="s">
        <v>175</v>
      </c>
      <c r="B54" s="63" t="s">
        <v>175</v>
      </c>
      <c r="C54" s="63" t="s">
        <v>164</v>
      </c>
      <c r="E54" s="63" t="s">
        <v>1048</v>
      </c>
    </row>
    <row r="55" s="63" customFormat="1" spans="1:5">
      <c r="A55" s="63" t="s">
        <v>1063</v>
      </c>
      <c r="B55" s="63" t="s">
        <v>1063</v>
      </c>
      <c r="C55" s="63" t="s">
        <v>164</v>
      </c>
      <c r="E55" s="63" t="s">
        <v>1048</v>
      </c>
    </row>
    <row r="56" s="63" customFormat="1" spans="1:5">
      <c r="A56" s="63" t="s">
        <v>177</v>
      </c>
      <c r="B56" s="63" t="s">
        <v>177</v>
      </c>
      <c r="C56" s="63" t="s">
        <v>164</v>
      </c>
      <c r="E56" s="63" t="s">
        <v>124</v>
      </c>
    </row>
    <row r="57" s="63" customFormat="1" spans="1:5">
      <c r="A57" s="63" t="s">
        <v>178</v>
      </c>
      <c r="B57" s="63" t="s">
        <v>178</v>
      </c>
      <c r="C57" s="63" t="s">
        <v>164</v>
      </c>
      <c r="E57" s="63" t="s">
        <v>1048</v>
      </c>
    </row>
    <row r="58" s="63" customFormat="1" spans="1:5">
      <c r="A58" s="63" t="s">
        <v>179</v>
      </c>
      <c r="B58" s="63" t="s">
        <v>179</v>
      </c>
      <c r="C58" s="63" t="s">
        <v>164</v>
      </c>
      <c r="E58" s="63" t="s">
        <v>1048</v>
      </c>
    </row>
    <row r="59" s="63" customFormat="1" spans="1:5">
      <c r="A59" s="63" t="s">
        <v>1064</v>
      </c>
      <c r="B59" s="63" t="s">
        <v>1065</v>
      </c>
      <c r="C59" s="63" t="s">
        <v>164</v>
      </c>
      <c r="E59" s="63" t="s">
        <v>1048</v>
      </c>
    </row>
    <row r="60" s="63" customFormat="1" spans="1:5">
      <c r="A60" s="63" t="s">
        <v>1066</v>
      </c>
      <c r="B60" s="63" t="s">
        <v>1067</v>
      </c>
      <c r="C60" s="63" t="s">
        <v>164</v>
      </c>
      <c r="E60" s="63" t="s">
        <v>1048</v>
      </c>
    </row>
    <row r="61" s="63" customFormat="1" spans="1:5">
      <c r="A61" s="63" t="s">
        <v>1068</v>
      </c>
      <c r="B61" s="63" t="s">
        <v>1068</v>
      </c>
      <c r="C61" s="63" t="s">
        <v>164</v>
      </c>
      <c r="E61" s="63" t="s">
        <v>124</v>
      </c>
    </row>
    <row r="62" s="63" customFormat="1" spans="1:5">
      <c r="A62" s="63" t="s">
        <v>1069</v>
      </c>
      <c r="B62" s="63" t="s">
        <v>1069</v>
      </c>
      <c r="C62" s="63" t="s">
        <v>164</v>
      </c>
      <c r="E62" s="63" t="s">
        <v>1048</v>
      </c>
    </row>
    <row r="63" s="63" customFormat="1" spans="1:5">
      <c r="A63" s="63" t="s">
        <v>1070</v>
      </c>
      <c r="B63" s="63" t="s">
        <v>1070</v>
      </c>
      <c r="C63" s="63" t="s">
        <v>164</v>
      </c>
      <c r="E63" s="63" t="s">
        <v>1048</v>
      </c>
    </row>
    <row r="64" s="63" customFormat="1" spans="1:5">
      <c r="A64" s="63" t="s">
        <v>1071</v>
      </c>
      <c r="B64" s="63" t="s">
        <v>1071</v>
      </c>
      <c r="C64" s="63" t="s">
        <v>164</v>
      </c>
      <c r="E64" s="63" t="s">
        <v>1048</v>
      </c>
    </row>
    <row r="65" s="63" customFormat="1" spans="1:5">
      <c r="A65" s="63" t="s">
        <v>1072</v>
      </c>
      <c r="B65" s="63" t="s">
        <v>1072</v>
      </c>
      <c r="C65" s="63" t="s">
        <v>164</v>
      </c>
      <c r="E65" s="63" t="s">
        <v>1048</v>
      </c>
    </row>
    <row r="66" s="63" customFormat="1" spans="1:5">
      <c r="A66" s="63" t="s">
        <v>1073</v>
      </c>
      <c r="B66" s="63" t="s">
        <v>1074</v>
      </c>
      <c r="C66" s="63" t="s">
        <v>164</v>
      </c>
      <c r="E66" s="63" t="s">
        <v>1048</v>
      </c>
    </row>
    <row r="67" s="63" customFormat="1" spans="1:5">
      <c r="A67" s="63" t="s">
        <v>1075</v>
      </c>
      <c r="B67" s="63" t="s">
        <v>1076</v>
      </c>
      <c r="C67" s="63" t="s">
        <v>164</v>
      </c>
      <c r="E67" s="63" t="s">
        <v>1048</v>
      </c>
    </row>
    <row r="68" s="63" customFormat="1" spans="1:5">
      <c r="A68" s="63" t="s">
        <v>1077</v>
      </c>
      <c r="B68" s="63" t="s">
        <v>1077</v>
      </c>
      <c r="C68" s="63" t="s">
        <v>164</v>
      </c>
      <c r="E68" s="63" t="s">
        <v>1048</v>
      </c>
    </row>
    <row r="69" s="63" customFormat="1" spans="1:5">
      <c r="A69" s="63" t="s">
        <v>1078</v>
      </c>
      <c r="B69" s="63" t="s">
        <v>1078</v>
      </c>
      <c r="C69" s="63" t="s">
        <v>164</v>
      </c>
      <c r="E69" s="63" t="s">
        <v>475</v>
      </c>
    </row>
    <row r="70" spans="1:5">
      <c r="A70" t="s">
        <v>1079</v>
      </c>
      <c r="C70" t="s">
        <v>1079</v>
      </c>
    </row>
    <row r="71" s="63" customFormat="1" spans="1:5">
      <c r="A71" s="63" t="s">
        <v>1080</v>
      </c>
      <c r="B71" s="63" t="s">
        <v>1081</v>
      </c>
      <c r="C71" s="63" t="s">
        <v>1079</v>
      </c>
      <c r="E71" s="63" t="s">
        <v>1052</v>
      </c>
    </row>
    <row r="72" spans="1:5">
      <c r="A72" t="s">
        <v>1082</v>
      </c>
      <c r="B72" t="s">
        <v>1082</v>
      </c>
      <c r="C72" t="s">
        <v>1079</v>
      </c>
      <c r="E72" t="s">
        <v>124</v>
      </c>
    </row>
    <row r="73" spans="1:5">
      <c r="A73" t="s">
        <v>348</v>
      </c>
      <c r="C73" t="s">
        <v>348</v>
      </c>
    </row>
    <row r="74" s="63" customFormat="1" spans="1:5">
      <c r="A74" s="63" t="s">
        <v>1083</v>
      </c>
      <c r="B74" s="63" t="s">
        <v>1083</v>
      </c>
      <c r="C74" s="63" t="s">
        <v>348</v>
      </c>
      <c r="E74" s="63" t="s">
        <v>124</v>
      </c>
    </row>
    <row r="75" s="63" customFormat="1" spans="1:5">
      <c r="A75" s="63" t="s">
        <v>1084</v>
      </c>
      <c r="B75" s="63" t="s">
        <v>1084</v>
      </c>
      <c r="C75" s="63" t="s">
        <v>348</v>
      </c>
      <c r="E75" s="63" t="s">
        <v>316</v>
      </c>
    </row>
    <row r="76" s="63" customFormat="1" spans="1:5">
      <c r="A76" s="63" t="s">
        <v>1085</v>
      </c>
      <c r="B76" s="63" t="s">
        <v>365</v>
      </c>
      <c r="C76" s="63" t="s">
        <v>348</v>
      </c>
      <c r="E76" s="63" t="s">
        <v>124</v>
      </c>
    </row>
    <row r="77" s="63" customFormat="1" spans="1:5">
      <c r="A77" s="63" t="s">
        <v>369</v>
      </c>
      <c r="B77" s="63" t="s">
        <v>369</v>
      </c>
      <c r="C77" s="63" t="s">
        <v>348</v>
      </c>
      <c r="E77" s="63" t="s">
        <v>316</v>
      </c>
    </row>
    <row r="78" s="63" customFormat="1" spans="1:5">
      <c r="A78" s="63" t="s">
        <v>1086</v>
      </c>
      <c r="B78" s="63" t="s">
        <v>370</v>
      </c>
      <c r="C78" s="63" t="s">
        <v>348</v>
      </c>
      <c r="E78" s="63" t="s">
        <v>316</v>
      </c>
    </row>
    <row r="79" s="63" customFormat="1" spans="1:5">
      <c r="A79" s="63" t="s">
        <v>1087</v>
      </c>
      <c r="B79" s="63" t="s">
        <v>364</v>
      </c>
      <c r="C79" s="63" t="s">
        <v>348</v>
      </c>
      <c r="E79" s="63" t="s">
        <v>124</v>
      </c>
    </row>
    <row r="80" s="63" customFormat="1" spans="1:5">
      <c r="A80" s="63" t="s">
        <v>362</v>
      </c>
      <c r="B80" s="63" t="s">
        <v>362</v>
      </c>
      <c r="C80" s="63" t="s">
        <v>348</v>
      </c>
      <c r="E80" s="63" t="s">
        <v>124</v>
      </c>
    </row>
    <row r="81" s="63" customFormat="1" spans="1:5">
      <c r="A81" s="63" t="s">
        <v>1088</v>
      </c>
      <c r="B81" s="63" t="s">
        <v>371</v>
      </c>
      <c r="C81" s="63" t="s">
        <v>348</v>
      </c>
      <c r="E81" s="63" t="s">
        <v>316</v>
      </c>
    </row>
    <row r="82" s="63" customFormat="1" spans="1:5">
      <c r="A82" s="63" t="s">
        <v>1089</v>
      </c>
      <c r="B82" s="63" t="s">
        <v>359</v>
      </c>
      <c r="C82" s="63" t="s">
        <v>348</v>
      </c>
      <c r="E82" s="63" t="s">
        <v>287</v>
      </c>
    </row>
    <row r="83" s="63" customFormat="1" spans="1:5">
      <c r="A83" s="63" t="s">
        <v>1090</v>
      </c>
      <c r="B83" s="63" t="s">
        <v>352</v>
      </c>
      <c r="C83" s="63" t="s">
        <v>348</v>
      </c>
      <c r="E83" s="63" t="s">
        <v>124</v>
      </c>
    </row>
    <row r="84" s="63" customFormat="1" spans="1:5">
      <c r="A84" s="63" t="s">
        <v>1091</v>
      </c>
      <c r="B84" s="63" t="s">
        <v>1091</v>
      </c>
      <c r="C84" s="63" t="s">
        <v>348</v>
      </c>
      <c r="E84" s="63" t="s">
        <v>124</v>
      </c>
    </row>
    <row r="85" s="63" customFormat="1" spans="1:5">
      <c r="A85" s="63" t="s">
        <v>1092</v>
      </c>
      <c r="B85" s="63" t="s">
        <v>1093</v>
      </c>
      <c r="C85" s="63" t="s">
        <v>348</v>
      </c>
      <c r="E85" s="63" t="s">
        <v>316</v>
      </c>
    </row>
    <row r="86" s="63" customFormat="1" spans="1:5">
      <c r="A86" s="63" t="s">
        <v>1094</v>
      </c>
      <c r="B86" s="63" t="s">
        <v>1094</v>
      </c>
      <c r="C86" s="63" t="s">
        <v>348</v>
      </c>
      <c r="E86" s="63" t="s">
        <v>316</v>
      </c>
    </row>
    <row r="87" s="63" customFormat="1" spans="1:5">
      <c r="A87" s="63" t="s">
        <v>351</v>
      </c>
      <c r="B87" s="63" t="s">
        <v>351</v>
      </c>
      <c r="C87" s="63" t="s">
        <v>348</v>
      </c>
      <c r="E87" s="63" t="s">
        <v>316</v>
      </c>
    </row>
    <row r="88" s="63" customFormat="1" spans="1:5">
      <c r="A88" s="63" t="s">
        <v>685</v>
      </c>
      <c r="B88" s="63" t="s">
        <v>685</v>
      </c>
      <c r="C88" s="63" t="s">
        <v>348</v>
      </c>
      <c r="E88" s="63" t="s">
        <v>124</v>
      </c>
    </row>
    <row r="89" s="63" customFormat="1" spans="1:5">
      <c r="A89" s="63" t="s">
        <v>1095</v>
      </c>
      <c r="B89" s="63" t="s">
        <v>654</v>
      </c>
      <c r="C89" s="63" t="s">
        <v>348</v>
      </c>
      <c r="E89" s="63" t="s">
        <v>124</v>
      </c>
    </row>
    <row r="90" s="63" customFormat="1" spans="1:5">
      <c r="A90" s="63" t="s">
        <v>349</v>
      </c>
      <c r="B90" s="63" t="s">
        <v>349</v>
      </c>
      <c r="C90" s="63" t="s">
        <v>348</v>
      </c>
      <c r="E90" s="63" t="s">
        <v>124</v>
      </c>
    </row>
    <row r="91" s="63" customFormat="1" spans="1:5">
      <c r="A91" s="63" t="s">
        <v>1096</v>
      </c>
      <c r="B91" s="63" t="s">
        <v>1096</v>
      </c>
      <c r="C91" s="63" t="s">
        <v>348</v>
      </c>
      <c r="E91" s="63" t="s">
        <v>316</v>
      </c>
    </row>
    <row r="92" s="63" customFormat="1" spans="1:5">
      <c r="A92" s="63" t="s">
        <v>353</v>
      </c>
      <c r="B92" s="63" t="s">
        <v>353</v>
      </c>
      <c r="C92" s="63" t="s">
        <v>348</v>
      </c>
      <c r="E92" s="63" t="s">
        <v>316</v>
      </c>
    </row>
    <row r="93" s="63" customFormat="1" spans="1:5">
      <c r="A93" s="63" t="s">
        <v>354</v>
      </c>
      <c r="B93" s="63" t="s">
        <v>354</v>
      </c>
      <c r="C93" s="63" t="s">
        <v>348</v>
      </c>
      <c r="E93" s="63" t="s">
        <v>316</v>
      </c>
    </row>
    <row r="94" s="63" customFormat="1" spans="1:5">
      <c r="A94" s="63" t="s">
        <v>1097</v>
      </c>
      <c r="B94" s="63" t="s">
        <v>1098</v>
      </c>
      <c r="C94" s="63" t="s">
        <v>348</v>
      </c>
      <c r="E94" s="63" t="s">
        <v>316</v>
      </c>
    </row>
    <row r="95" s="63" customFormat="1" spans="1:5">
      <c r="A95" s="63" t="s">
        <v>1099</v>
      </c>
      <c r="B95" s="63" t="s">
        <v>1099</v>
      </c>
      <c r="C95" s="63" t="s">
        <v>348</v>
      </c>
      <c r="E95" s="63" t="s">
        <v>316</v>
      </c>
    </row>
    <row r="96" s="63" customFormat="1" spans="1:5">
      <c r="A96" s="63" t="s">
        <v>639</v>
      </c>
      <c r="B96" s="63" t="s">
        <v>639</v>
      </c>
      <c r="C96" s="63" t="s">
        <v>348</v>
      </c>
      <c r="E96" s="63" t="s">
        <v>124</v>
      </c>
    </row>
    <row r="97" s="63" customFormat="1" spans="1:5">
      <c r="A97" s="63" t="s">
        <v>618</v>
      </c>
      <c r="B97" s="63" t="s">
        <v>618</v>
      </c>
      <c r="C97" s="63" t="s">
        <v>348</v>
      </c>
      <c r="E97" s="63" t="s">
        <v>124</v>
      </c>
    </row>
    <row r="98" s="63" customFormat="1" spans="1:5">
      <c r="A98" s="63" t="s">
        <v>1100</v>
      </c>
      <c r="B98" s="63" t="s">
        <v>360</v>
      </c>
      <c r="C98" s="63" t="s">
        <v>348</v>
      </c>
      <c r="E98" s="63" t="s">
        <v>124</v>
      </c>
    </row>
    <row r="99" s="63" customFormat="1" spans="1:5">
      <c r="A99" s="63" t="s">
        <v>1101</v>
      </c>
      <c r="B99" s="63" t="s">
        <v>1102</v>
      </c>
      <c r="C99" s="63" t="s">
        <v>348</v>
      </c>
      <c r="E99" s="63" t="s">
        <v>316</v>
      </c>
    </row>
    <row r="100" s="63" customFormat="1" spans="1:5">
      <c r="A100" s="63" t="s">
        <v>1103</v>
      </c>
      <c r="B100" s="63" t="s">
        <v>1104</v>
      </c>
      <c r="C100" s="63" t="s">
        <v>348</v>
      </c>
      <c r="E100" s="63" t="s">
        <v>287</v>
      </c>
    </row>
    <row r="101" s="63" customFormat="1" spans="1:5">
      <c r="A101" s="63" t="s">
        <v>1105</v>
      </c>
      <c r="B101" s="63" t="s">
        <v>355</v>
      </c>
      <c r="C101" s="63" t="s">
        <v>348</v>
      </c>
      <c r="E101" s="63" t="s">
        <v>316</v>
      </c>
    </row>
    <row r="102" s="63" customFormat="1" spans="1:5">
      <c r="A102" s="63" t="s">
        <v>1106</v>
      </c>
      <c r="B102" s="63" t="s">
        <v>356</v>
      </c>
      <c r="C102" s="63" t="s">
        <v>348</v>
      </c>
      <c r="E102" s="63" t="s">
        <v>124</v>
      </c>
    </row>
    <row r="103" s="63" customFormat="1" spans="1:5">
      <c r="A103" s="63" t="s">
        <v>1107</v>
      </c>
      <c r="B103" s="63" t="s">
        <v>366</v>
      </c>
      <c r="C103" s="63" t="s">
        <v>348</v>
      </c>
      <c r="E103" s="63" t="s">
        <v>124</v>
      </c>
    </row>
    <row r="104" s="63" customFormat="1" spans="1:5">
      <c r="A104" s="63" t="s">
        <v>1108</v>
      </c>
      <c r="B104" s="63" t="s">
        <v>1109</v>
      </c>
      <c r="C104" s="63" t="s">
        <v>348</v>
      </c>
      <c r="E104" s="63" t="s">
        <v>124</v>
      </c>
    </row>
    <row r="105" s="63" customFormat="1" spans="1:5">
      <c r="A105" s="63" t="s">
        <v>1110</v>
      </c>
      <c r="B105" s="63" t="s">
        <v>361</v>
      </c>
      <c r="C105" s="63" t="s">
        <v>348</v>
      </c>
      <c r="E105" s="63" t="s">
        <v>124</v>
      </c>
    </row>
    <row r="106" s="63" customFormat="1" spans="1:5">
      <c r="A106" s="63" t="s">
        <v>1111</v>
      </c>
      <c r="B106" s="63" t="s">
        <v>1111</v>
      </c>
      <c r="C106" s="63" t="s">
        <v>348</v>
      </c>
      <c r="E106" s="63" t="s">
        <v>363</v>
      </c>
    </row>
    <row r="107" s="63" customFormat="1" spans="1:5">
      <c r="A107" s="63" t="s">
        <v>379</v>
      </c>
      <c r="B107" s="63" t="s">
        <v>379</v>
      </c>
      <c r="C107" s="63" t="s">
        <v>348</v>
      </c>
      <c r="E107" s="63" t="s">
        <v>287</v>
      </c>
    </row>
    <row r="108" s="63" customFormat="1" spans="1:5">
      <c r="A108" s="63" t="s">
        <v>378</v>
      </c>
      <c r="B108" s="63" t="s">
        <v>378</v>
      </c>
      <c r="C108" s="63" t="s">
        <v>348</v>
      </c>
      <c r="E108" s="63" t="s">
        <v>287</v>
      </c>
    </row>
    <row r="109" s="63" customFormat="1" spans="1:5">
      <c r="A109" s="63" t="s">
        <v>1112</v>
      </c>
      <c r="B109" s="63" t="s">
        <v>1113</v>
      </c>
      <c r="C109" s="63" t="s">
        <v>348</v>
      </c>
      <c r="E109" s="63" t="s">
        <v>316</v>
      </c>
    </row>
    <row r="110" s="63" customFormat="1" spans="1:5">
      <c r="A110" s="63" t="s">
        <v>1114</v>
      </c>
      <c r="B110" s="63" t="s">
        <v>367</v>
      </c>
      <c r="C110" s="63" t="s">
        <v>348</v>
      </c>
      <c r="E110" s="63" t="s">
        <v>316</v>
      </c>
    </row>
    <row r="111" s="63" customFormat="1" spans="1:5">
      <c r="A111" s="63" t="s">
        <v>1115</v>
      </c>
      <c r="B111" s="63" t="s">
        <v>1116</v>
      </c>
      <c r="C111" s="63" t="s">
        <v>348</v>
      </c>
      <c r="E111" s="63" t="s">
        <v>363</v>
      </c>
    </row>
    <row r="112" s="63" customFormat="1" spans="1:5">
      <c r="A112" s="63" t="s">
        <v>381</v>
      </c>
      <c r="B112" s="63" t="s">
        <v>381</v>
      </c>
      <c r="C112" s="63" t="s">
        <v>348</v>
      </c>
      <c r="E112" s="63" t="s">
        <v>124</v>
      </c>
    </row>
    <row r="113" s="63" customFormat="1" spans="1:5">
      <c r="A113" s="63" t="s">
        <v>374</v>
      </c>
      <c r="B113" s="63" t="s">
        <v>374</v>
      </c>
      <c r="C113" s="63" t="s">
        <v>348</v>
      </c>
      <c r="E113" s="63" t="s">
        <v>316</v>
      </c>
    </row>
    <row r="114" s="63" customFormat="1" spans="1:5">
      <c r="A114" s="63" t="s">
        <v>375</v>
      </c>
      <c r="B114" s="63" t="s">
        <v>375</v>
      </c>
      <c r="C114" s="63" t="s">
        <v>348</v>
      </c>
      <c r="E114" s="63" t="s">
        <v>316</v>
      </c>
    </row>
    <row r="115" s="63" customFormat="1" spans="1:5">
      <c r="A115" s="63" t="s">
        <v>368</v>
      </c>
      <c r="B115" s="63" t="s">
        <v>368</v>
      </c>
      <c r="C115" s="63" t="s">
        <v>348</v>
      </c>
      <c r="E115" s="63" t="s">
        <v>124</v>
      </c>
    </row>
    <row r="116" s="63" customFormat="1" spans="1:5">
      <c r="A116" s="63" t="s">
        <v>1117</v>
      </c>
      <c r="B116" s="63" t="s">
        <v>1117</v>
      </c>
      <c r="C116" s="63" t="s">
        <v>348</v>
      </c>
      <c r="E116" s="63" t="s">
        <v>1118</v>
      </c>
    </row>
    <row r="117" s="3" customFormat="1" spans="1:5">
      <c r="A117" s="3" t="s">
        <v>1119</v>
      </c>
      <c r="B117" s="3" t="s">
        <v>1120</v>
      </c>
      <c r="C117" s="3" t="s">
        <v>348</v>
      </c>
      <c r="E117" s="3" t="s">
        <v>124</v>
      </c>
    </row>
    <row r="118" s="63" customFormat="1" spans="1:5">
      <c r="A118" s="63" t="s">
        <v>1121</v>
      </c>
      <c r="B118" s="63" t="s">
        <v>1121</v>
      </c>
      <c r="C118" s="63" t="s">
        <v>348</v>
      </c>
      <c r="E118" s="63" t="s">
        <v>1122</v>
      </c>
    </row>
    <row r="119" s="63" customFormat="1" spans="1:5">
      <c r="A119" s="63" t="s">
        <v>1123</v>
      </c>
      <c r="B119" s="63" t="s">
        <v>1123</v>
      </c>
      <c r="C119" s="63" t="s">
        <v>348</v>
      </c>
      <c r="E119" s="63" t="s">
        <v>1124</v>
      </c>
    </row>
    <row r="120" s="85" customFormat="1" spans="1:5">
      <c r="A120" s="85" t="s">
        <v>1125</v>
      </c>
      <c r="B120" s="85" t="s">
        <v>1126</v>
      </c>
      <c r="C120" s="85" t="s">
        <v>348</v>
      </c>
      <c r="E120" s="85" t="s">
        <v>310</v>
      </c>
    </row>
    <row r="121" s="63" customFormat="1" spans="1:5">
      <c r="A121" s="63" t="s">
        <v>1127</v>
      </c>
      <c r="B121" s="63" t="s">
        <v>1128</v>
      </c>
      <c r="C121" s="63" t="s">
        <v>348</v>
      </c>
      <c r="E121" s="63" t="s">
        <v>124</v>
      </c>
    </row>
    <row r="122" s="63" customFormat="1" spans="1:5">
      <c r="A122" s="63" t="s">
        <v>1129</v>
      </c>
      <c r="B122" s="63" t="s">
        <v>1130</v>
      </c>
      <c r="C122" s="63" t="s">
        <v>348</v>
      </c>
      <c r="E122" s="63" t="s">
        <v>316</v>
      </c>
    </row>
    <row r="123" s="63" customFormat="1" spans="1:5">
      <c r="A123" s="63" t="s">
        <v>1131</v>
      </c>
      <c r="B123" s="63" t="s">
        <v>1132</v>
      </c>
      <c r="C123" s="63" t="s">
        <v>348</v>
      </c>
      <c r="E123" s="63" t="s">
        <v>377</v>
      </c>
    </row>
    <row r="124" s="63" customFormat="1" spans="1:5">
      <c r="A124" s="63" t="s">
        <v>1133</v>
      </c>
      <c r="B124" s="63" t="s">
        <v>1134</v>
      </c>
      <c r="C124" s="63" t="s">
        <v>348</v>
      </c>
      <c r="E124" s="63" t="s">
        <v>377</v>
      </c>
    </row>
    <row r="125" s="63" customFormat="1" spans="1:5">
      <c r="A125" s="63" t="s">
        <v>1135</v>
      </c>
      <c r="B125" s="63" t="s">
        <v>376</v>
      </c>
      <c r="C125" s="63" t="s">
        <v>348</v>
      </c>
      <c r="E125" s="63" t="s">
        <v>377</v>
      </c>
    </row>
    <row r="126" s="63" customFormat="1" spans="1:5">
      <c r="A126" s="63" t="s">
        <v>1136</v>
      </c>
      <c r="B126" s="63" t="s">
        <v>1136</v>
      </c>
      <c r="C126" s="63" t="s">
        <v>348</v>
      </c>
      <c r="E126" s="63" t="s">
        <v>363</v>
      </c>
    </row>
    <row r="127" s="63" customFormat="1" spans="1:5">
      <c r="A127" s="63" t="s">
        <v>358</v>
      </c>
      <c r="B127" s="63" t="s">
        <v>358</v>
      </c>
      <c r="C127" s="63" t="s">
        <v>348</v>
      </c>
      <c r="E127" s="63" t="s">
        <v>316</v>
      </c>
    </row>
    <row r="128" s="63" customFormat="1" spans="1:5">
      <c r="A128" s="63" t="s">
        <v>1137</v>
      </c>
      <c r="B128" s="63" t="s">
        <v>1137</v>
      </c>
      <c r="C128" s="63" t="s">
        <v>348</v>
      </c>
      <c r="E128" s="63" t="s">
        <v>124</v>
      </c>
    </row>
    <row r="129" s="63" customFormat="1" spans="1:5">
      <c r="A129" s="63" t="s">
        <v>357</v>
      </c>
      <c r="B129" s="63" t="s">
        <v>357</v>
      </c>
      <c r="C129" s="63" t="s">
        <v>348</v>
      </c>
      <c r="E129" s="63" t="s">
        <v>316</v>
      </c>
    </row>
    <row r="130" s="63" customFormat="1" spans="1:5">
      <c r="A130" s="63" t="s">
        <v>1138</v>
      </c>
      <c r="B130" s="63" t="s">
        <v>373</v>
      </c>
      <c r="C130" s="63" t="s">
        <v>348</v>
      </c>
      <c r="E130" s="63" t="s">
        <v>124</v>
      </c>
    </row>
    <row r="131" s="63" customFormat="1" spans="1:5">
      <c r="A131" s="63" t="s">
        <v>1139</v>
      </c>
      <c r="B131" s="63" t="s">
        <v>372</v>
      </c>
      <c r="C131" s="63" t="s">
        <v>348</v>
      </c>
      <c r="E131" s="63" t="s">
        <v>316</v>
      </c>
    </row>
    <row r="132" s="63" customFormat="1" spans="1:5">
      <c r="A132" s="63" t="s">
        <v>1140</v>
      </c>
      <c r="B132" s="63" t="s">
        <v>1141</v>
      </c>
      <c r="C132" s="63" t="s">
        <v>348</v>
      </c>
      <c r="E132" s="63" t="s">
        <v>316</v>
      </c>
    </row>
    <row r="133" spans="1:5">
      <c r="A133" t="s">
        <v>1142</v>
      </c>
      <c r="C133" t="s">
        <v>1142</v>
      </c>
    </row>
    <row r="134" spans="1:5">
      <c r="A134" t="s">
        <v>1143</v>
      </c>
      <c r="B134" t="s">
        <v>1144</v>
      </c>
      <c r="C134" t="s">
        <v>1142</v>
      </c>
      <c r="E134" t="s">
        <v>124</v>
      </c>
    </row>
    <row r="135" spans="1:5">
      <c r="A135" t="s">
        <v>1145</v>
      </c>
      <c r="C135" t="s">
        <v>1145</v>
      </c>
    </row>
    <row r="136" spans="1:5">
      <c r="A136" t="s">
        <v>1146</v>
      </c>
      <c r="B136" t="s">
        <v>1146</v>
      </c>
      <c r="C136" t="s">
        <v>1145</v>
      </c>
      <c r="E136" t="s">
        <v>124</v>
      </c>
    </row>
    <row r="137" spans="1:5">
      <c r="A137" t="s">
        <v>1147</v>
      </c>
      <c r="B137" t="s">
        <v>1147</v>
      </c>
      <c r="C137" t="s">
        <v>1145</v>
      </c>
      <c r="E137" t="s">
        <v>124</v>
      </c>
    </row>
    <row r="138" spans="1:5">
      <c r="A138" t="s">
        <v>265</v>
      </c>
      <c r="C138" t="s">
        <v>265</v>
      </c>
    </row>
    <row r="139" s="63" customFormat="1" spans="1:5">
      <c r="A139" s="63" t="s">
        <v>437</v>
      </c>
      <c r="B139" s="63" t="s">
        <v>437</v>
      </c>
      <c r="C139" s="63" t="s">
        <v>265</v>
      </c>
      <c r="E139" s="63" t="s">
        <v>124</v>
      </c>
    </row>
    <row r="140" s="63" customFormat="1" spans="1:5">
      <c r="A140" s="63" t="s">
        <v>1148</v>
      </c>
      <c r="B140" s="63" t="s">
        <v>430</v>
      </c>
      <c r="C140" s="63" t="s">
        <v>265</v>
      </c>
      <c r="E140" s="63" t="s">
        <v>124</v>
      </c>
    </row>
    <row r="141" s="63" customFormat="1" spans="1:5">
      <c r="A141" s="63" t="s">
        <v>1149</v>
      </c>
      <c r="B141" s="63" t="s">
        <v>1149</v>
      </c>
      <c r="C141" s="63" t="s">
        <v>265</v>
      </c>
      <c r="E141" s="63" t="s">
        <v>124</v>
      </c>
    </row>
    <row r="142" s="63" customFormat="1" spans="1:5">
      <c r="A142" s="63" t="s">
        <v>1150</v>
      </c>
      <c r="B142" s="63" t="s">
        <v>436</v>
      </c>
      <c r="C142" s="63" t="s">
        <v>265</v>
      </c>
      <c r="E142" s="63" t="s">
        <v>124</v>
      </c>
    </row>
    <row r="143" s="63" customFormat="1" spans="1:5">
      <c r="A143" s="63" t="s">
        <v>1151</v>
      </c>
      <c r="B143" s="63" t="s">
        <v>1151</v>
      </c>
      <c r="C143" s="63" t="s">
        <v>265</v>
      </c>
      <c r="E143" s="63" t="s">
        <v>124</v>
      </c>
    </row>
    <row r="144" s="63" customFormat="1" spans="1:5">
      <c r="A144" s="63" t="s">
        <v>439</v>
      </c>
      <c r="B144" s="63" t="s">
        <v>439</v>
      </c>
      <c r="C144" s="63" t="s">
        <v>265</v>
      </c>
      <c r="E144" s="63" t="s">
        <v>124</v>
      </c>
    </row>
    <row r="145" s="63" customFormat="1" spans="1:5">
      <c r="A145" s="63" t="s">
        <v>387</v>
      </c>
      <c r="B145" s="63" t="s">
        <v>387</v>
      </c>
      <c r="C145" s="63" t="s">
        <v>265</v>
      </c>
      <c r="E145" s="63" t="s">
        <v>329</v>
      </c>
    </row>
    <row r="146" s="63" customFormat="1" spans="1:5">
      <c r="A146" s="63" t="s">
        <v>1152</v>
      </c>
      <c r="B146" s="63" t="s">
        <v>1153</v>
      </c>
      <c r="C146" s="63" t="s">
        <v>265</v>
      </c>
      <c r="E146" s="63" t="s">
        <v>522</v>
      </c>
    </row>
    <row r="147" s="63" customFormat="1" spans="1:5">
      <c r="A147" s="63" t="s">
        <v>447</v>
      </c>
      <c r="B147" s="63" t="s">
        <v>447</v>
      </c>
      <c r="C147" s="63" t="s">
        <v>265</v>
      </c>
      <c r="E147" s="63" t="s">
        <v>124</v>
      </c>
    </row>
    <row r="148" s="63" customFormat="1" spans="1:5">
      <c r="A148" s="63" t="s">
        <v>446</v>
      </c>
      <c r="B148" s="63" t="s">
        <v>446</v>
      </c>
      <c r="C148" s="63" t="s">
        <v>265</v>
      </c>
      <c r="E148" s="63" t="s">
        <v>124</v>
      </c>
    </row>
    <row r="149" s="63" customFormat="1" spans="1:5">
      <c r="A149" s="63" t="s">
        <v>1154</v>
      </c>
      <c r="B149" s="63" t="s">
        <v>433</v>
      </c>
      <c r="C149" s="63" t="s">
        <v>265</v>
      </c>
      <c r="E149" s="63" t="s">
        <v>124</v>
      </c>
    </row>
    <row r="150" s="63" customFormat="1" spans="1:5">
      <c r="A150" s="63" t="s">
        <v>438</v>
      </c>
      <c r="B150" s="63" t="s">
        <v>438</v>
      </c>
      <c r="C150" s="63" t="s">
        <v>265</v>
      </c>
      <c r="E150" s="63" t="s">
        <v>124</v>
      </c>
    </row>
    <row r="151" s="63" customFormat="1" spans="1:5">
      <c r="A151" s="63" t="s">
        <v>1155</v>
      </c>
      <c r="B151" s="63" t="s">
        <v>1156</v>
      </c>
      <c r="C151" s="63" t="s">
        <v>265</v>
      </c>
      <c r="E151" s="63" t="s">
        <v>124</v>
      </c>
    </row>
    <row r="152" s="63" customFormat="1" spans="1:5">
      <c r="A152" s="63" t="s">
        <v>534</v>
      </c>
      <c r="B152" s="63" t="s">
        <v>534</v>
      </c>
      <c r="C152" s="63" t="s">
        <v>265</v>
      </c>
      <c r="E152" s="63" t="s">
        <v>524</v>
      </c>
    </row>
    <row r="153" s="63" customFormat="1" spans="1:5">
      <c r="A153" s="63" t="s">
        <v>1157</v>
      </c>
      <c r="B153" s="63" t="s">
        <v>1157</v>
      </c>
      <c r="C153" s="63" t="s">
        <v>265</v>
      </c>
      <c r="E153" s="63" t="s">
        <v>524</v>
      </c>
    </row>
    <row r="154" s="63" customFormat="1" spans="1:5">
      <c r="A154" s="63" t="s">
        <v>1158</v>
      </c>
      <c r="B154" s="63" t="s">
        <v>1159</v>
      </c>
      <c r="C154" s="63" t="s">
        <v>265</v>
      </c>
      <c r="E154" s="63" t="s">
        <v>124</v>
      </c>
    </row>
    <row r="155" s="63" customFormat="1" spans="1:5">
      <c r="A155" s="63" t="s">
        <v>1160</v>
      </c>
      <c r="B155" s="63" t="s">
        <v>1161</v>
      </c>
      <c r="C155" s="63" t="s">
        <v>265</v>
      </c>
      <c r="E155" s="63" t="s">
        <v>124</v>
      </c>
    </row>
    <row r="156" s="63" customFormat="1" spans="1:5">
      <c r="A156" s="63" t="s">
        <v>1162</v>
      </c>
      <c r="B156" s="63" t="s">
        <v>1162</v>
      </c>
      <c r="C156" s="63" t="s">
        <v>265</v>
      </c>
      <c r="E156" s="63" t="s">
        <v>124</v>
      </c>
    </row>
    <row r="157" s="63" customFormat="1" spans="1:5">
      <c r="A157" s="63" t="s">
        <v>1163</v>
      </c>
      <c r="B157" s="63" t="s">
        <v>1163</v>
      </c>
      <c r="C157" s="63" t="s">
        <v>265</v>
      </c>
      <c r="E157" s="63" t="s">
        <v>124</v>
      </c>
    </row>
    <row r="158" s="63" customFormat="1" spans="1:5">
      <c r="A158" s="63" t="s">
        <v>1164</v>
      </c>
      <c r="B158" s="63" t="s">
        <v>1164</v>
      </c>
      <c r="C158" s="63" t="s">
        <v>265</v>
      </c>
      <c r="E158" s="63" t="s">
        <v>124</v>
      </c>
    </row>
    <row r="159" s="63" customFormat="1" spans="1:5">
      <c r="A159" s="63" t="s">
        <v>1165</v>
      </c>
      <c r="B159" s="63" t="s">
        <v>1165</v>
      </c>
      <c r="C159" s="63" t="s">
        <v>265</v>
      </c>
      <c r="E159" s="63" t="s">
        <v>124</v>
      </c>
    </row>
    <row r="160" s="63" customFormat="1" spans="1:5">
      <c r="A160" s="63" t="s">
        <v>1166</v>
      </c>
      <c r="B160" s="63" t="s">
        <v>1166</v>
      </c>
      <c r="C160" s="63" t="s">
        <v>265</v>
      </c>
      <c r="E160" s="63" t="s">
        <v>124</v>
      </c>
    </row>
    <row r="161" spans="1:5">
      <c r="A161" t="s">
        <v>1167</v>
      </c>
      <c r="B161" t="s">
        <v>1168</v>
      </c>
      <c r="C161" t="s">
        <v>265</v>
      </c>
      <c r="E161" t="s">
        <v>124</v>
      </c>
    </row>
    <row r="162" spans="1:5">
      <c r="A162" t="s">
        <v>1169</v>
      </c>
      <c r="B162" t="s">
        <v>1169</v>
      </c>
      <c r="C162" t="s">
        <v>265</v>
      </c>
      <c r="E162" t="s">
        <v>547</v>
      </c>
    </row>
    <row r="163" spans="1:5">
      <c r="A163" t="s">
        <v>1170</v>
      </c>
      <c r="B163" t="s">
        <v>1170</v>
      </c>
      <c r="C163" t="s">
        <v>265</v>
      </c>
      <c r="E163" t="s">
        <v>124</v>
      </c>
    </row>
    <row r="164" s="63" customFormat="1" spans="1:5">
      <c r="A164" s="63" t="s">
        <v>1171</v>
      </c>
      <c r="B164" s="63" t="s">
        <v>1172</v>
      </c>
      <c r="C164" s="63" t="s">
        <v>265</v>
      </c>
      <c r="E164" s="63" t="s">
        <v>598</v>
      </c>
    </row>
    <row r="165" s="63" customFormat="1" spans="1:5">
      <c r="A165" s="63" t="s">
        <v>1173</v>
      </c>
      <c r="B165" s="63" t="s">
        <v>1174</v>
      </c>
      <c r="C165" s="63" t="s">
        <v>265</v>
      </c>
      <c r="E165" s="63" t="s">
        <v>399</v>
      </c>
    </row>
    <row r="166" s="63" customFormat="1" spans="1:5">
      <c r="A166" s="63" t="s">
        <v>521</v>
      </c>
      <c r="B166" s="63" t="s">
        <v>521</v>
      </c>
      <c r="C166" s="63" t="s">
        <v>265</v>
      </c>
      <c r="E166" s="63" t="s">
        <v>522</v>
      </c>
    </row>
    <row r="167" s="63" customFormat="1" spans="1:5">
      <c r="A167" s="63" t="s">
        <v>1175</v>
      </c>
      <c r="B167" s="63" t="s">
        <v>1176</v>
      </c>
      <c r="C167" s="63" t="s">
        <v>265</v>
      </c>
      <c r="E167" s="63" t="s">
        <v>124</v>
      </c>
    </row>
    <row r="168" s="63" customFormat="1" spans="1:5">
      <c r="A168" s="63" t="s">
        <v>1177</v>
      </c>
      <c r="B168" s="63" t="s">
        <v>1178</v>
      </c>
      <c r="C168" s="63" t="s">
        <v>265</v>
      </c>
      <c r="E168" s="63" t="s">
        <v>124</v>
      </c>
    </row>
    <row r="169" spans="1:5">
      <c r="A169" t="s">
        <v>1179</v>
      </c>
      <c r="B169" t="s">
        <v>1180</v>
      </c>
      <c r="C169" t="s">
        <v>265</v>
      </c>
      <c r="E169" t="s">
        <v>124</v>
      </c>
    </row>
    <row r="170" s="63" customFormat="1" spans="1:5">
      <c r="A170" s="63" t="s">
        <v>434</v>
      </c>
      <c r="B170" s="63" t="s">
        <v>434</v>
      </c>
      <c r="C170" s="63" t="s">
        <v>265</v>
      </c>
      <c r="E170" s="63" t="s">
        <v>124</v>
      </c>
    </row>
    <row r="171" s="63" customFormat="1" spans="1:5">
      <c r="A171" s="63" t="s">
        <v>1181</v>
      </c>
      <c r="B171" s="63" t="s">
        <v>1181</v>
      </c>
      <c r="C171" s="63" t="s">
        <v>265</v>
      </c>
      <c r="E171" s="63" t="s">
        <v>124</v>
      </c>
    </row>
    <row r="172" s="63" customFormat="1" spans="1:5">
      <c r="A172" s="63" t="s">
        <v>1182</v>
      </c>
      <c r="B172" s="63" t="s">
        <v>1182</v>
      </c>
      <c r="C172" s="63" t="s">
        <v>265</v>
      </c>
      <c r="E172" s="63" t="s">
        <v>124</v>
      </c>
    </row>
    <row r="173" s="63" customFormat="1" spans="1:5">
      <c r="A173" s="63" t="s">
        <v>1183</v>
      </c>
      <c r="B173" s="63" t="s">
        <v>1183</v>
      </c>
      <c r="C173" s="63" t="s">
        <v>265</v>
      </c>
      <c r="E173" s="63" t="s">
        <v>124</v>
      </c>
    </row>
    <row r="174" spans="1:5">
      <c r="A174" t="s">
        <v>537</v>
      </c>
      <c r="B174" t="s">
        <v>1184</v>
      </c>
      <c r="C174" t="s">
        <v>265</v>
      </c>
      <c r="E174" t="s">
        <v>124</v>
      </c>
    </row>
    <row r="175" spans="1:5">
      <c r="A175" t="s">
        <v>1185</v>
      </c>
      <c r="B175" t="s">
        <v>1185</v>
      </c>
      <c r="C175" t="s">
        <v>265</v>
      </c>
      <c r="E175" t="s">
        <v>124</v>
      </c>
    </row>
    <row r="176" spans="1:5">
      <c r="A176" t="s">
        <v>707</v>
      </c>
      <c r="B176" t="s">
        <v>707</v>
      </c>
      <c r="C176" t="s">
        <v>265</v>
      </c>
      <c r="E176" t="s">
        <v>124</v>
      </c>
    </row>
    <row r="177" spans="1:5">
      <c r="A177" t="s">
        <v>1186</v>
      </c>
      <c r="B177" t="s">
        <v>1186</v>
      </c>
      <c r="C177" t="s">
        <v>265</v>
      </c>
      <c r="E177" t="s">
        <v>124</v>
      </c>
    </row>
    <row r="178" spans="1:5">
      <c r="A178" t="s">
        <v>1187</v>
      </c>
      <c r="B178" t="s">
        <v>1187</v>
      </c>
      <c r="C178" t="s">
        <v>265</v>
      </c>
      <c r="E178" t="s">
        <v>124</v>
      </c>
    </row>
    <row r="179" spans="1:5">
      <c r="A179" t="s">
        <v>1188</v>
      </c>
      <c r="B179" t="s">
        <v>648</v>
      </c>
      <c r="C179" t="s">
        <v>265</v>
      </c>
      <c r="E179" t="s">
        <v>124</v>
      </c>
    </row>
    <row r="180" spans="1:5">
      <c r="A180" t="s">
        <v>1189</v>
      </c>
      <c r="B180" t="s">
        <v>1189</v>
      </c>
      <c r="C180" t="s">
        <v>265</v>
      </c>
      <c r="E180" t="s">
        <v>124</v>
      </c>
    </row>
    <row r="181" spans="1:5">
      <c r="A181" t="s">
        <v>1190</v>
      </c>
      <c r="B181" t="s">
        <v>380</v>
      </c>
      <c r="C181" t="s">
        <v>265</v>
      </c>
      <c r="E181" t="s">
        <v>124</v>
      </c>
    </row>
    <row r="182" spans="1:5">
      <c r="A182" t="s">
        <v>1191</v>
      </c>
      <c r="B182" t="s">
        <v>1191</v>
      </c>
      <c r="C182" t="s">
        <v>265</v>
      </c>
      <c r="E182" t="s">
        <v>292</v>
      </c>
    </row>
    <row r="183" s="63" customFormat="1" spans="1:5">
      <c r="A183" s="63" t="s">
        <v>519</v>
      </c>
      <c r="B183" s="63" t="s">
        <v>519</v>
      </c>
      <c r="C183" s="63" t="s">
        <v>265</v>
      </c>
      <c r="E183" s="63" t="s">
        <v>399</v>
      </c>
    </row>
    <row r="184" s="63" customFormat="1" spans="1:5">
      <c r="A184" s="63" t="s">
        <v>701</v>
      </c>
      <c r="B184" s="63" t="s">
        <v>701</v>
      </c>
      <c r="C184" s="63" t="s">
        <v>265</v>
      </c>
      <c r="E184" s="63" t="s">
        <v>702</v>
      </c>
    </row>
    <row r="185" spans="1:5">
      <c r="A185" t="s">
        <v>1192</v>
      </c>
      <c r="B185" t="s">
        <v>1193</v>
      </c>
      <c r="C185" t="s">
        <v>265</v>
      </c>
      <c r="E185" t="s">
        <v>124</v>
      </c>
    </row>
    <row r="186" spans="1:5">
      <c r="A186" t="s">
        <v>1194</v>
      </c>
      <c r="B186" t="s">
        <v>1194</v>
      </c>
      <c r="C186" t="s">
        <v>265</v>
      </c>
      <c r="E186" t="s">
        <v>124</v>
      </c>
    </row>
    <row r="187" spans="1:5">
      <c r="A187" t="s">
        <v>1195</v>
      </c>
      <c r="B187" t="s">
        <v>1195</v>
      </c>
      <c r="C187" t="s">
        <v>265</v>
      </c>
      <c r="E187" t="s">
        <v>363</v>
      </c>
    </row>
    <row r="188" s="63" customFormat="1" spans="1:5">
      <c r="A188" s="63" t="s">
        <v>634</v>
      </c>
      <c r="B188" s="63" t="s">
        <v>634</v>
      </c>
      <c r="C188" s="63" t="s">
        <v>265</v>
      </c>
      <c r="E188" s="63" t="s">
        <v>124</v>
      </c>
    </row>
    <row r="189" s="63" customFormat="1" spans="1:5">
      <c r="A189" s="63" t="s">
        <v>635</v>
      </c>
      <c r="B189" s="63" t="s">
        <v>635</v>
      </c>
      <c r="C189" s="63" t="s">
        <v>265</v>
      </c>
      <c r="E189" s="63" t="s">
        <v>124</v>
      </c>
    </row>
    <row r="190" s="63" customFormat="1" spans="1:5">
      <c r="A190" s="63" t="s">
        <v>1196</v>
      </c>
      <c r="B190" s="63" t="s">
        <v>1197</v>
      </c>
      <c r="C190" s="63" t="s">
        <v>265</v>
      </c>
      <c r="E190" s="63" t="s">
        <v>124</v>
      </c>
    </row>
    <row r="191" s="63" customFormat="1" spans="1:5">
      <c r="A191" s="63" t="s">
        <v>1198</v>
      </c>
      <c r="B191" s="63" t="s">
        <v>1198</v>
      </c>
      <c r="C191" s="63" t="s">
        <v>265</v>
      </c>
      <c r="E191" s="63" t="s">
        <v>524</v>
      </c>
    </row>
    <row r="192" s="63" customFormat="1" spans="1:5">
      <c r="A192" s="63" t="s">
        <v>1199</v>
      </c>
      <c r="B192" s="63" t="s">
        <v>1199</v>
      </c>
      <c r="C192" s="63" t="s">
        <v>265</v>
      </c>
      <c r="E192" s="63" t="s">
        <v>524</v>
      </c>
    </row>
    <row r="193" s="63" customFormat="1" spans="1:5">
      <c r="A193" s="63" t="s">
        <v>1200</v>
      </c>
      <c r="B193" s="63" t="s">
        <v>1200</v>
      </c>
      <c r="C193" s="63" t="s">
        <v>265</v>
      </c>
      <c r="E193" s="63" t="s">
        <v>524</v>
      </c>
    </row>
    <row r="194" spans="1:5">
      <c r="A194" t="s">
        <v>1201</v>
      </c>
      <c r="B194" t="s">
        <v>1201</v>
      </c>
      <c r="C194" t="s">
        <v>265</v>
      </c>
      <c r="E194" t="s">
        <v>124</v>
      </c>
    </row>
    <row r="195" spans="1:5">
      <c r="A195" t="s">
        <v>1202</v>
      </c>
      <c r="B195" t="s">
        <v>1202</v>
      </c>
      <c r="C195" t="s">
        <v>265</v>
      </c>
      <c r="E195" t="s">
        <v>363</v>
      </c>
    </row>
    <row r="196" spans="1:5">
      <c r="A196" t="s">
        <v>1203</v>
      </c>
      <c r="B196" t="s">
        <v>1203</v>
      </c>
      <c r="C196" t="s">
        <v>265</v>
      </c>
      <c r="E196" t="s">
        <v>524</v>
      </c>
    </row>
    <row r="197" spans="1:5">
      <c r="A197" t="s">
        <v>1204</v>
      </c>
      <c r="B197" t="s">
        <v>1204</v>
      </c>
      <c r="C197" t="s">
        <v>265</v>
      </c>
      <c r="E197" t="s">
        <v>524</v>
      </c>
    </row>
    <row r="198" spans="1:5">
      <c r="A198" t="s">
        <v>1205</v>
      </c>
      <c r="B198" t="s">
        <v>1205</v>
      </c>
      <c r="C198" t="s">
        <v>265</v>
      </c>
      <c r="E198" t="s">
        <v>524</v>
      </c>
    </row>
    <row r="199" s="63" customFormat="1" spans="1:5">
      <c r="A199" s="63" t="s">
        <v>1206</v>
      </c>
      <c r="B199" s="63" t="s">
        <v>757</v>
      </c>
      <c r="C199" s="63" t="s">
        <v>265</v>
      </c>
      <c r="E199" s="63" t="s">
        <v>524</v>
      </c>
    </row>
    <row r="200" s="63" customFormat="1" spans="1:5">
      <c r="A200" s="63" t="s">
        <v>765</v>
      </c>
      <c r="B200" s="63" t="s">
        <v>765</v>
      </c>
      <c r="C200" s="63" t="s">
        <v>265</v>
      </c>
      <c r="E200" s="63" t="s">
        <v>124</v>
      </c>
    </row>
    <row r="201" s="63" customFormat="1" spans="1:5">
      <c r="A201" s="63" t="s">
        <v>449</v>
      </c>
      <c r="B201" s="63" t="s">
        <v>449</v>
      </c>
      <c r="C201" s="63" t="s">
        <v>265</v>
      </c>
      <c r="E201" s="63" t="s">
        <v>124</v>
      </c>
    </row>
    <row r="202" spans="1:5">
      <c r="A202" t="s">
        <v>1207</v>
      </c>
      <c r="B202" t="s">
        <v>699</v>
      </c>
      <c r="C202" t="s">
        <v>265</v>
      </c>
      <c r="E202" t="s">
        <v>1043</v>
      </c>
    </row>
    <row r="203" spans="1:5">
      <c r="A203" t="s">
        <v>1208</v>
      </c>
      <c r="B203" t="s">
        <v>1208</v>
      </c>
      <c r="C203" t="s">
        <v>265</v>
      </c>
      <c r="E203" t="s">
        <v>124</v>
      </c>
    </row>
    <row r="204" spans="1:5">
      <c r="A204" t="s">
        <v>1209</v>
      </c>
      <c r="B204" t="s">
        <v>1209</v>
      </c>
      <c r="C204" t="s">
        <v>265</v>
      </c>
      <c r="E204" t="s">
        <v>124</v>
      </c>
    </row>
    <row r="205" spans="1:5">
      <c r="A205" t="s">
        <v>1210</v>
      </c>
      <c r="B205" t="s">
        <v>1211</v>
      </c>
      <c r="C205" t="s">
        <v>265</v>
      </c>
      <c r="E205" t="s">
        <v>622</v>
      </c>
    </row>
    <row r="206" spans="1:5">
      <c r="A206" t="s">
        <v>621</v>
      </c>
      <c r="B206" t="s">
        <v>621</v>
      </c>
      <c r="C206" t="s">
        <v>265</v>
      </c>
      <c r="E206" t="s">
        <v>399</v>
      </c>
    </row>
    <row r="207" spans="1:5">
      <c r="A207" t="s">
        <v>1212</v>
      </c>
      <c r="B207" t="s">
        <v>1212</v>
      </c>
      <c r="C207" t="s">
        <v>265</v>
      </c>
      <c r="E207" t="s">
        <v>408</v>
      </c>
    </row>
    <row r="208" spans="1:5">
      <c r="A208" t="s">
        <v>1213</v>
      </c>
      <c r="B208" t="s">
        <v>1213</v>
      </c>
      <c r="C208" t="s">
        <v>265</v>
      </c>
      <c r="E208" t="s">
        <v>399</v>
      </c>
    </row>
    <row r="209" spans="1:5">
      <c r="A209" t="s">
        <v>1214</v>
      </c>
      <c r="B209" t="s">
        <v>1215</v>
      </c>
      <c r="C209" t="s">
        <v>265</v>
      </c>
      <c r="E209" t="s">
        <v>124</v>
      </c>
    </row>
    <row r="210" spans="1:5">
      <c r="A210" t="s">
        <v>552</v>
      </c>
      <c r="B210" t="s">
        <v>552</v>
      </c>
      <c r="C210" t="s">
        <v>265</v>
      </c>
      <c r="E210" t="s">
        <v>124</v>
      </c>
    </row>
    <row r="211" spans="1:5">
      <c r="A211" t="s">
        <v>1216</v>
      </c>
      <c r="B211" t="s">
        <v>1216</v>
      </c>
      <c r="C211" t="s">
        <v>265</v>
      </c>
      <c r="E211" t="s">
        <v>124</v>
      </c>
    </row>
    <row r="212" spans="1:5">
      <c r="A212" t="s">
        <v>1217</v>
      </c>
      <c r="B212" t="s">
        <v>1217</v>
      </c>
      <c r="C212" t="s">
        <v>265</v>
      </c>
      <c r="E212" t="s">
        <v>124</v>
      </c>
    </row>
    <row r="213" spans="1:5">
      <c r="A213" t="s">
        <v>1218</v>
      </c>
      <c r="B213" t="s">
        <v>1218</v>
      </c>
      <c r="C213" t="s">
        <v>265</v>
      </c>
      <c r="E213" t="s">
        <v>399</v>
      </c>
    </row>
    <row r="214" spans="1:5">
      <c r="A214" t="s">
        <v>1219</v>
      </c>
      <c r="B214" t="s">
        <v>1219</v>
      </c>
      <c r="C214" t="s">
        <v>265</v>
      </c>
      <c r="E214" t="s">
        <v>399</v>
      </c>
    </row>
    <row r="215" spans="1:5">
      <c r="A215" t="s">
        <v>1220</v>
      </c>
      <c r="B215" t="s">
        <v>1220</v>
      </c>
      <c r="C215" t="s">
        <v>265</v>
      </c>
      <c r="E215" t="s">
        <v>399</v>
      </c>
    </row>
    <row r="216" spans="1:5">
      <c r="A216" t="s">
        <v>1221</v>
      </c>
      <c r="B216" t="s">
        <v>1221</v>
      </c>
      <c r="C216" t="s">
        <v>265</v>
      </c>
      <c r="E216" t="s">
        <v>399</v>
      </c>
    </row>
    <row r="217" spans="1:5">
      <c r="A217" t="s">
        <v>1222</v>
      </c>
      <c r="B217" t="s">
        <v>1222</v>
      </c>
      <c r="C217" t="s">
        <v>265</v>
      </c>
      <c r="E217" t="s">
        <v>124</v>
      </c>
    </row>
    <row r="218" spans="1:5">
      <c r="A218" t="s">
        <v>1223</v>
      </c>
      <c r="B218" t="s">
        <v>1223</v>
      </c>
      <c r="C218" t="s">
        <v>265</v>
      </c>
      <c r="E218" t="s">
        <v>399</v>
      </c>
    </row>
    <row r="219" spans="1:5">
      <c r="A219" t="s">
        <v>1224</v>
      </c>
      <c r="B219" t="s">
        <v>1224</v>
      </c>
      <c r="C219" t="s">
        <v>265</v>
      </c>
      <c r="E219" t="s">
        <v>399</v>
      </c>
    </row>
    <row r="220" spans="1:5">
      <c r="A220" t="s">
        <v>1225</v>
      </c>
      <c r="B220" t="s">
        <v>1225</v>
      </c>
      <c r="C220" t="s">
        <v>265</v>
      </c>
      <c r="E220" t="s">
        <v>329</v>
      </c>
    </row>
    <row r="221" spans="1:5">
      <c r="A221" t="s">
        <v>1226</v>
      </c>
      <c r="B221" t="s">
        <v>1226</v>
      </c>
      <c r="C221" t="s">
        <v>265</v>
      </c>
      <c r="E221" t="s">
        <v>124</v>
      </c>
    </row>
    <row r="222" spans="1:5">
      <c r="A222" t="s">
        <v>676</v>
      </c>
      <c r="B222" t="s">
        <v>676</v>
      </c>
      <c r="C222" t="s">
        <v>265</v>
      </c>
      <c r="E222" t="s">
        <v>677</v>
      </c>
    </row>
    <row r="223" spans="1:5">
      <c r="A223" t="s">
        <v>1227</v>
      </c>
      <c r="B223" t="s">
        <v>1227</v>
      </c>
      <c r="C223" t="s">
        <v>265</v>
      </c>
      <c r="E223" t="s">
        <v>124</v>
      </c>
    </row>
    <row r="224" spans="1:5">
      <c r="A224" t="s">
        <v>1228</v>
      </c>
      <c r="B224" t="s">
        <v>1228</v>
      </c>
      <c r="C224" t="s">
        <v>265</v>
      </c>
      <c r="E224" t="s">
        <v>124</v>
      </c>
    </row>
    <row r="225" spans="1:5">
      <c r="A225" t="s">
        <v>993</v>
      </c>
      <c r="B225" t="s">
        <v>993</v>
      </c>
      <c r="C225" t="s">
        <v>265</v>
      </c>
      <c r="E225" t="s">
        <v>124</v>
      </c>
    </row>
    <row r="226" spans="1:5">
      <c r="A226" t="s">
        <v>543</v>
      </c>
      <c r="B226" t="s">
        <v>543</v>
      </c>
      <c r="C226" t="s">
        <v>265</v>
      </c>
      <c r="E226" t="s">
        <v>399</v>
      </c>
    </row>
    <row r="227" spans="1:5">
      <c r="A227" t="s">
        <v>1229</v>
      </c>
      <c r="B227" t="s">
        <v>1229</v>
      </c>
      <c r="C227" t="s">
        <v>265</v>
      </c>
      <c r="E227" t="s">
        <v>124</v>
      </c>
    </row>
    <row r="228" spans="1:5">
      <c r="A228" t="s">
        <v>655</v>
      </c>
      <c r="B228" t="s">
        <v>655</v>
      </c>
      <c r="C228" t="s">
        <v>265</v>
      </c>
      <c r="E228" t="s">
        <v>329</v>
      </c>
    </row>
    <row r="229" spans="1:5">
      <c r="A229" t="s">
        <v>1230</v>
      </c>
      <c r="B229" t="s">
        <v>1230</v>
      </c>
      <c r="C229" t="s">
        <v>265</v>
      </c>
      <c r="E229" t="s">
        <v>1043</v>
      </c>
    </row>
    <row r="230" spans="1:5">
      <c r="A230" t="s">
        <v>1231</v>
      </c>
      <c r="B230" t="s">
        <v>1232</v>
      </c>
      <c r="C230" t="s">
        <v>265</v>
      </c>
      <c r="E230" t="s">
        <v>124</v>
      </c>
    </row>
    <row r="231" spans="1:5">
      <c r="A231" t="s">
        <v>1233</v>
      </c>
      <c r="B231" t="s">
        <v>1233</v>
      </c>
      <c r="C231" t="s">
        <v>265</v>
      </c>
      <c r="E231" t="s">
        <v>124</v>
      </c>
    </row>
    <row r="232" spans="1:5">
      <c r="A232" t="s">
        <v>1234</v>
      </c>
      <c r="B232" t="s">
        <v>1234</v>
      </c>
      <c r="C232" t="s">
        <v>265</v>
      </c>
      <c r="E232" t="s">
        <v>124</v>
      </c>
    </row>
    <row r="233" spans="1:5">
      <c r="A233" t="s">
        <v>1235</v>
      </c>
      <c r="B233" t="s">
        <v>711</v>
      </c>
      <c r="C233" t="s">
        <v>265</v>
      </c>
      <c r="E233" t="s">
        <v>124</v>
      </c>
    </row>
    <row r="234" spans="1:5">
      <c r="A234" t="s">
        <v>1236</v>
      </c>
      <c r="B234" t="s">
        <v>717</v>
      </c>
      <c r="C234" t="s">
        <v>265</v>
      </c>
      <c r="E234" t="s">
        <v>329</v>
      </c>
    </row>
    <row r="235" spans="1:5">
      <c r="A235" t="s">
        <v>647</v>
      </c>
      <c r="B235" t="s">
        <v>647</v>
      </c>
      <c r="C235" t="s">
        <v>265</v>
      </c>
      <c r="E235" t="s">
        <v>329</v>
      </c>
    </row>
    <row r="236" spans="1:5">
      <c r="A236" t="s">
        <v>448</v>
      </c>
      <c r="B236" t="s">
        <v>448</v>
      </c>
      <c r="C236" t="s">
        <v>265</v>
      </c>
      <c r="E236" t="s">
        <v>124</v>
      </c>
    </row>
    <row r="237" s="63" customFormat="1" spans="1:5">
      <c r="A237" s="63" t="s">
        <v>523</v>
      </c>
      <c r="B237" s="63" t="s">
        <v>523</v>
      </c>
      <c r="C237" s="63" t="s">
        <v>265</v>
      </c>
      <c r="E237" s="63" t="s">
        <v>524</v>
      </c>
    </row>
    <row r="238" s="63" customFormat="1" spans="1:5">
      <c r="A238" s="63" t="s">
        <v>1237</v>
      </c>
      <c r="B238" s="63" t="s">
        <v>1237</v>
      </c>
      <c r="C238" s="63" t="s">
        <v>265</v>
      </c>
      <c r="E238" s="63" t="s">
        <v>524</v>
      </c>
    </row>
    <row r="239" s="63" customFormat="1" spans="1:5">
      <c r="A239" s="63" t="s">
        <v>538</v>
      </c>
      <c r="B239" s="63" t="s">
        <v>538</v>
      </c>
      <c r="C239" s="63" t="s">
        <v>265</v>
      </c>
      <c r="E239" s="63" t="s">
        <v>524</v>
      </c>
    </row>
    <row r="240" s="63" customFormat="1" spans="1:5">
      <c r="A240" s="63" t="s">
        <v>1238</v>
      </c>
      <c r="B240" s="63" t="s">
        <v>1238</v>
      </c>
      <c r="C240" s="63" t="s">
        <v>265</v>
      </c>
      <c r="E240" s="63" t="s">
        <v>524</v>
      </c>
    </row>
    <row r="241" spans="1:5">
      <c r="A241" t="s">
        <v>1239</v>
      </c>
      <c r="B241" t="s">
        <v>1239</v>
      </c>
      <c r="C241" t="s">
        <v>265</v>
      </c>
      <c r="E241" t="s">
        <v>124</v>
      </c>
    </row>
    <row r="242" spans="1:5">
      <c r="A242" t="s">
        <v>606</v>
      </c>
      <c r="B242" t="s">
        <v>606</v>
      </c>
      <c r="C242" t="s">
        <v>265</v>
      </c>
      <c r="E242" t="s">
        <v>124</v>
      </c>
    </row>
    <row r="243" spans="1:5">
      <c r="A243" t="s">
        <v>1240</v>
      </c>
      <c r="B243" t="s">
        <v>1241</v>
      </c>
      <c r="C243" t="s">
        <v>265</v>
      </c>
      <c r="E243" t="s">
        <v>124</v>
      </c>
    </row>
    <row r="244" spans="1:5">
      <c r="A244" t="s">
        <v>1242</v>
      </c>
      <c r="B244" t="s">
        <v>1243</v>
      </c>
      <c r="C244" t="s">
        <v>265</v>
      </c>
      <c r="E244" t="s">
        <v>408</v>
      </c>
    </row>
    <row r="245" spans="1:5">
      <c r="A245" t="s">
        <v>1244</v>
      </c>
      <c r="B245" t="s">
        <v>1244</v>
      </c>
      <c r="C245" t="s">
        <v>265</v>
      </c>
      <c r="E245" t="s">
        <v>399</v>
      </c>
    </row>
    <row r="246" spans="1:5">
      <c r="A246" t="s">
        <v>1245</v>
      </c>
      <c r="B246" t="s">
        <v>1246</v>
      </c>
      <c r="C246" t="s">
        <v>265</v>
      </c>
      <c r="E246" t="s">
        <v>1043</v>
      </c>
    </row>
    <row r="247" spans="1:5">
      <c r="A247" t="s">
        <v>1247</v>
      </c>
      <c r="B247" t="s">
        <v>1247</v>
      </c>
      <c r="C247" t="s">
        <v>265</v>
      </c>
      <c r="E247" t="s">
        <v>124</v>
      </c>
    </row>
    <row r="248" spans="1:5">
      <c r="A248" t="s">
        <v>1248</v>
      </c>
      <c r="B248" t="s">
        <v>1248</v>
      </c>
      <c r="C248" t="s">
        <v>265</v>
      </c>
      <c r="E248" t="s">
        <v>124</v>
      </c>
    </row>
    <row r="249" spans="1:5">
      <c r="A249" t="s">
        <v>1249</v>
      </c>
      <c r="B249" t="s">
        <v>637</v>
      </c>
      <c r="C249" t="s">
        <v>265</v>
      </c>
      <c r="E249" t="s">
        <v>524</v>
      </c>
    </row>
    <row r="250" spans="1:5">
      <c r="A250" t="s">
        <v>1250</v>
      </c>
      <c r="B250" t="s">
        <v>1250</v>
      </c>
      <c r="C250" t="s">
        <v>265</v>
      </c>
      <c r="E250" t="s">
        <v>524</v>
      </c>
    </row>
    <row r="251" spans="1:5">
      <c r="A251" t="s">
        <v>1251</v>
      </c>
      <c r="B251" t="s">
        <v>1252</v>
      </c>
      <c r="C251" t="s">
        <v>265</v>
      </c>
      <c r="E251" t="s">
        <v>399</v>
      </c>
    </row>
    <row r="252" spans="1:5">
      <c r="A252" t="s">
        <v>1253</v>
      </c>
      <c r="B252" t="s">
        <v>1253</v>
      </c>
      <c r="C252" t="s">
        <v>265</v>
      </c>
      <c r="E252" t="s">
        <v>124</v>
      </c>
    </row>
    <row r="253" spans="1:5">
      <c r="A253" t="s">
        <v>1254</v>
      </c>
      <c r="B253" t="s">
        <v>1254</v>
      </c>
      <c r="C253" t="s">
        <v>265</v>
      </c>
      <c r="E253" t="s">
        <v>363</v>
      </c>
    </row>
    <row r="254" spans="1:5">
      <c r="A254" t="s">
        <v>759</v>
      </c>
      <c r="B254" t="s">
        <v>759</v>
      </c>
      <c r="C254" t="s">
        <v>265</v>
      </c>
      <c r="E254" t="s">
        <v>329</v>
      </c>
    </row>
    <row r="255" spans="1:5">
      <c r="A255" t="s">
        <v>1255</v>
      </c>
      <c r="B255" t="s">
        <v>1255</v>
      </c>
      <c r="C255" t="s">
        <v>265</v>
      </c>
      <c r="E255" t="s">
        <v>124</v>
      </c>
    </row>
    <row r="256" spans="1:5">
      <c r="A256" t="s">
        <v>1256</v>
      </c>
      <c r="B256" t="s">
        <v>1257</v>
      </c>
      <c r="C256" t="s">
        <v>265</v>
      </c>
      <c r="E256" t="s">
        <v>124</v>
      </c>
    </row>
    <row r="257" spans="1:5">
      <c r="A257" t="s">
        <v>610</v>
      </c>
      <c r="B257" t="s">
        <v>610</v>
      </c>
      <c r="C257" t="s">
        <v>265</v>
      </c>
      <c r="E257" t="s">
        <v>124</v>
      </c>
    </row>
    <row r="258" spans="1:5">
      <c r="A258" t="s">
        <v>1258</v>
      </c>
      <c r="B258" t="s">
        <v>1258</v>
      </c>
      <c r="C258" t="s">
        <v>265</v>
      </c>
      <c r="E258" t="s">
        <v>124</v>
      </c>
    </row>
    <row r="259" spans="1:5">
      <c r="A259" t="s">
        <v>704</v>
      </c>
      <c r="B259" t="s">
        <v>704</v>
      </c>
      <c r="C259" t="s">
        <v>265</v>
      </c>
      <c r="E259" t="s">
        <v>124</v>
      </c>
    </row>
    <row r="260" spans="1:5">
      <c r="A260" t="s">
        <v>705</v>
      </c>
      <c r="B260" t="s">
        <v>705</v>
      </c>
      <c r="C260" t="s">
        <v>265</v>
      </c>
      <c r="E260" t="s">
        <v>124</v>
      </c>
    </row>
    <row r="261" spans="1:5">
      <c r="A261" t="s">
        <v>1259</v>
      </c>
      <c r="B261" t="s">
        <v>1259</v>
      </c>
      <c r="C261" t="s">
        <v>265</v>
      </c>
      <c r="E261" t="s">
        <v>124</v>
      </c>
    </row>
    <row r="262" spans="1:5">
      <c r="A262" t="s">
        <v>1260</v>
      </c>
      <c r="B262" t="s">
        <v>1260</v>
      </c>
      <c r="C262" t="s">
        <v>265</v>
      </c>
      <c r="E262" t="s">
        <v>124</v>
      </c>
    </row>
    <row r="263" spans="1:5">
      <c r="A263" t="s">
        <v>1261</v>
      </c>
      <c r="B263" t="s">
        <v>1262</v>
      </c>
      <c r="C263" t="s">
        <v>265</v>
      </c>
      <c r="E263" t="s">
        <v>399</v>
      </c>
    </row>
    <row r="264" spans="1:5">
      <c r="A264" t="s">
        <v>1263</v>
      </c>
      <c r="B264" t="s">
        <v>1264</v>
      </c>
      <c r="C264" t="s">
        <v>265</v>
      </c>
      <c r="E264" t="s">
        <v>124</v>
      </c>
    </row>
    <row r="265" spans="1:5">
      <c r="A265" t="s">
        <v>1265</v>
      </c>
      <c r="B265" t="s">
        <v>1265</v>
      </c>
      <c r="C265" t="s">
        <v>265</v>
      </c>
      <c r="E265" t="s">
        <v>329</v>
      </c>
    </row>
    <row r="266" spans="1:5">
      <c r="A266" t="s">
        <v>1266</v>
      </c>
      <c r="B266" t="s">
        <v>1266</v>
      </c>
      <c r="C266" t="s">
        <v>265</v>
      </c>
      <c r="E266" t="s">
        <v>408</v>
      </c>
    </row>
    <row r="267" spans="1:5">
      <c r="A267" t="s">
        <v>1267</v>
      </c>
      <c r="B267" t="s">
        <v>708</v>
      </c>
      <c r="C267" t="s">
        <v>265</v>
      </c>
      <c r="E267" t="s">
        <v>329</v>
      </c>
    </row>
    <row r="268" spans="1:5">
      <c r="A268" t="s">
        <v>1268</v>
      </c>
      <c r="B268" t="s">
        <v>1268</v>
      </c>
      <c r="C268" t="s">
        <v>265</v>
      </c>
      <c r="E268" t="s">
        <v>524</v>
      </c>
    </row>
    <row r="269" spans="1:5">
      <c r="A269" t="s">
        <v>1269</v>
      </c>
      <c r="B269" t="s">
        <v>1270</v>
      </c>
      <c r="C269" t="s">
        <v>265</v>
      </c>
      <c r="E269" t="s">
        <v>124</v>
      </c>
    </row>
    <row r="270" spans="1:5">
      <c r="A270" t="s">
        <v>1271</v>
      </c>
      <c r="B270" t="s">
        <v>1272</v>
      </c>
      <c r="C270" t="s">
        <v>265</v>
      </c>
      <c r="E270" t="s">
        <v>124</v>
      </c>
    </row>
    <row r="271" spans="1:5">
      <c r="A271" t="s">
        <v>1273</v>
      </c>
      <c r="B271" t="s">
        <v>1274</v>
      </c>
      <c r="C271" t="s">
        <v>265</v>
      </c>
      <c r="E271" t="s">
        <v>399</v>
      </c>
    </row>
    <row r="272" spans="1:5">
      <c r="A272" t="s">
        <v>1275</v>
      </c>
      <c r="B272" t="s">
        <v>1275</v>
      </c>
      <c r="C272" t="s">
        <v>265</v>
      </c>
      <c r="E272" t="s">
        <v>124</v>
      </c>
    </row>
    <row r="273" spans="1:5">
      <c r="A273" t="s">
        <v>1276</v>
      </c>
      <c r="B273" t="s">
        <v>1277</v>
      </c>
      <c r="C273" t="s">
        <v>265</v>
      </c>
      <c r="E273" t="s">
        <v>329</v>
      </c>
    </row>
    <row r="274" spans="1:5">
      <c r="A274" t="s">
        <v>1278</v>
      </c>
      <c r="B274" t="s">
        <v>1278</v>
      </c>
      <c r="C274" t="s">
        <v>265</v>
      </c>
      <c r="E274" t="s">
        <v>329</v>
      </c>
    </row>
    <row r="275" spans="1:5">
      <c r="A275" t="s">
        <v>1279</v>
      </c>
      <c r="B275" t="s">
        <v>1279</v>
      </c>
      <c r="C275" t="s">
        <v>265</v>
      </c>
      <c r="E275" t="s">
        <v>124</v>
      </c>
    </row>
    <row r="276" spans="1:5">
      <c r="A276" t="s">
        <v>1280</v>
      </c>
      <c r="B276" t="s">
        <v>1280</v>
      </c>
      <c r="C276" t="s">
        <v>265</v>
      </c>
      <c r="E276" t="s">
        <v>124</v>
      </c>
    </row>
    <row r="277" spans="1:5">
      <c r="A277" t="s">
        <v>706</v>
      </c>
      <c r="B277" t="s">
        <v>706</v>
      </c>
      <c r="C277" t="s">
        <v>265</v>
      </c>
      <c r="E277" t="s">
        <v>124</v>
      </c>
    </row>
    <row r="278" spans="1:5">
      <c r="A278" t="s">
        <v>520</v>
      </c>
      <c r="B278" t="s">
        <v>520</v>
      </c>
      <c r="C278" t="s">
        <v>265</v>
      </c>
      <c r="E278" t="s">
        <v>399</v>
      </c>
    </row>
    <row r="279" spans="1:5">
      <c r="A279" t="s">
        <v>1281</v>
      </c>
      <c r="B279" t="s">
        <v>385</v>
      </c>
      <c r="C279" t="s">
        <v>265</v>
      </c>
      <c r="E279" t="s">
        <v>124</v>
      </c>
    </row>
    <row r="280" spans="1:5">
      <c r="A280" t="s">
        <v>687</v>
      </c>
      <c r="B280" t="s">
        <v>687</v>
      </c>
      <c r="C280" t="s">
        <v>265</v>
      </c>
      <c r="E280" t="s">
        <v>124</v>
      </c>
    </row>
    <row r="281" spans="1:5">
      <c r="A281" t="s">
        <v>1282</v>
      </c>
      <c r="B281" t="s">
        <v>756</v>
      </c>
      <c r="C281" t="s">
        <v>265</v>
      </c>
      <c r="E281" t="s">
        <v>399</v>
      </c>
    </row>
    <row r="282" s="63" customFormat="1" spans="1:5">
      <c r="A282" s="63" t="s">
        <v>1283</v>
      </c>
      <c r="B282" s="63" t="s">
        <v>1283</v>
      </c>
      <c r="C282" s="63" t="s">
        <v>265</v>
      </c>
      <c r="E282" s="63" t="s">
        <v>124</v>
      </c>
    </row>
    <row r="283" spans="1:5">
      <c r="A283" t="s">
        <v>1284</v>
      </c>
      <c r="B283" t="s">
        <v>1284</v>
      </c>
      <c r="C283" t="s">
        <v>265</v>
      </c>
      <c r="E283" t="s">
        <v>124</v>
      </c>
    </row>
    <row r="284" spans="1:5">
      <c r="A284" t="s">
        <v>1285</v>
      </c>
      <c r="B284" t="s">
        <v>1285</v>
      </c>
      <c r="C284" t="s">
        <v>265</v>
      </c>
      <c r="E284" t="s">
        <v>399</v>
      </c>
    </row>
    <row r="285" spans="1:5">
      <c r="A285" t="s">
        <v>1286</v>
      </c>
      <c r="B285" t="s">
        <v>1286</v>
      </c>
      <c r="C285" t="s">
        <v>265</v>
      </c>
      <c r="E285" t="s">
        <v>124</v>
      </c>
    </row>
    <row r="286" spans="1:5">
      <c r="A286" t="s">
        <v>620</v>
      </c>
      <c r="B286" t="s">
        <v>620</v>
      </c>
      <c r="C286" t="s">
        <v>265</v>
      </c>
      <c r="E286" t="s">
        <v>124</v>
      </c>
    </row>
    <row r="287" spans="1:5">
      <c r="A287" t="s">
        <v>643</v>
      </c>
      <c r="B287" t="s">
        <v>643</v>
      </c>
      <c r="C287" t="s">
        <v>265</v>
      </c>
      <c r="E287" t="s">
        <v>124</v>
      </c>
    </row>
    <row r="288" s="63" customFormat="1" spans="1:5">
      <c r="A288" s="63" t="s">
        <v>545</v>
      </c>
      <c r="B288" s="63" t="s">
        <v>545</v>
      </c>
      <c r="C288" s="63" t="s">
        <v>265</v>
      </c>
      <c r="E288" s="63" t="s">
        <v>124</v>
      </c>
    </row>
    <row r="289" s="63" customFormat="1" spans="1:5">
      <c r="A289" s="63" t="s">
        <v>1287</v>
      </c>
      <c r="B289" s="63" t="s">
        <v>1287</v>
      </c>
      <c r="C289" s="63" t="s">
        <v>265</v>
      </c>
      <c r="E289" s="63" t="s">
        <v>399</v>
      </c>
    </row>
    <row r="290" s="63" customFormat="1" spans="1:5">
      <c r="A290" s="63" t="s">
        <v>686</v>
      </c>
      <c r="B290" s="63" t="s">
        <v>686</v>
      </c>
      <c r="C290" s="63" t="s">
        <v>265</v>
      </c>
      <c r="E290" s="63" t="s">
        <v>124</v>
      </c>
    </row>
    <row r="291" s="63" customFormat="1" spans="1:5">
      <c r="A291" s="63" t="s">
        <v>601</v>
      </c>
      <c r="B291" s="63" t="s">
        <v>601</v>
      </c>
      <c r="C291" s="63" t="s">
        <v>265</v>
      </c>
      <c r="E291" s="63" t="s">
        <v>522</v>
      </c>
    </row>
    <row r="292" s="63" customFormat="1" spans="1:5">
      <c r="A292" s="63" t="s">
        <v>1288</v>
      </c>
      <c r="B292" s="63" t="s">
        <v>1288</v>
      </c>
      <c r="C292" s="63" t="s">
        <v>265</v>
      </c>
      <c r="E292" s="63" t="s">
        <v>522</v>
      </c>
    </row>
    <row r="293" s="63" customFormat="1" spans="1:5">
      <c r="A293" s="63" t="s">
        <v>1289</v>
      </c>
      <c r="B293" s="63" t="s">
        <v>1290</v>
      </c>
      <c r="C293" s="63" t="s">
        <v>265</v>
      </c>
      <c r="E293" s="63" t="s">
        <v>124</v>
      </c>
    </row>
    <row r="294" spans="1:5">
      <c r="A294" t="s">
        <v>1291</v>
      </c>
      <c r="B294" t="s">
        <v>565</v>
      </c>
      <c r="C294" t="s">
        <v>265</v>
      </c>
      <c r="E294" t="s">
        <v>124</v>
      </c>
    </row>
    <row r="295" spans="1:5">
      <c r="A295" t="s">
        <v>1292</v>
      </c>
      <c r="B295" t="s">
        <v>1293</v>
      </c>
      <c r="C295" t="s">
        <v>265</v>
      </c>
      <c r="E295" t="s">
        <v>1294</v>
      </c>
    </row>
    <row r="296" spans="1:5">
      <c r="A296" t="s">
        <v>1295</v>
      </c>
      <c r="B296" t="s">
        <v>1295</v>
      </c>
      <c r="C296" t="s">
        <v>265</v>
      </c>
      <c r="E296" t="s">
        <v>363</v>
      </c>
    </row>
    <row r="297" spans="1:5">
      <c r="A297" t="s">
        <v>1296</v>
      </c>
      <c r="B297" t="s">
        <v>1296</v>
      </c>
      <c r="C297" t="s">
        <v>265</v>
      </c>
      <c r="E297" t="s">
        <v>547</v>
      </c>
    </row>
    <row r="298" spans="1:5">
      <c r="A298" t="s">
        <v>489</v>
      </c>
      <c r="B298" t="s">
        <v>489</v>
      </c>
      <c r="C298" t="s">
        <v>265</v>
      </c>
      <c r="E298" t="s">
        <v>124</v>
      </c>
    </row>
    <row r="299" spans="1:5">
      <c r="A299" t="s">
        <v>300</v>
      </c>
      <c r="B299" t="s">
        <v>1297</v>
      </c>
      <c r="C299" t="s">
        <v>265</v>
      </c>
      <c r="E299" t="s">
        <v>547</v>
      </c>
    </row>
    <row r="300" spans="1:5">
      <c r="A300" t="s">
        <v>630</v>
      </c>
      <c r="B300" t="s">
        <v>630</v>
      </c>
      <c r="C300" t="s">
        <v>265</v>
      </c>
      <c r="E300" t="s">
        <v>124</v>
      </c>
    </row>
    <row r="301" spans="1:5">
      <c r="A301" t="s">
        <v>1298</v>
      </c>
      <c r="B301" t="s">
        <v>1298</v>
      </c>
      <c r="C301" t="s">
        <v>265</v>
      </c>
      <c r="E301" t="s">
        <v>124</v>
      </c>
    </row>
    <row r="302" spans="1:5">
      <c r="A302" t="s">
        <v>638</v>
      </c>
      <c r="B302" t="s">
        <v>638</v>
      </c>
      <c r="C302" t="s">
        <v>265</v>
      </c>
      <c r="E302" t="s">
        <v>124</v>
      </c>
    </row>
    <row r="303" spans="1:5">
      <c r="A303" t="s">
        <v>1299</v>
      </c>
      <c r="B303" t="s">
        <v>386</v>
      </c>
      <c r="C303" t="s">
        <v>265</v>
      </c>
      <c r="E303" t="s">
        <v>124</v>
      </c>
    </row>
    <row r="304" spans="1:5">
      <c r="A304" t="s">
        <v>1300</v>
      </c>
      <c r="B304" t="s">
        <v>1300</v>
      </c>
      <c r="C304" t="s">
        <v>265</v>
      </c>
      <c r="E304" t="s">
        <v>124</v>
      </c>
    </row>
    <row r="305" spans="1:5">
      <c r="A305" t="s">
        <v>1301</v>
      </c>
      <c r="B305" t="s">
        <v>1301</v>
      </c>
      <c r="C305" t="s">
        <v>265</v>
      </c>
      <c r="E305" t="s">
        <v>124</v>
      </c>
    </row>
    <row r="306" spans="1:5">
      <c r="A306" t="s">
        <v>1302</v>
      </c>
      <c r="B306" t="s">
        <v>1303</v>
      </c>
      <c r="C306" t="s">
        <v>265</v>
      </c>
      <c r="E306" t="s">
        <v>329</v>
      </c>
    </row>
    <row r="307" spans="1:5">
      <c r="A307" t="s">
        <v>642</v>
      </c>
      <c r="B307" t="s">
        <v>642</v>
      </c>
      <c r="C307" t="s">
        <v>265</v>
      </c>
      <c r="E307" t="s">
        <v>124</v>
      </c>
    </row>
    <row r="308" spans="1:5">
      <c r="A308" t="s">
        <v>1304</v>
      </c>
      <c r="B308" t="s">
        <v>1305</v>
      </c>
      <c r="C308" t="s">
        <v>265</v>
      </c>
      <c r="E308" t="s">
        <v>547</v>
      </c>
    </row>
    <row r="309" spans="1:5">
      <c r="A309" t="s">
        <v>1306</v>
      </c>
      <c r="B309" t="s">
        <v>1306</v>
      </c>
      <c r="C309" t="s">
        <v>265</v>
      </c>
      <c r="E309" t="s">
        <v>622</v>
      </c>
    </row>
    <row r="310" s="63" customFormat="1" spans="1:5">
      <c r="A310" s="63" t="s">
        <v>1307</v>
      </c>
      <c r="B310" s="63" t="s">
        <v>1307</v>
      </c>
      <c r="C310" s="63" t="s">
        <v>265</v>
      </c>
      <c r="E310" s="63" t="s">
        <v>522</v>
      </c>
    </row>
    <row r="311" s="63" customFormat="1" spans="1:5">
      <c r="A311" s="63" t="s">
        <v>1308</v>
      </c>
      <c r="B311" s="63" t="s">
        <v>1308</v>
      </c>
      <c r="C311" s="63" t="s">
        <v>265</v>
      </c>
      <c r="E311" s="63" t="s">
        <v>598</v>
      </c>
    </row>
    <row r="312" s="63" customFormat="1" spans="1:5">
      <c r="A312" s="63" t="s">
        <v>1309</v>
      </c>
      <c r="B312" s="63" t="s">
        <v>1309</v>
      </c>
      <c r="C312" s="63" t="s">
        <v>265</v>
      </c>
      <c r="E312" s="63" t="s">
        <v>522</v>
      </c>
    </row>
    <row r="313" s="63" customFormat="1" spans="1:5">
      <c r="A313" s="63" t="s">
        <v>1310</v>
      </c>
      <c r="B313" s="63" t="s">
        <v>1310</v>
      </c>
      <c r="C313" s="63" t="s">
        <v>265</v>
      </c>
      <c r="E313" s="63" t="s">
        <v>522</v>
      </c>
    </row>
    <row r="314" s="63" customFormat="1" spans="1:5">
      <c r="A314" s="63" t="s">
        <v>1311</v>
      </c>
      <c r="B314" s="63" t="s">
        <v>1311</v>
      </c>
      <c r="C314" s="63" t="s">
        <v>265</v>
      </c>
      <c r="E314" s="63" t="s">
        <v>522</v>
      </c>
    </row>
    <row r="315" spans="1:5">
      <c r="A315" t="s">
        <v>1312</v>
      </c>
      <c r="B315" t="s">
        <v>640</v>
      </c>
      <c r="C315" t="s">
        <v>265</v>
      </c>
      <c r="E315" t="s">
        <v>124</v>
      </c>
    </row>
    <row r="316" spans="1:5">
      <c r="A316" t="s">
        <v>1313</v>
      </c>
      <c r="C316" t="s">
        <v>1313</v>
      </c>
    </row>
    <row r="317" s="63" customFormat="1" spans="1:5">
      <c r="A317" s="63" t="s">
        <v>1314</v>
      </c>
      <c r="B317" s="63" t="s">
        <v>1315</v>
      </c>
      <c r="C317" s="63" t="s">
        <v>1313</v>
      </c>
      <c r="E317" s="63" t="s">
        <v>124</v>
      </c>
    </row>
    <row r="318" spans="1:5">
      <c r="A318" t="s">
        <v>382</v>
      </c>
      <c r="C318" t="s">
        <v>382</v>
      </c>
    </row>
    <row r="319" s="63" customFormat="1" spans="1:5">
      <c r="A319" s="63" t="s">
        <v>1316</v>
      </c>
      <c r="B319" s="63" t="s">
        <v>392</v>
      </c>
      <c r="C319" s="63" t="s">
        <v>382</v>
      </c>
      <c r="E319" s="63" t="s">
        <v>124</v>
      </c>
    </row>
    <row r="320" s="63" customFormat="1" spans="1:5">
      <c r="A320" s="63" t="s">
        <v>424</v>
      </c>
      <c r="B320" s="63" t="s">
        <v>424</v>
      </c>
      <c r="C320" s="63" t="s">
        <v>382</v>
      </c>
      <c r="E320" s="63" t="s">
        <v>124</v>
      </c>
    </row>
    <row r="321" s="63" customFormat="1" spans="1:5">
      <c r="A321" s="63" t="s">
        <v>1317</v>
      </c>
      <c r="B321" s="63" t="s">
        <v>395</v>
      </c>
      <c r="C321" s="63" t="s">
        <v>382</v>
      </c>
      <c r="E321" s="63" t="s">
        <v>124</v>
      </c>
    </row>
    <row r="322" s="63" customFormat="1" spans="1:5">
      <c r="A322" s="63" t="s">
        <v>1318</v>
      </c>
      <c r="B322" s="63" t="s">
        <v>1318</v>
      </c>
      <c r="C322" s="63" t="s">
        <v>382</v>
      </c>
      <c r="E322" s="63" t="s">
        <v>124</v>
      </c>
    </row>
    <row r="323" s="63" customFormat="1" spans="1:5">
      <c r="A323" s="63" t="s">
        <v>1319</v>
      </c>
      <c r="B323" s="63" t="s">
        <v>501</v>
      </c>
      <c r="C323" s="63" t="s">
        <v>382</v>
      </c>
      <c r="E323" s="63" t="s">
        <v>124</v>
      </c>
    </row>
    <row r="324" s="63" customFormat="1" spans="1:5">
      <c r="A324" s="63" t="s">
        <v>1320</v>
      </c>
      <c r="B324" s="63" t="s">
        <v>396</v>
      </c>
      <c r="C324" s="63" t="s">
        <v>382</v>
      </c>
      <c r="E324" s="63" t="s">
        <v>124</v>
      </c>
    </row>
    <row r="325" s="63" customFormat="1" spans="1:5">
      <c r="A325" s="63" t="s">
        <v>1321</v>
      </c>
      <c r="B325" s="63" t="s">
        <v>394</v>
      </c>
      <c r="C325" s="63" t="s">
        <v>382</v>
      </c>
      <c r="E325" s="63" t="s">
        <v>124</v>
      </c>
    </row>
    <row r="326" s="63" customFormat="1" spans="1:5">
      <c r="A326" s="63" t="s">
        <v>1322</v>
      </c>
      <c r="B326" s="63" t="s">
        <v>393</v>
      </c>
      <c r="C326" s="63" t="s">
        <v>382</v>
      </c>
      <c r="E326" s="63" t="s">
        <v>124</v>
      </c>
    </row>
    <row r="327" s="63" customFormat="1" spans="1:5">
      <c r="A327" s="63" t="s">
        <v>1323</v>
      </c>
      <c r="B327" s="63" t="s">
        <v>1324</v>
      </c>
      <c r="C327" s="63" t="s">
        <v>382</v>
      </c>
      <c r="E327" s="63" t="s">
        <v>124</v>
      </c>
    </row>
    <row r="328" s="63" customFormat="1" spans="1:5">
      <c r="A328" s="63" t="s">
        <v>1325</v>
      </c>
      <c r="B328" s="63" t="s">
        <v>1326</v>
      </c>
      <c r="C328" s="63" t="s">
        <v>382</v>
      </c>
      <c r="E328" s="63" t="s">
        <v>124</v>
      </c>
    </row>
    <row r="329" s="63" customFormat="1" spans="1:5">
      <c r="A329" s="63" t="s">
        <v>1327</v>
      </c>
      <c r="B329" s="63" t="s">
        <v>1327</v>
      </c>
      <c r="C329" s="63" t="s">
        <v>382</v>
      </c>
      <c r="E329" s="63" t="s">
        <v>124</v>
      </c>
    </row>
    <row r="330" s="63" customFormat="1" spans="1:5">
      <c r="A330" s="63" t="s">
        <v>1328</v>
      </c>
      <c r="B330" s="63" t="s">
        <v>1328</v>
      </c>
      <c r="C330" s="63" t="s">
        <v>382</v>
      </c>
      <c r="E330" s="63" t="s">
        <v>124</v>
      </c>
    </row>
    <row r="331" s="63" customFormat="1" spans="1:5">
      <c r="A331" s="63" t="s">
        <v>407</v>
      </c>
      <c r="B331" s="63" t="s">
        <v>407</v>
      </c>
      <c r="C331" s="63" t="s">
        <v>382</v>
      </c>
      <c r="E331" s="63" t="s">
        <v>408</v>
      </c>
    </row>
    <row r="332" s="63" customFormat="1" spans="1:5">
      <c r="A332" s="63" t="s">
        <v>410</v>
      </c>
      <c r="B332" s="63" t="s">
        <v>410</v>
      </c>
      <c r="C332" s="63" t="s">
        <v>382</v>
      </c>
      <c r="E332" s="63" t="s">
        <v>124</v>
      </c>
    </row>
    <row r="333" s="63" customFormat="1" spans="1:5">
      <c r="A333" s="63" t="s">
        <v>412</v>
      </c>
      <c r="B333" s="63" t="s">
        <v>412</v>
      </c>
      <c r="C333" s="63" t="s">
        <v>382</v>
      </c>
      <c r="E333" s="63" t="s">
        <v>408</v>
      </c>
    </row>
    <row r="334" s="63" customFormat="1" spans="1:5">
      <c r="A334" s="63" t="s">
        <v>1329</v>
      </c>
      <c r="B334" s="63" t="s">
        <v>413</v>
      </c>
      <c r="C334" s="63" t="s">
        <v>382</v>
      </c>
      <c r="E334" s="63" t="s">
        <v>408</v>
      </c>
    </row>
    <row r="335" s="63" customFormat="1" spans="1:5">
      <c r="A335" s="63" t="s">
        <v>1330</v>
      </c>
      <c r="B335" s="63" t="s">
        <v>850</v>
      </c>
      <c r="C335" s="63" t="s">
        <v>382</v>
      </c>
      <c r="E335" s="63" t="s">
        <v>124</v>
      </c>
    </row>
    <row r="336" s="63" customFormat="1" spans="1:5">
      <c r="A336" s="63" t="s">
        <v>1331</v>
      </c>
      <c r="B336" s="63" t="s">
        <v>401</v>
      </c>
      <c r="C336" s="63" t="s">
        <v>382</v>
      </c>
      <c r="E336" s="63" t="s">
        <v>124</v>
      </c>
    </row>
    <row r="337" s="63" customFormat="1" spans="1:5">
      <c r="A337" s="63" t="s">
        <v>416</v>
      </c>
      <c r="B337" s="63" t="s">
        <v>416</v>
      </c>
      <c r="C337" s="63" t="s">
        <v>382</v>
      </c>
      <c r="E337" s="63" t="s">
        <v>124</v>
      </c>
    </row>
    <row r="338" s="63" customFormat="1" spans="1:5">
      <c r="A338" s="63" t="s">
        <v>415</v>
      </c>
      <c r="B338" s="63" t="s">
        <v>415</v>
      </c>
      <c r="C338" s="63" t="s">
        <v>382</v>
      </c>
      <c r="E338" s="63" t="s">
        <v>124</v>
      </c>
    </row>
    <row r="339" s="63" customFormat="1" spans="1:5">
      <c r="A339" s="63" t="s">
        <v>422</v>
      </c>
      <c r="B339" s="63" t="s">
        <v>422</v>
      </c>
      <c r="C339" s="63" t="s">
        <v>382</v>
      </c>
      <c r="E339" s="63" t="s">
        <v>124</v>
      </c>
    </row>
    <row r="340" s="63" customFormat="1" spans="1:5">
      <c r="A340" s="63" t="s">
        <v>1332</v>
      </c>
      <c r="B340" s="63" t="s">
        <v>1332</v>
      </c>
      <c r="C340" s="63" t="s">
        <v>382</v>
      </c>
      <c r="E340" s="63" t="s">
        <v>124</v>
      </c>
    </row>
    <row r="341" s="63" customFormat="1" spans="1:5">
      <c r="A341" s="63" t="s">
        <v>1333</v>
      </c>
      <c r="B341" s="63" t="s">
        <v>1333</v>
      </c>
      <c r="C341" s="63" t="s">
        <v>382</v>
      </c>
      <c r="E341" s="63" t="s">
        <v>124</v>
      </c>
    </row>
    <row r="342" s="63" customFormat="1" spans="1:5">
      <c r="A342" s="63" t="s">
        <v>1334</v>
      </c>
      <c r="B342" s="63" t="s">
        <v>1334</v>
      </c>
      <c r="C342" s="63" t="s">
        <v>382</v>
      </c>
      <c r="E342" s="63" t="s">
        <v>124</v>
      </c>
    </row>
    <row r="343" s="63" customFormat="1" spans="1:5">
      <c r="A343" s="63" t="s">
        <v>414</v>
      </c>
      <c r="B343" s="63" t="s">
        <v>414</v>
      </c>
      <c r="C343" s="63" t="s">
        <v>382</v>
      </c>
      <c r="E343" s="63" t="s">
        <v>124</v>
      </c>
    </row>
    <row r="344" s="63" customFormat="1" spans="1:5">
      <c r="A344" s="63" t="s">
        <v>1335</v>
      </c>
      <c r="B344" s="63" t="s">
        <v>419</v>
      </c>
      <c r="C344" s="63" t="s">
        <v>382</v>
      </c>
      <c r="E344" s="63" t="s">
        <v>124</v>
      </c>
    </row>
    <row r="345" s="63" customFormat="1" spans="1:5">
      <c r="A345" s="63" t="s">
        <v>1336</v>
      </c>
      <c r="B345" s="63" t="s">
        <v>417</v>
      </c>
      <c r="C345" s="63" t="s">
        <v>382</v>
      </c>
      <c r="E345" s="63" t="s">
        <v>124</v>
      </c>
    </row>
    <row r="346" s="63" customFormat="1" spans="1:5">
      <c r="A346" s="63" t="s">
        <v>1337</v>
      </c>
      <c r="B346" s="63" t="s">
        <v>421</v>
      </c>
      <c r="C346" s="63" t="s">
        <v>382</v>
      </c>
      <c r="E346" s="63" t="s">
        <v>124</v>
      </c>
    </row>
    <row r="347" s="63" customFormat="1" spans="1:5">
      <c r="A347" s="63" t="s">
        <v>1338</v>
      </c>
      <c r="B347" s="63" t="s">
        <v>420</v>
      </c>
      <c r="C347" s="63" t="s">
        <v>382</v>
      </c>
      <c r="E347" s="63" t="s">
        <v>124</v>
      </c>
    </row>
    <row r="348" s="63" customFormat="1" spans="1:5">
      <c r="A348" s="63" t="s">
        <v>1339</v>
      </c>
      <c r="B348" s="63" t="s">
        <v>423</v>
      </c>
      <c r="C348" s="63" t="s">
        <v>382</v>
      </c>
      <c r="E348" s="63" t="s">
        <v>124</v>
      </c>
    </row>
    <row r="349" s="63" customFormat="1" spans="1:5">
      <c r="A349" s="63" t="s">
        <v>1340</v>
      </c>
      <c r="B349" s="63" t="s">
        <v>418</v>
      </c>
      <c r="C349" s="63" t="s">
        <v>382</v>
      </c>
      <c r="E349" s="63" t="s">
        <v>124</v>
      </c>
    </row>
    <row r="350" s="63" customFormat="1" spans="1:5">
      <c r="A350" s="63" t="s">
        <v>400</v>
      </c>
      <c r="B350" s="63" t="s">
        <v>400</v>
      </c>
      <c r="C350" s="63" t="s">
        <v>382</v>
      </c>
      <c r="E350" s="63" t="s">
        <v>124</v>
      </c>
    </row>
    <row r="351" s="63" customFormat="1" spans="1:5">
      <c r="A351" s="63" t="s">
        <v>1341</v>
      </c>
      <c r="B351" s="63" t="s">
        <v>1342</v>
      </c>
      <c r="C351" s="63" t="s">
        <v>382</v>
      </c>
      <c r="E351" s="63" t="s">
        <v>399</v>
      </c>
    </row>
    <row r="352" s="63" customFormat="1" spans="1:5">
      <c r="A352" s="63" t="s">
        <v>398</v>
      </c>
      <c r="B352" s="63" t="s">
        <v>398</v>
      </c>
      <c r="C352" s="63" t="s">
        <v>382</v>
      </c>
      <c r="E352" s="63" t="s">
        <v>124</v>
      </c>
    </row>
    <row r="353" s="63" customFormat="1" spans="1:5">
      <c r="A353" s="63" t="s">
        <v>1343</v>
      </c>
      <c r="B353" s="63" t="s">
        <v>1344</v>
      </c>
      <c r="C353" s="63" t="s">
        <v>382</v>
      </c>
      <c r="E353" s="63" t="s">
        <v>399</v>
      </c>
    </row>
    <row r="354" s="63" customFormat="1" spans="1:5">
      <c r="A354" s="63" t="s">
        <v>1345</v>
      </c>
      <c r="B354" s="63" t="s">
        <v>1346</v>
      </c>
      <c r="C354" s="63" t="s">
        <v>382</v>
      </c>
      <c r="E354" s="63" t="s">
        <v>399</v>
      </c>
    </row>
    <row r="355" s="63" customFormat="1" spans="1:5">
      <c r="A355" s="63" t="s">
        <v>1347</v>
      </c>
      <c r="B355" s="63" t="s">
        <v>1347</v>
      </c>
      <c r="C355" s="63" t="s">
        <v>382</v>
      </c>
      <c r="E355" s="63" t="s">
        <v>124</v>
      </c>
    </row>
    <row r="356" s="63" customFormat="1" spans="1:5">
      <c r="A356" s="63" t="s">
        <v>1348</v>
      </c>
      <c r="B356" s="63" t="s">
        <v>425</v>
      </c>
      <c r="C356" s="63" t="s">
        <v>382</v>
      </c>
      <c r="E356" s="63" t="s">
        <v>124</v>
      </c>
    </row>
    <row r="357" s="63" customFormat="1" spans="1:5">
      <c r="A357" s="63" t="s">
        <v>1349</v>
      </c>
      <c r="B357" s="63" t="s">
        <v>498</v>
      </c>
      <c r="C357" s="63" t="s">
        <v>382</v>
      </c>
      <c r="E357" s="63" t="s">
        <v>124</v>
      </c>
    </row>
    <row r="358" s="63" customFormat="1" spans="1:5">
      <c r="A358" s="63" t="s">
        <v>1350</v>
      </c>
      <c r="B358" s="63" t="s">
        <v>428</v>
      </c>
      <c r="C358" s="63" t="s">
        <v>382</v>
      </c>
      <c r="E358" s="63" t="s">
        <v>124</v>
      </c>
    </row>
    <row r="359" s="63" customFormat="1" spans="1:5">
      <c r="A359" s="63" t="s">
        <v>1351</v>
      </c>
      <c r="B359" s="63" t="s">
        <v>441</v>
      </c>
      <c r="C359" s="63" t="s">
        <v>382</v>
      </c>
      <c r="E359" s="63" t="s">
        <v>124</v>
      </c>
    </row>
    <row r="360" s="63" customFormat="1" spans="1:5">
      <c r="A360" s="63" t="s">
        <v>1352</v>
      </c>
      <c r="B360" s="63" t="s">
        <v>1353</v>
      </c>
      <c r="C360" s="63" t="s">
        <v>382</v>
      </c>
      <c r="E360" s="63" t="s">
        <v>329</v>
      </c>
    </row>
    <row r="361" s="63" customFormat="1" spans="1:5">
      <c r="A361" s="63" t="s">
        <v>1354</v>
      </c>
      <c r="B361" s="63" t="s">
        <v>1355</v>
      </c>
      <c r="C361" s="63" t="s">
        <v>382</v>
      </c>
      <c r="E361" s="63" t="s">
        <v>329</v>
      </c>
    </row>
    <row r="362" s="63" customFormat="1" spans="1:5">
      <c r="A362" s="63" t="s">
        <v>1356</v>
      </c>
      <c r="B362" s="63" t="s">
        <v>1357</v>
      </c>
      <c r="C362" s="63" t="s">
        <v>382</v>
      </c>
      <c r="E362" s="63" t="s">
        <v>124</v>
      </c>
    </row>
    <row r="363" s="63" customFormat="1" spans="1:5">
      <c r="A363" s="63" t="s">
        <v>1358</v>
      </c>
      <c r="B363" s="63" t="s">
        <v>1358</v>
      </c>
      <c r="C363" s="63" t="s">
        <v>382</v>
      </c>
      <c r="E363" s="63" t="s">
        <v>329</v>
      </c>
    </row>
    <row r="364" s="63" customFormat="1" spans="1:5">
      <c r="A364" s="63" t="s">
        <v>1359</v>
      </c>
      <c r="B364" s="63" t="s">
        <v>1360</v>
      </c>
      <c r="C364" s="63" t="s">
        <v>382</v>
      </c>
      <c r="E364" s="63" t="s">
        <v>124</v>
      </c>
    </row>
    <row r="365" s="63" customFormat="1" spans="1:5">
      <c r="A365" s="63" t="s">
        <v>852</v>
      </c>
      <c r="B365" s="63" t="s">
        <v>852</v>
      </c>
      <c r="C365" s="63" t="s">
        <v>382</v>
      </c>
      <c r="E365" s="63" t="s">
        <v>124</v>
      </c>
    </row>
    <row r="366" s="63" customFormat="1" spans="1:5">
      <c r="A366" s="63" t="s">
        <v>397</v>
      </c>
      <c r="B366" s="63" t="s">
        <v>397</v>
      </c>
      <c r="C366" s="63" t="s">
        <v>382</v>
      </c>
      <c r="E366" s="63" t="s">
        <v>124</v>
      </c>
    </row>
    <row r="367" s="63" customFormat="1" spans="1:5">
      <c r="A367" s="63" t="s">
        <v>500</v>
      </c>
      <c r="B367" s="63" t="s">
        <v>500</v>
      </c>
      <c r="C367" s="63" t="s">
        <v>382</v>
      </c>
      <c r="E367" s="63" t="s">
        <v>124</v>
      </c>
    </row>
    <row r="368" s="63" customFormat="1" spans="1:5">
      <c r="A368" s="63" t="s">
        <v>426</v>
      </c>
      <c r="B368" s="63" t="s">
        <v>426</v>
      </c>
      <c r="C368" s="63" t="s">
        <v>382</v>
      </c>
      <c r="E368" s="63" t="s">
        <v>124</v>
      </c>
    </row>
    <row r="369" s="63" customFormat="1" spans="1:5">
      <c r="A369" s="63" t="s">
        <v>1361</v>
      </c>
      <c r="B369" s="63" t="s">
        <v>1361</v>
      </c>
      <c r="C369" s="63" t="s">
        <v>382</v>
      </c>
      <c r="E369" s="63" t="s">
        <v>124</v>
      </c>
    </row>
    <row r="370" s="63" customFormat="1" spans="1:5">
      <c r="A370" s="63" t="s">
        <v>851</v>
      </c>
      <c r="B370" s="63" t="s">
        <v>851</v>
      </c>
      <c r="C370" s="63" t="s">
        <v>382</v>
      </c>
      <c r="E370" s="63" t="s">
        <v>124</v>
      </c>
    </row>
    <row r="371" s="63" customFormat="1" spans="1:5">
      <c r="A371" s="63" t="s">
        <v>499</v>
      </c>
      <c r="B371" s="63" t="s">
        <v>499</v>
      </c>
      <c r="C371" s="63" t="s">
        <v>382</v>
      </c>
      <c r="E371" s="63" t="s">
        <v>124</v>
      </c>
    </row>
    <row r="372" s="63" customFormat="1" spans="1:5">
      <c r="A372" s="63" t="s">
        <v>1362</v>
      </c>
      <c r="B372" s="63" t="s">
        <v>1362</v>
      </c>
      <c r="C372" s="63" t="s">
        <v>382</v>
      </c>
      <c r="E372" s="63" t="s">
        <v>124</v>
      </c>
    </row>
    <row r="373" s="63" customFormat="1" spans="1:5">
      <c r="A373" s="63" t="s">
        <v>390</v>
      </c>
      <c r="B373" s="63" t="s">
        <v>390</v>
      </c>
      <c r="C373" s="63" t="s">
        <v>382</v>
      </c>
      <c r="E373" s="63" t="s">
        <v>124</v>
      </c>
    </row>
    <row r="374" s="63" customFormat="1" spans="1:5">
      <c r="A374" s="63" t="s">
        <v>391</v>
      </c>
      <c r="B374" s="63" t="s">
        <v>391</v>
      </c>
      <c r="C374" s="63" t="s">
        <v>382</v>
      </c>
      <c r="E374" s="63" t="s">
        <v>124</v>
      </c>
    </row>
    <row r="375" s="63" customFormat="1" spans="1:5">
      <c r="A375" s="63" t="s">
        <v>1363</v>
      </c>
      <c r="B375" s="63" t="s">
        <v>457</v>
      </c>
      <c r="C375" s="63" t="s">
        <v>382</v>
      </c>
      <c r="E375" s="63" t="s">
        <v>124</v>
      </c>
    </row>
    <row r="376" s="63" customFormat="1" spans="1:5">
      <c r="A376" s="63" t="s">
        <v>451</v>
      </c>
      <c r="B376" s="63" t="s">
        <v>451</v>
      </c>
      <c r="C376" s="63" t="s">
        <v>382</v>
      </c>
      <c r="E376" s="63" t="s">
        <v>124</v>
      </c>
    </row>
    <row r="377" s="63" customFormat="1" spans="1:5">
      <c r="A377" s="63" t="s">
        <v>1364</v>
      </c>
      <c r="B377" s="63" t="s">
        <v>1365</v>
      </c>
      <c r="C377" s="63" t="s">
        <v>382</v>
      </c>
      <c r="E377" s="63" t="s">
        <v>399</v>
      </c>
    </row>
    <row r="378" s="63" customFormat="1" spans="1:5">
      <c r="A378" s="63" t="s">
        <v>1366</v>
      </c>
      <c r="B378" s="63" t="s">
        <v>1366</v>
      </c>
      <c r="C378" s="63" t="s">
        <v>382</v>
      </c>
      <c r="E378" s="63" t="s">
        <v>124</v>
      </c>
    </row>
    <row r="379" s="63" customFormat="1" spans="1:5">
      <c r="A379" s="63" t="s">
        <v>1367</v>
      </c>
      <c r="B379" s="63" t="s">
        <v>1367</v>
      </c>
      <c r="C379" s="63" t="s">
        <v>382</v>
      </c>
      <c r="E379" s="63" t="s">
        <v>124</v>
      </c>
    </row>
    <row r="380" s="63" customFormat="1" spans="1:5">
      <c r="A380" s="63" t="s">
        <v>411</v>
      </c>
      <c r="B380" s="63" t="s">
        <v>411</v>
      </c>
      <c r="C380" s="63" t="s">
        <v>382</v>
      </c>
      <c r="E380" s="63" t="s">
        <v>408</v>
      </c>
    </row>
    <row r="381" s="63" customFormat="1" spans="1:5">
      <c r="A381" s="63" t="s">
        <v>1368</v>
      </c>
      <c r="B381" s="63" t="s">
        <v>409</v>
      </c>
      <c r="C381" s="63" t="s">
        <v>382</v>
      </c>
      <c r="E381" s="63" t="s">
        <v>408</v>
      </c>
    </row>
    <row r="382" spans="1:5">
      <c r="A382" t="s">
        <v>1369</v>
      </c>
      <c r="C382" t="s">
        <v>1369</v>
      </c>
    </row>
    <row r="383" s="63" customFormat="1" spans="1:5">
      <c r="A383" s="63" t="s">
        <v>1370</v>
      </c>
      <c r="B383" s="63" t="s">
        <v>1370</v>
      </c>
      <c r="C383" s="63" t="s">
        <v>1369</v>
      </c>
      <c r="E383" s="63" t="s">
        <v>124</v>
      </c>
    </row>
    <row r="384" s="63" customFormat="1" spans="1:5">
      <c r="A384" s="63" t="s">
        <v>1371</v>
      </c>
      <c r="B384" s="63" t="s">
        <v>1371</v>
      </c>
      <c r="C384" s="63" t="s">
        <v>1369</v>
      </c>
      <c r="E384" s="63" t="s">
        <v>124</v>
      </c>
    </row>
    <row r="385" spans="1:5">
      <c r="A385" t="s">
        <v>1372</v>
      </c>
      <c r="C385" t="s">
        <v>1372</v>
      </c>
    </row>
    <row r="386" s="63" customFormat="1" spans="1:5">
      <c r="A386" s="63" t="s">
        <v>1373</v>
      </c>
      <c r="B386" s="63" t="s">
        <v>1373</v>
      </c>
      <c r="C386" s="63" t="s">
        <v>1372</v>
      </c>
      <c r="E386" s="63" t="s">
        <v>124</v>
      </c>
    </row>
    <row r="387" s="63" customFormat="1" spans="1:5">
      <c r="A387" s="63" t="s">
        <v>1374</v>
      </c>
      <c r="B387" s="63" t="s">
        <v>1374</v>
      </c>
      <c r="C387" s="63" t="s">
        <v>1372</v>
      </c>
      <c r="E387" s="63" t="s">
        <v>124</v>
      </c>
    </row>
    <row r="388" s="63" customFormat="1" spans="1:5">
      <c r="A388" s="63" t="s">
        <v>1375</v>
      </c>
      <c r="B388" s="63" t="s">
        <v>1375</v>
      </c>
      <c r="C388" s="63" t="s">
        <v>1372</v>
      </c>
      <c r="E388" s="63" t="s">
        <v>124</v>
      </c>
    </row>
    <row r="389" s="63" customFormat="1" spans="1:5">
      <c r="A389" s="63" t="s">
        <v>1376</v>
      </c>
      <c r="B389" s="63" t="s">
        <v>1376</v>
      </c>
      <c r="C389" s="63" t="s">
        <v>1372</v>
      </c>
      <c r="E389" s="63" t="s">
        <v>124</v>
      </c>
    </row>
    <row r="390" s="63" customFormat="1" spans="1:5">
      <c r="A390" s="63" t="s">
        <v>1377</v>
      </c>
      <c r="B390" s="63" t="s">
        <v>1378</v>
      </c>
      <c r="C390" s="63" t="s">
        <v>1372</v>
      </c>
      <c r="E390" s="63" t="s">
        <v>124</v>
      </c>
    </row>
    <row r="391" s="63" customFormat="1" spans="1:5">
      <c r="A391" s="63" t="s">
        <v>854</v>
      </c>
      <c r="B391" s="63" t="s">
        <v>854</v>
      </c>
      <c r="C391" s="63" t="s">
        <v>1372</v>
      </c>
      <c r="E391" s="63" t="s">
        <v>124</v>
      </c>
    </row>
    <row r="392" s="63" customFormat="1" spans="1:5">
      <c r="A392" s="63" t="s">
        <v>1379</v>
      </c>
      <c r="B392" s="63" t="s">
        <v>1380</v>
      </c>
      <c r="C392" s="63" t="s">
        <v>1372</v>
      </c>
      <c r="E392" s="63" t="s">
        <v>124</v>
      </c>
    </row>
    <row r="393" s="63" customFormat="1" spans="1:5">
      <c r="A393" s="63" t="s">
        <v>1381</v>
      </c>
      <c r="B393" s="63" t="s">
        <v>1382</v>
      </c>
      <c r="C393" s="63" t="s">
        <v>1372</v>
      </c>
      <c r="E393" s="63" t="s">
        <v>124</v>
      </c>
    </row>
    <row r="394" s="63" customFormat="1" spans="1:5">
      <c r="A394" s="63" t="s">
        <v>1383</v>
      </c>
      <c r="B394" s="63" t="s">
        <v>1384</v>
      </c>
      <c r="C394" s="63" t="s">
        <v>1372</v>
      </c>
      <c r="E394" s="63" t="s">
        <v>124</v>
      </c>
    </row>
    <row r="395" s="63" customFormat="1" spans="1:5">
      <c r="A395" s="63" t="s">
        <v>1385</v>
      </c>
      <c r="B395" s="63" t="s">
        <v>1386</v>
      </c>
      <c r="C395" s="63" t="s">
        <v>1372</v>
      </c>
      <c r="E395" s="63" t="s">
        <v>124</v>
      </c>
    </row>
    <row r="396" s="63" customFormat="1" spans="1:5">
      <c r="A396" s="63" t="s">
        <v>1387</v>
      </c>
      <c r="B396" s="63" t="s">
        <v>1387</v>
      </c>
      <c r="C396" s="63" t="s">
        <v>1372</v>
      </c>
      <c r="E396" s="63" t="s">
        <v>124</v>
      </c>
    </row>
    <row r="397" s="63" customFormat="1" spans="1:5">
      <c r="A397" s="63" t="s">
        <v>1388</v>
      </c>
      <c r="B397" s="63" t="s">
        <v>1389</v>
      </c>
      <c r="C397" s="63" t="s">
        <v>1372</v>
      </c>
      <c r="E397" s="63" t="s">
        <v>124</v>
      </c>
    </row>
    <row r="398" s="63" customFormat="1" spans="1:5">
      <c r="A398" s="63" t="s">
        <v>1390</v>
      </c>
      <c r="B398" s="63" t="s">
        <v>1391</v>
      </c>
      <c r="C398" s="63" t="s">
        <v>1372</v>
      </c>
      <c r="E398" s="63" t="s">
        <v>124</v>
      </c>
    </row>
    <row r="399" s="63" customFormat="1" spans="1:5">
      <c r="A399" s="63" t="s">
        <v>1392</v>
      </c>
      <c r="B399" s="63" t="s">
        <v>1392</v>
      </c>
      <c r="C399" s="63" t="s">
        <v>1372</v>
      </c>
      <c r="E399" s="63" t="s">
        <v>124</v>
      </c>
    </row>
    <row r="400" s="63" customFormat="1" spans="1:5">
      <c r="A400" s="63" t="s">
        <v>996</v>
      </c>
      <c r="B400" s="63" t="s">
        <v>996</v>
      </c>
      <c r="C400" s="63" t="s">
        <v>1372</v>
      </c>
      <c r="E400" s="63" t="s">
        <v>124</v>
      </c>
    </row>
    <row r="401" s="63" customFormat="1" spans="1:5">
      <c r="A401" s="63" t="s">
        <v>1393</v>
      </c>
      <c r="B401" s="63" t="s">
        <v>1393</v>
      </c>
      <c r="C401" s="63" t="s">
        <v>1372</v>
      </c>
      <c r="E401" s="63" t="s">
        <v>124</v>
      </c>
    </row>
    <row r="402" s="63" customFormat="1" spans="1:5">
      <c r="A402" s="63" t="s">
        <v>1394</v>
      </c>
      <c r="B402" s="63" t="s">
        <v>1394</v>
      </c>
      <c r="C402" s="63" t="s">
        <v>1372</v>
      </c>
      <c r="E402" s="63" t="s">
        <v>124</v>
      </c>
    </row>
    <row r="403" s="63" customFormat="1" spans="1:5">
      <c r="A403" s="63" t="s">
        <v>1395</v>
      </c>
      <c r="B403" s="63" t="s">
        <v>1395</v>
      </c>
      <c r="C403" s="63" t="s">
        <v>1372</v>
      </c>
      <c r="E403" s="63" t="s">
        <v>124</v>
      </c>
    </row>
    <row r="404" s="63" customFormat="1" spans="1:5">
      <c r="A404" s="63" t="s">
        <v>1396</v>
      </c>
      <c r="B404" s="63" t="s">
        <v>1397</v>
      </c>
      <c r="C404" s="63" t="s">
        <v>1372</v>
      </c>
      <c r="E404" s="63" t="s">
        <v>124</v>
      </c>
    </row>
    <row r="405" s="63" customFormat="1" spans="1:5">
      <c r="A405" s="63" t="s">
        <v>1398</v>
      </c>
      <c r="B405" s="63" t="s">
        <v>1399</v>
      </c>
      <c r="C405" s="63" t="s">
        <v>1372</v>
      </c>
      <c r="E405" s="63" t="s">
        <v>124</v>
      </c>
    </row>
    <row r="406" s="63" customFormat="1" spans="1:5">
      <c r="A406" s="63" t="s">
        <v>1400</v>
      </c>
      <c r="B406" s="63" t="s">
        <v>1400</v>
      </c>
      <c r="C406" s="63" t="s">
        <v>1372</v>
      </c>
      <c r="E406" s="63" t="s">
        <v>124</v>
      </c>
    </row>
    <row r="407" s="63" customFormat="1" spans="1:5">
      <c r="A407" s="63" t="s">
        <v>1401</v>
      </c>
      <c r="B407" s="63" t="s">
        <v>1401</v>
      </c>
      <c r="C407" s="63" t="s">
        <v>1372</v>
      </c>
      <c r="E407" s="63" t="s">
        <v>124</v>
      </c>
    </row>
    <row r="408" s="63" customFormat="1" spans="1:5">
      <c r="A408" s="63" t="s">
        <v>1402</v>
      </c>
      <c r="B408" s="63" t="s">
        <v>1403</v>
      </c>
      <c r="C408" s="63" t="s">
        <v>1372</v>
      </c>
      <c r="E408" s="63" t="s">
        <v>124</v>
      </c>
    </row>
    <row r="409" s="63" customFormat="1" spans="1:5">
      <c r="A409" s="63" t="s">
        <v>1404</v>
      </c>
      <c r="B409" s="63" t="s">
        <v>1404</v>
      </c>
      <c r="C409" s="63" t="s">
        <v>1372</v>
      </c>
      <c r="E409" s="63" t="s">
        <v>124</v>
      </c>
    </row>
    <row r="410" s="63" customFormat="1" spans="1:5">
      <c r="A410" s="63" t="s">
        <v>1405</v>
      </c>
      <c r="B410" s="63" t="s">
        <v>1405</v>
      </c>
      <c r="C410" s="63" t="s">
        <v>1372</v>
      </c>
      <c r="E410" s="63" t="s">
        <v>124</v>
      </c>
    </row>
    <row r="411" s="63" customFormat="1" spans="1:5">
      <c r="A411" s="63" t="s">
        <v>1406</v>
      </c>
      <c r="B411" s="63" t="s">
        <v>1406</v>
      </c>
      <c r="C411" s="63" t="s">
        <v>1372</v>
      </c>
      <c r="E411" s="63" t="s">
        <v>124</v>
      </c>
    </row>
    <row r="412" s="63" customFormat="1" spans="1:5">
      <c r="A412" s="63" t="s">
        <v>1407</v>
      </c>
      <c r="B412" s="63" t="s">
        <v>1407</v>
      </c>
      <c r="C412" s="63" t="s">
        <v>1372</v>
      </c>
      <c r="E412" s="63" t="s">
        <v>124</v>
      </c>
    </row>
    <row r="413" s="63" customFormat="1" spans="1:5">
      <c r="A413" s="63" t="s">
        <v>1408</v>
      </c>
      <c r="B413" s="63" t="s">
        <v>1409</v>
      </c>
      <c r="C413" s="63" t="s">
        <v>1372</v>
      </c>
      <c r="E413" s="63" t="s">
        <v>124</v>
      </c>
    </row>
    <row r="414" s="63" customFormat="1" spans="1:5">
      <c r="A414" s="63" t="s">
        <v>1410</v>
      </c>
      <c r="B414" s="63" t="s">
        <v>1410</v>
      </c>
      <c r="C414" s="63" t="s">
        <v>1372</v>
      </c>
      <c r="E414" s="63" t="s">
        <v>124</v>
      </c>
    </row>
    <row r="415" s="63" customFormat="1" spans="1:5">
      <c r="A415" s="63" t="s">
        <v>1411</v>
      </c>
      <c r="B415" s="63" t="s">
        <v>1411</v>
      </c>
      <c r="C415" s="63" t="s">
        <v>1372</v>
      </c>
      <c r="E415" s="63" t="s">
        <v>124</v>
      </c>
    </row>
    <row r="416" s="63" customFormat="1" spans="1:5">
      <c r="A416" s="63" t="s">
        <v>1412</v>
      </c>
      <c r="B416" s="63" t="s">
        <v>1412</v>
      </c>
      <c r="C416" s="63" t="s">
        <v>1372</v>
      </c>
      <c r="E416" s="63" t="s">
        <v>124</v>
      </c>
    </row>
    <row r="417" s="63" customFormat="1" spans="1:5">
      <c r="A417" s="63" t="s">
        <v>1413</v>
      </c>
      <c r="B417" s="63" t="s">
        <v>1414</v>
      </c>
      <c r="C417" s="63" t="s">
        <v>1372</v>
      </c>
      <c r="E417" s="63" t="s">
        <v>124</v>
      </c>
    </row>
    <row r="418" s="63" customFormat="1" spans="1:5">
      <c r="A418" s="63" t="s">
        <v>1415</v>
      </c>
      <c r="B418" s="63" t="s">
        <v>1416</v>
      </c>
      <c r="C418" s="63" t="s">
        <v>1372</v>
      </c>
      <c r="E418" s="63" t="s">
        <v>124</v>
      </c>
    </row>
    <row r="419" s="63" customFormat="1" spans="1:5">
      <c r="A419" s="63" t="s">
        <v>1417</v>
      </c>
      <c r="B419" s="63" t="s">
        <v>1418</v>
      </c>
      <c r="C419" s="63" t="s">
        <v>1372</v>
      </c>
      <c r="E419" s="63" t="s">
        <v>124</v>
      </c>
    </row>
    <row r="420" s="63" customFormat="1" spans="1:5">
      <c r="A420" s="63" t="s">
        <v>1419</v>
      </c>
      <c r="B420" s="63" t="s">
        <v>1420</v>
      </c>
      <c r="C420" s="63" t="s">
        <v>1372</v>
      </c>
      <c r="E420" s="63" t="s">
        <v>124</v>
      </c>
    </row>
    <row r="421" s="63" customFormat="1" spans="1:5">
      <c r="A421" s="63" t="s">
        <v>1421</v>
      </c>
      <c r="B421" s="63" t="s">
        <v>1422</v>
      </c>
      <c r="C421" s="63" t="s">
        <v>1372</v>
      </c>
      <c r="E421" s="63" t="s">
        <v>124</v>
      </c>
    </row>
    <row r="422" s="63" customFormat="1" spans="1:5">
      <c r="A422" s="63" t="s">
        <v>1423</v>
      </c>
      <c r="B422" s="63" t="s">
        <v>1423</v>
      </c>
      <c r="C422" s="63" t="s">
        <v>1372</v>
      </c>
      <c r="E422" s="63" t="s">
        <v>124</v>
      </c>
    </row>
    <row r="423" s="63" customFormat="1" spans="1:5">
      <c r="A423" s="63" t="s">
        <v>1424</v>
      </c>
      <c r="B423" s="63" t="s">
        <v>1424</v>
      </c>
      <c r="C423" s="63" t="s">
        <v>1372</v>
      </c>
      <c r="E423" s="63" t="s">
        <v>124</v>
      </c>
    </row>
    <row r="424" s="63" customFormat="1" spans="1:5">
      <c r="A424" s="63" t="s">
        <v>1425</v>
      </c>
      <c r="B424" s="63" t="s">
        <v>1425</v>
      </c>
      <c r="C424" s="63" t="s">
        <v>1372</v>
      </c>
      <c r="E424" s="63" t="s">
        <v>124</v>
      </c>
    </row>
    <row r="425" s="63" customFormat="1" spans="1:5">
      <c r="A425" s="63" t="s">
        <v>1426</v>
      </c>
      <c r="B425" s="63" t="s">
        <v>1427</v>
      </c>
      <c r="C425" s="63" t="s">
        <v>1372</v>
      </c>
      <c r="E425" s="63" t="s">
        <v>124</v>
      </c>
    </row>
    <row r="426" s="63" customFormat="1" spans="1:5">
      <c r="A426" s="63" t="s">
        <v>1428</v>
      </c>
      <c r="B426" s="63" t="s">
        <v>1429</v>
      </c>
      <c r="C426" s="63" t="s">
        <v>1372</v>
      </c>
      <c r="E426" s="63" t="s">
        <v>124</v>
      </c>
    </row>
    <row r="427" s="63" customFormat="1" spans="1:5">
      <c r="A427" s="63" t="s">
        <v>742</v>
      </c>
      <c r="B427" s="63" t="s">
        <v>742</v>
      </c>
      <c r="C427" s="63" t="s">
        <v>1372</v>
      </c>
      <c r="E427" s="63" t="s">
        <v>124</v>
      </c>
    </row>
    <row r="428" s="63" customFormat="1" spans="1:5">
      <c r="A428" s="63" t="s">
        <v>1430</v>
      </c>
      <c r="B428" s="63" t="s">
        <v>1431</v>
      </c>
      <c r="C428" s="63" t="s">
        <v>1372</v>
      </c>
      <c r="E428" s="63" t="s">
        <v>124</v>
      </c>
    </row>
    <row r="429" s="63" customFormat="1" spans="1:5">
      <c r="A429" s="63" t="s">
        <v>1432</v>
      </c>
      <c r="B429" s="63" t="s">
        <v>1433</v>
      </c>
      <c r="C429" s="63" t="s">
        <v>1372</v>
      </c>
      <c r="E429" s="63" t="s">
        <v>124</v>
      </c>
    </row>
    <row r="430" s="63" customFormat="1" spans="1:5">
      <c r="A430" s="63" t="s">
        <v>1434</v>
      </c>
      <c r="B430" s="63" t="s">
        <v>678</v>
      </c>
      <c r="C430" s="63" t="s">
        <v>1372</v>
      </c>
      <c r="E430" s="63" t="s">
        <v>124</v>
      </c>
    </row>
    <row r="431" s="63" customFormat="1" spans="1:5">
      <c r="A431" s="63" t="s">
        <v>1435</v>
      </c>
      <c r="B431" s="63" t="s">
        <v>1435</v>
      </c>
      <c r="C431" s="63" t="s">
        <v>1372</v>
      </c>
      <c r="E431" s="63" t="s">
        <v>124</v>
      </c>
    </row>
    <row r="432" s="63" customFormat="1" spans="1:5">
      <c r="A432" s="63" t="s">
        <v>1436</v>
      </c>
      <c r="B432" s="63" t="s">
        <v>1436</v>
      </c>
      <c r="C432" s="63" t="s">
        <v>1372</v>
      </c>
      <c r="E432" s="63" t="s">
        <v>124</v>
      </c>
    </row>
    <row r="433" s="63" customFormat="1" spans="1:5">
      <c r="A433" s="63" t="s">
        <v>1437</v>
      </c>
      <c r="B433" s="63" t="s">
        <v>1437</v>
      </c>
      <c r="C433" s="63" t="s">
        <v>1372</v>
      </c>
      <c r="E433" s="63" t="s">
        <v>124</v>
      </c>
    </row>
    <row r="434" s="63" customFormat="1" spans="1:5">
      <c r="A434" s="63" t="s">
        <v>853</v>
      </c>
      <c r="B434" s="63" t="s">
        <v>853</v>
      </c>
      <c r="C434" s="63" t="s">
        <v>1372</v>
      </c>
      <c r="E434" s="63" t="s">
        <v>124</v>
      </c>
    </row>
    <row r="435" s="63" customFormat="1" spans="1:5">
      <c r="A435" s="63" t="s">
        <v>856</v>
      </c>
      <c r="B435" s="63" t="s">
        <v>856</v>
      </c>
      <c r="C435" s="63" t="s">
        <v>1372</v>
      </c>
      <c r="E435" s="63" t="s">
        <v>124</v>
      </c>
    </row>
    <row r="436" s="63" customFormat="1" spans="1:5">
      <c r="A436" s="63" t="s">
        <v>1438</v>
      </c>
      <c r="B436" s="63" t="s">
        <v>1438</v>
      </c>
      <c r="C436" s="63" t="s">
        <v>1372</v>
      </c>
      <c r="E436" s="63" t="s">
        <v>124</v>
      </c>
    </row>
    <row r="437" s="63" customFormat="1" spans="1:5">
      <c r="A437" s="63" t="s">
        <v>1439</v>
      </c>
      <c r="B437" s="63" t="s">
        <v>304</v>
      </c>
      <c r="C437" s="63" t="s">
        <v>1372</v>
      </c>
      <c r="E437" s="63" t="s">
        <v>124</v>
      </c>
    </row>
    <row r="438" s="63" customFormat="1" spans="1:5">
      <c r="A438" s="63" t="s">
        <v>1440</v>
      </c>
      <c r="B438" s="63" t="s">
        <v>1440</v>
      </c>
      <c r="C438" s="63" t="s">
        <v>1372</v>
      </c>
      <c r="E438" s="63" t="s">
        <v>124</v>
      </c>
    </row>
    <row r="439" s="63" customFormat="1" spans="1:5">
      <c r="A439" s="63" t="s">
        <v>1441</v>
      </c>
      <c r="B439" s="63" t="s">
        <v>1441</v>
      </c>
      <c r="C439" s="63" t="s">
        <v>1372</v>
      </c>
      <c r="E439" s="63" t="s">
        <v>124</v>
      </c>
    </row>
    <row r="440" s="63" customFormat="1" spans="1:5">
      <c r="A440" s="63" t="s">
        <v>1442</v>
      </c>
      <c r="B440" s="63" t="s">
        <v>1442</v>
      </c>
      <c r="C440" s="63" t="s">
        <v>1372</v>
      </c>
      <c r="E440" s="63" t="s">
        <v>124</v>
      </c>
    </row>
    <row r="441" s="63" customFormat="1" spans="1:5">
      <c r="A441" s="63" t="s">
        <v>1443</v>
      </c>
      <c r="B441" s="63" t="s">
        <v>1444</v>
      </c>
      <c r="C441" s="63" t="s">
        <v>1372</v>
      </c>
      <c r="E441" s="63" t="s">
        <v>124</v>
      </c>
    </row>
    <row r="442" s="63" customFormat="1" spans="1:5">
      <c r="A442" s="63" t="s">
        <v>1445</v>
      </c>
      <c r="B442" s="63" t="s">
        <v>1446</v>
      </c>
      <c r="C442" s="63" t="s">
        <v>1372</v>
      </c>
      <c r="E442" s="63" t="s">
        <v>124</v>
      </c>
    </row>
    <row r="443" s="63" customFormat="1" spans="1:5">
      <c r="A443" s="63" t="s">
        <v>1447</v>
      </c>
      <c r="B443" s="63" t="s">
        <v>1448</v>
      </c>
      <c r="C443" s="63" t="s">
        <v>1372</v>
      </c>
      <c r="E443" s="63" t="s">
        <v>124</v>
      </c>
    </row>
    <row r="444" s="63" customFormat="1" spans="1:5">
      <c r="A444" s="63" t="s">
        <v>1449</v>
      </c>
      <c r="B444" s="63" t="s">
        <v>1449</v>
      </c>
      <c r="C444" s="63" t="s">
        <v>1372</v>
      </c>
      <c r="E444" s="63" t="s">
        <v>124</v>
      </c>
    </row>
    <row r="445" s="63" customFormat="1" spans="1:5">
      <c r="A445" s="63" t="s">
        <v>1450</v>
      </c>
      <c r="B445" s="63" t="s">
        <v>1450</v>
      </c>
      <c r="C445" s="63" t="s">
        <v>1372</v>
      </c>
      <c r="E445" s="63" t="s">
        <v>124</v>
      </c>
    </row>
    <row r="446" s="63" customFormat="1" spans="1:5">
      <c r="A446" s="63" t="s">
        <v>1451</v>
      </c>
      <c r="B446" s="63" t="s">
        <v>1451</v>
      </c>
      <c r="C446" s="63" t="s">
        <v>1372</v>
      </c>
      <c r="E446" s="63" t="s">
        <v>124</v>
      </c>
    </row>
    <row r="447" s="63" customFormat="1" spans="1:5">
      <c r="A447" s="63" t="s">
        <v>1452</v>
      </c>
      <c r="B447" s="63" t="s">
        <v>1452</v>
      </c>
      <c r="C447" s="63" t="s">
        <v>1372</v>
      </c>
      <c r="E447" s="63" t="s">
        <v>124</v>
      </c>
    </row>
    <row r="448" s="63" customFormat="1" spans="1:5">
      <c r="A448" s="63" t="s">
        <v>1453</v>
      </c>
      <c r="B448" s="63" t="s">
        <v>1453</v>
      </c>
      <c r="C448" s="63" t="s">
        <v>1372</v>
      </c>
      <c r="E448" s="63" t="s">
        <v>124</v>
      </c>
    </row>
    <row r="449" s="63" customFormat="1" spans="1:5">
      <c r="A449" s="63" t="s">
        <v>1454</v>
      </c>
      <c r="B449" s="63" t="s">
        <v>1455</v>
      </c>
      <c r="C449" s="63" t="s">
        <v>1372</v>
      </c>
      <c r="E449" s="63" t="s">
        <v>124</v>
      </c>
    </row>
    <row r="450" s="63" customFormat="1" spans="1:5">
      <c r="A450" s="63" t="s">
        <v>1456</v>
      </c>
      <c r="B450" s="63" t="s">
        <v>1457</v>
      </c>
      <c r="C450" s="63" t="s">
        <v>1372</v>
      </c>
      <c r="E450" s="63" t="s">
        <v>124</v>
      </c>
    </row>
    <row r="451" s="63" customFormat="1" spans="1:5">
      <c r="A451" s="63" t="s">
        <v>1458</v>
      </c>
      <c r="B451" s="63" t="s">
        <v>1458</v>
      </c>
      <c r="C451" s="63" t="s">
        <v>1372</v>
      </c>
      <c r="E451" s="63" t="s">
        <v>124</v>
      </c>
    </row>
    <row r="452" s="63" customFormat="1" spans="1:5">
      <c r="A452" s="63" t="s">
        <v>1459</v>
      </c>
      <c r="B452" s="63" t="s">
        <v>1459</v>
      </c>
      <c r="C452" s="63" t="s">
        <v>1372</v>
      </c>
      <c r="E452" s="63" t="s">
        <v>124</v>
      </c>
    </row>
    <row r="453" spans="1:5">
      <c r="A453" t="s">
        <v>212</v>
      </c>
      <c r="C453" t="s">
        <v>212</v>
      </c>
    </row>
    <row r="454" s="63" customFormat="1" spans="1:5">
      <c r="A454" s="63" t="s">
        <v>214</v>
      </c>
      <c r="B454" s="63" t="s">
        <v>214</v>
      </c>
      <c r="C454" s="63" t="s">
        <v>212</v>
      </c>
      <c r="E454" s="63" t="s">
        <v>124</v>
      </c>
    </row>
    <row r="455" s="83" customFormat="1" spans="1:5">
      <c r="A455" s="83" t="s">
        <v>44</v>
      </c>
      <c r="C455" s="83" t="s">
        <v>44</v>
      </c>
    </row>
    <row r="456" s="63" customFormat="1" spans="1:5">
      <c r="A456" s="63" t="s">
        <v>1460</v>
      </c>
      <c r="B456" s="63" t="s">
        <v>1461</v>
      </c>
      <c r="C456" s="63" t="s">
        <v>44</v>
      </c>
      <c r="E456" s="63" t="s">
        <v>329</v>
      </c>
    </row>
    <row r="457" s="63" customFormat="1" spans="1:5">
      <c r="A457" s="63" t="s">
        <v>1462</v>
      </c>
      <c r="B457" s="63" t="s">
        <v>1462</v>
      </c>
      <c r="C457" s="63" t="s">
        <v>44</v>
      </c>
      <c r="E457" s="63" t="s">
        <v>1124</v>
      </c>
    </row>
    <row r="458" s="63" customFormat="1" spans="1:5">
      <c r="A458" s="63" t="s">
        <v>1463</v>
      </c>
      <c r="B458" s="63" t="s">
        <v>1463</v>
      </c>
      <c r="C458" s="63" t="s">
        <v>44</v>
      </c>
      <c r="E458" s="63" t="s">
        <v>1124</v>
      </c>
    </row>
    <row r="459" s="63" customFormat="1" spans="1:5">
      <c r="A459" s="63" t="s">
        <v>1464</v>
      </c>
      <c r="B459" s="63" t="s">
        <v>1464</v>
      </c>
      <c r="C459" s="63" t="s">
        <v>44</v>
      </c>
      <c r="E459" s="63" t="s">
        <v>1124</v>
      </c>
    </row>
    <row r="460" s="63" customFormat="1" spans="1:5">
      <c r="A460" s="63" t="s">
        <v>1465</v>
      </c>
      <c r="B460" s="63" t="s">
        <v>1465</v>
      </c>
      <c r="C460" s="63" t="s">
        <v>44</v>
      </c>
      <c r="E460" s="63" t="s">
        <v>1124</v>
      </c>
    </row>
    <row r="461" s="63" customFormat="1" spans="1:5">
      <c r="A461" s="63" t="s">
        <v>1466</v>
      </c>
      <c r="B461" s="63" t="s">
        <v>1466</v>
      </c>
      <c r="C461" s="63" t="s">
        <v>44</v>
      </c>
      <c r="E461" s="63" t="s">
        <v>1124</v>
      </c>
    </row>
    <row r="462" s="63" customFormat="1" spans="1:5">
      <c r="A462" s="63" t="s">
        <v>1467</v>
      </c>
      <c r="B462" s="63" t="s">
        <v>1467</v>
      </c>
      <c r="C462" s="63" t="s">
        <v>44</v>
      </c>
      <c r="E462" s="63" t="s">
        <v>1124</v>
      </c>
    </row>
    <row r="463" s="63" customFormat="1" spans="1:5">
      <c r="A463" s="63" t="s">
        <v>1468</v>
      </c>
      <c r="B463" s="63" t="s">
        <v>1468</v>
      </c>
      <c r="C463" s="63" t="s">
        <v>44</v>
      </c>
      <c r="E463" s="63" t="s">
        <v>1124</v>
      </c>
    </row>
    <row r="464" s="63" customFormat="1" spans="1:5">
      <c r="A464" s="63" t="s">
        <v>1469</v>
      </c>
      <c r="B464" s="63" t="s">
        <v>1469</v>
      </c>
      <c r="C464" s="63" t="s">
        <v>44</v>
      </c>
      <c r="E464" s="63" t="s">
        <v>1124</v>
      </c>
    </row>
    <row r="465" s="63" customFormat="1" spans="1:5">
      <c r="A465" s="63" t="s">
        <v>1470</v>
      </c>
      <c r="B465" s="63" t="s">
        <v>1470</v>
      </c>
      <c r="C465" s="63" t="s">
        <v>44</v>
      </c>
      <c r="E465" s="63" t="s">
        <v>1124</v>
      </c>
    </row>
    <row r="466" s="63" customFormat="1" spans="1:5">
      <c r="A466" s="63" t="s">
        <v>1471</v>
      </c>
      <c r="B466" s="63" t="s">
        <v>1471</v>
      </c>
      <c r="C466" s="63" t="s">
        <v>44</v>
      </c>
      <c r="E466" s="63" t="s">
        <v>1124</v>
      </c>
    </row>
    <row r="467" s="63" customFormat="1" spans="1:5">
      <c r="A467" s="63" t="s">
        <v>1472</v>
      </c>
      <c r="B467" s="63" t="s">
        <v>1472</v>
      </c>
      <c r="C467" s="63" t="s">
        <v>44</v>
      </c>
      <c r="E467" s="63" t="s">
        <v>1124</v>
      </c>
    </row>
    <row r="468" s="63" customFormat="1" spans="1:5">
      <c r="A468" s="63" t="s">
        <v>1473</v>
      </c>
      <c r="B468" s="63" t="s">
        <v>1473</v>
      </c>
      <c r="C468" s="63" t="s">
        <v>44</v>
      </c>
      <c r="E468" s="63" t="s">
        <v>1124</v>
      </c>
    </row>
    <row r="469" s="63" customFormat="1" spans="1:5">
      <c r="A469" s="63" t="s">
        <v>1474</v>
      </c>
      <c r="B469" s="63" t="s">
        <v>1474</v>
      </c>
      <c r="C469" s="63" t="s">
        <v>44</v>
      </c>
      <c r="E469" s="63" t="s">
        <v>124</v>
      </c>
    </row>
    <row r="470" s="63" customFormat="1" spans="1:5">
      <c r="A470" s="63" t="s">
        <v>1475</v>
      </c>
      <c r="B470" s="63" t="s">
        <v>1475</v>
      </c>
      <c r="C470" s="63" t="s">
        <v>44</v>
      </c>
      <c r="E470" s="63" t="s">
        <v>1124</v>
      </c>
    </row>
    <row r="471" s="63" customFormat="1" spans="1:5">
      <c r="A471" s="63" t="s">
        <v>1476</v>
      </c>
      <c r="B471" s="63" t="s">
        <v>1476</v>
      </c>
      <c r="C471" s="63" t="s">
        <v>44</v>
      </c>
      <c r="E471" s="63" t="s">
        <v>124</v>
      </c>
    </row>
    <row r="472" s="63" customFormat="1" spans="1:5">
      <c r="A472" s="63" t="s">
        <v>1477</v>
      </c>
      <c r="B472" s="63" t="s">
        <v>1477</v>
      </c>
      <c r="C472" s="63" t="s">
        <v>44</v>
      </c>
      <c r="E472" s="63" t="s">
        <v>1124</v>
      </c>
    </row>
    <row r="473" s="63" customFormat="1" spans="1:5">
      <c r="A473" s="63" t="s">
        <v>1478</v>
      </c>
      <c r="B473" s="63" t="s">
        <v>1478</v>
      </c>
      <c r="C473" s="63" t="s">
        <v>44</v>
      </c>
      <c r="E473" s="63" t="s">
        <v>1124</v>
      </c>
    </row>
    <row r="474" s="63" customFormat="1" spans="1:5">
      <c r="A474" s="63" t="s">
        <v>1479</v>
      </c>
      <c r="B474" s="63" t="s">
        <v>1479</v>
      </c>
      <c r="C474" s="63" t="s">
        <v>44</v>
      </c>
      <c r="E474" s="63" t="s">
        <v>1124</v>
      </c>
    </row>
    <row r="475" spans="1:5">
      <c r="A475" t="s">
        <v>1480</v>
      </c>
      <c r="C475" t="s">
        <v>1480</v>
      </c>
    </row>
    <row r="476" s="63" customFormat="1" spans="1:5">
      <c r="A476" s="63" t="s">
        <v>1481</v>
      </c>
      <c r="B476" s="63" t="s">
        <v>1482</v>
      </c>
      <c r="C476" s="63" t="s">
        <v>1480</v>
      </c>
      <c r="E476" s="63" t="s">
        <v>124</v>
      </c>
    </row>
    <row r="477" spans="1:5">
      <c r="A477" t="s">
        <v>1483</v>
      </c>
      <c r="B477" t="s">
        <v>1484</v>
      </c>
      <c r="C477" t="s">
        <v>1480</v>
      </c>
      <c r="E477" t="s">
        <v>124</v>
      </c>
    </row>
    <row r="478" s="63" customFormat="1" spans="1:5">
      <c r="A478" s="63" t="s">
        <v>1485</v>
      </c>
      <c r="B478" s="63" t="s">
        <v>1486</v>
      </c>
      <c r="C478" s="63" t="s">
        <v>1480</v>
      </c>
      <c r="E478" s="63" t="s">
        <v>124</v>
      </c>
    </row>
    <row r="479" s="63" customFormat="1" spans="1:5">
      <c r="A479" s="63" t="s">
        <v>1487</v>
      </c>
      <c r="B479" s="63" t="s">
        <v>1488</v>
      </c>
      <c r="C479" s="63" t="s">
        <v>1480</v>
      </c>
      <c r="E479" s="63" t="s">
        <v>124</v>
      </c>
    </row>
    <row r="480" s="63" customFormat="1" spans="1:5">
      <c r="A480" s="63" t="s">
        <v>248</v>
      </c>
      <c r="B480" s="63" t="s">
        <v>1489</v>
      </c>
      <c r="C480" s="63" t="s">
        <v>1480</v>
      </c>
      <c r="E480" s="63" t="s">
        <v>124</v>
      </c>
    </row>
    <row r="481" s="63" customFormat="1" spans="1:5">
      <c r="A481" s="63" t="s">
        <v>1490</v>
      </c>
      <c r="B481" s="63" t="s">
        <v>1491</v>
      </c>
      <c r="C481" s="63" t="s">
        <v>1480</v>
      </c>
      <c r="E481" s="63" t="s">
        <v>124</v>
      </c>
    </row>
    <row r="482" s="63" customFormat="1" spans="1:5">
      <c r="A482" s="63" t="s">
        <v>251</v>
      </c>
      <c r="B482" s="63" t="s">
        <v>1492</v>
      </c>
      <c r="C482" s="63" t="s">
        <v>1480</v>
      </c>
      <c r="E482" s="63" t="s">
        <v>124</v>
      </c>
    </row>
    <row r="483" spans="1:5">
      <c r="A483" t="s">
        <v>1493</v>
      </c>
      <c r="C483" t="s">
        <v>1493</v>
      </c>
    </row>
    <row r="484" spans="1:5">
      <c r="A484" t="s">
        <v>1494</v>
      </c>
      <c r="B484" t="s">
        <v>1495</v>
      </c>
      <c r="C484" t="s">
        <v>1493</v>
      </c>
      <c r="E484" t="s">
        <v>1124</v>
      </c>
    </row>
    <row r="485" spans="1:5">
      <c r="A485" t="s">
        <v>596</v>
      </c>
      <c r="C485" t="s">
        <v>596</v>
      </c>
    </row>
    <row r="486" s="63" customFormat="1" spans="1:5">
      <c r="A486" s="63" t="s">
        <v>1496</v>
      </c>
      <c r="B486" s="63" t="s">
        <v>1496</v>
      </c>
      <c r="C486" s="63" t="s">
        <v>596</v>
      </c>
      <c r="E486" s="63" t="s">
        <v>124</v>
      </c>
    </row>
    <row r="487" s="63" customFormat="1" spans="1:5">
      <c r="A487" s="63" t="s">
        <v>1497</v>
      </c>
      <c r="B487" s="63" t="s">
        <v>495</v>
      </c>
      <c r="C487" s="63" t="s">
        <v>596</v>
      </c>
      <c r="E487" s="63" t="s">
        <v>124</v>
      </c>
    </row>
    <row r="488" s="63" customFormat="1" spans="1:5">
      <c r="A488" s="63" t="s">
        <v>1498</v>
      </c>
      <c r="B488" s="63" t="s">
        <v>718</v>
      </c>
      <c r="C488" s="63" t="s">
        <v>596</v>
      </c>
      <c r="E488" s="63" t="s">
        <v>124</v>
      </c>
    </row>
    <row r="489" s="63" customFormat="1" spans="1:5">
      <c r="A489" s="63" t="s">
        <v>1499</v>
      </c>
      <c r="B489" s="63" t="s">
        <v>719</v>
      </c>
      <c r="C489" s="63" t="s">
        <v>596</v>
      </c>
      <c r="E489" s="63" t="s">
        <v>124</v>
      </c>
    </row>
    <row r="490" s="63" customFormat="1" spans="1:5">
      <c r="A490" s="63" t="s">
        <v>1500</v>
      </c>
      <c r="B490" s="63" t="s">
        <v>720</v>
      </c>
      <c r="C490" s="63" t="s">
        <v>596</v>
      </c>
      <c r="E490" s="63" t="s">
        <v>124</v>
      </c>
    </row>
    <row r="491" s="63" customFormat="1" spans="1:5">
      <c r="A491" s="63" t="s">
        <v>1501</v>
      </c>
      <c r="B491" s="63" t="s">
        <v>1502</v>
      </c>
      <c r="C491" s="63" t="s">
        <v>596</v>
      </c>
      <c r="E491" s="63" t="s">
        <v>124</v>
      </c>
    </row>
    <row r="492" s="63" customFormat="1" spans="1:5">
      <c r="A492" s="63" t="s">
        <v>1503</v>
      </c>
      <c r="B492" s="63" t="s">
        <v>721</v>
      </c>
      <c r="C492" s="63" t="s">
        <v>596</v>
      </c>
      <c r="E492" s="63" t="s">
        <v>124</v>
      </c>
    </row>
    <row r="493" s="63" customFormat="1" spans="1:5">
      <c r="A493" s="63" t="s">
        <v>297</v>
      </c>
      <c r="B493" s="63" t="s">
        <v>297</v>
      </c>
      <c r="C493" s="63" t="s">
        <v>596</v>
      </c>
      <c r="E493" s="63" t="s">
        <v>124</v>
      </c>
    </row>
    <row r="494" spans="1:5">
      <c r="A494" t="s">
        <v>1504</v>
      </c>
      <c r="B494" t="s">
        <v>680</v>
      </c>
      <c r="C494" t="s">
        <v>596</v>
      </c>
      <c r="E494" t="s">
        <v>124</v>
      </c>
    </row>
    <row r="495" spans="1:5">
      <c r="A495" t="s">
        <v>1505</v>
      </c>
      <c r="B495" t="s">
        <v>681</v>
      </c>
      <c r="C495" t="s">
        <v>596</v>
      </c>
      <c r="E495" t="s">
        <v>124</v>
      </c>
    </row>
    <row r="496" spans="1:5">
      <c r="A496" t="s">
        <v>1506</v>
      </c>
      <c r="B496" t="s">
        <v>1506</v>
      </c>
      <c r="C496" t="s">
        <v>596</v>
      </c>
      <c r="E496" t="s">
        <v>124</v>
      </c>
    </row>
    <row r="497" spans="1:5">
      <c r="A497" t="s">
        <v>1507</v>
      </c>
      <c r="B497" t="s">
        <v>698</v>
      </c>
      <c r="C497" t="s">
        <v>596</v>
      </c>
      <c r="E497" t="s">
        <v>124</v>
      </c>
    </row>
    <row r="498" spans="1:5">
      <c r="A498" t="s">
        <v>1508</v>
      </c>
      <c r="B498" t="s">
        <v>429</v>
      </c>
      <c r="C498" t="s">
        <v>596</v>
      </c>
      <c r="E498" t="s">
        <v>124</v>
      </c>
    </row>
    <row r="499" spans="1:5">
      <c r="A499" t="s">
        <v>995</v>
      </c>
      <c r="B499" t="s">
        <v>995</v>
      </c>
      <c r="C499" t="s">
        <v>596</v>
      </c>
      <c r="E499" t="s">
        <v>124</v>
      </c>
    </row>
    <row r="500" spans="1:5">
      <c r="A500" t="s">
        <v>493</v>
      </c>
      <c r="B500" t="s">
        <v>493</v>
      </c>
      <c r="C500" t="s">
        <v>596</v>
      </c>
      <c r="E500" t="s">
        <v>124</v>
      </c>
    </row>
    <row r="501" spans="1:5">
      <c r="A501" t="s">
        <v>1509</v>
      </c>
      <c r="B501" t="s">
        <v>1510</v>
      </c>
      <c r="C501" t="s">
        <v>596</v>
      </c>
      <c r="E501" t="s">
        <v>124</v>
      </c>
    </row>
    <row r="502" spans="1:5">
      <c r="A502" t="s">
        <v>1511</v>
      </c>
      <c r="B502" t="s">
        <v>1511</v>
      </c>
      <c r="C502" t="s">
        <v>596</v>
      </c>
      <c r="E502" t="s">
        <v>124</v>
      </c>
    </row>
    <row r="503" spans="1:5">
      <c r="A503" t="s">
        <v>1512</v>
      </c>
      <c r="B503" t="s">
        <v>1512</v>
      </c>
      <c r="C503" t="s">
        <v>596</v>
      </c>
      <c r="E503" t="s">
        <v>124</v>
      </c>
    </row>
    <row r="504" spans="1:5">
      <c r="A504" t="s">
        <v>659</v>
      </c>
      <c r="B504" t="s">
        <v>659</v>
      </c>
      <c r="C504" t="s">
        <v>596</v>
      </c>
      <c r="E504" t="s">
        <v>329</v>
      </c>
    </row>
    <row r="505" spans="1:5">
      <c r="A505" t="s">
        <v>1513</v>
      </c>
      <c r="B505" t="s">
        <v>1513</v>
      </c>
      <c r="C505" t="s">
        <v>596</v>
      </c>
      <c r="E505" t="s">
        <v>598</v>
      </c>
    </row>
    <row r="506" spans="1:5">
      <c r="A506" t="s">
        <v>1514</v>
      </c>
      <c r="B506" t="s">
        <v>1515</v>
      </c>
      <c r="C506" t="s">
        <v>596</v>
      </c>
      <c r="E506" t="s">
        <v>124</v>
      </c>
    </row>
    <row r="507" spans="1:5">
      <c r="A507" t="s">
        <v>1516</v>
      </c>
      <c r="B507" t="s">
        <v>1517</v>
      </c>
      <c r="C507" t="s">
        <v>596</v>
      </c>
      <c r="E507" t="s">
        <v>124</v>
      </c>
    </row>
    <row r="508" spans="1:5">
      <c r="A508" t="s">
        <v>1518</v>
      </c>
      <c r="B508" t="s">
        <v>1519</v>
      </c>
      <c r="C508" t="s">
        <v>596</v>
      </c>
      <c r="E508" t="s">
        <v>124</v>
      </c>
    </row>
    <row r="509" spans="1:5">
      <c r="A509" t="s">
        <v>1520</v>
      </c>
      <c r="B509" t="s">
        <v>1520</v>
      </c>
      <c r="C509" t="s">
        <v>596</v>
      </c>
      <c r="E509" t="s">
        <v>124</v>
      </c>
    </row>
    <row r="510" s="63" customFormat="1" spans="1:5">
      <c r="A510" s="63" t="s">
        <v>1521</v>
      </c>
      <c r="B510" s="63" t="s">
        <v>1522</v>
      </c>
      <c r="C510" s="63" t="s">
        <v>596</v>
      </c>
      <c r="E510" s="63" t="s">
        <v>522</v>
      </c>
    </row>
    <row r="511" s="63" customFormat="1" spans="1:5">
      <c r="A511" s="63" t="s">
        <v>579</v>
      </c>
      <c r="B511" s="63" t="s">
        <v>1523</v>
      </c>
      <c r="C511" s="63" t="s">
        <v>596</v>
      </c>
      <c r="E511" s="63" t="s">
        <v>522</v>
      </c>
    </row>
    <row r="512" spans="1:5">
      <c r="A512" t="s">
        <v>1524</v>
      </c>
      <c r="B512" t="s">
        <v>675</v>
      </c>
      <c r="C512" t="s">
        <v>596</v>
      </c>
      <c r="E512" t="s">
        <v>124</v>
      </c>
    </row>
    <row r="513" spans="1:5">
      <c r="A513" t="s">
        <v>609</v>
      </c>
      <c r="B513" t="s">
        <v>609</v>
      </c>
      <c r="C513" t="s">
        <v>596</v>
      </c>
      <c r="E513" t="s">
        <v>524</v>
      </c>
    </row>
    <row r="514" spans="1:5">
      <c r="A514" t="s">
        <v>1525</v>
      </c>
      <c r="B514" t="s">
        <v>1526</v>
      </c>
      <c r="C514" t="s">
        <v>596</v>
      </c>
      <c r="E514" t="s">
        <v>124</v>
      </c>
    </row>
    <row r="515" spans="1:5">
      <c r="A515" t="s">
        <v>1527</v>
      </c>
      <c r="B515" t="s">
        <v>679</v>
      </c>
      <c r="C515" t="s">
        <v>596</v>
      </c>
      <c r="E515" t="s">
        <v>124</v>
      </c>
    </row>
    <row r="516" spans="1:5">
      <c r="A516" t="s">
        <v>1528</v>
      </c>
      <c r="B516" t="s">
        <v>682</v>
      </c>
      <c r="C516" t="s">
        <v>596</v>
      </c>
      <c r="E516" t="s">
        <v>124</v>
      </c>
    </row>
    <row r="517" spans="1:5">
      <c r="A517" t="s">
        <v>1529</v>
      </c>
      <c r="C517" t="s">
        <v>1529</v>
      </c>
    </row>
    <row r="518" s="63" customFormat="1" spans="1:5">
      <c r="A518" s="63" t="s">
        <v>1530</v>
      </c>
      <c r="B518" s="63" t="s">
        <v>1531</v>
      </c>
      <c r="C518" s="63" t="s">
        <v>1529</v>
      </c>
      <c r="E518" s="63" t="s">
        <v>805</v>
      </c>
    </row>
    <row r="519" s="63" customFormat="1" spans="1:5">
      <c r="A519" s="63" t="s">
        <v>1532</v>
      </c>
      <c r="B519" s="63" t="s">
        <v>1532</v>
      </c>
      <c r="C519" s="63" t="s">
        <v>1529</v>
      </c>
      <c r="E519" s="63" t="s">
        <v>124</v>
      </c>
    </row>
    <row r="520" s="63" customFormat="1" spans="1:5">
      <c r="A520" s="63" t="s">
        <v>1533</v>
      </c>
      <c r="B520" s="63" t="s">
        <v>1534</v>
      </c>
      <c r="C520" s="63" t="s">
        <v>1529</v>
      </c>
      <c r="E520" s="63" t="s">
        <v>803</v>
      </c>
    </row>
    <row r="521" s="63" customFormat="1" spans="1:5">
      <c r="A521" s="63" t="s">
        <v>1535</v>
      </c>
      <c r="B521" s="63" t="s">
        <v>1536</v>
      </c>
      <c r="C521" s="63" t="s">
        <v>1529</v>
      </c>
      <c r="E521" s="63" t="s">
        <v>377</v>
      </c>
    </row>
    <row r="522" s="63" customFormat="1" spans="1:5">
      <c r="A522" s="63" t="s">
        <v>1537</v>
      </c>
      <c r="B522" s="63" t="s">
        <v>807</v>
      </c>
      <c r="C522" s="63" t="s">
        <v>1529</v>
      </c>
      <c r="E522" s="63" t="s">
        <v>805</v>
      </c>
    </row>
    <row r="523" s="63" customFormat="1" spans="1:5">
      <c r="A523" s="63" t="s">
        <v>1538</v>
      </c>
      <c r="B523" s="63" t="s">
        <v>1539</v>
      </c>
      <c r="C523" s="63" t="s">
        <v>1529</v>
      </c>
      <c r="E523" s="63" t="s">
        <v>803</v>
      </c>
    </row>
    <row r="524" s="63" customFormat="1" spans="1:5">
      <c r="A524" s="63" t="s">
        <v>1540</v>
      </c>
      <c r="B524" s="63" t="s">
        <v>1540</v>
      </c>
      <c r="C524" s="63" t="s">
        <v>1529</v>
      </c>
      <c r="E524" s="63" t="s">
        <v>805</v>
      </c>
    </row>
    <row r="525" s="63" customFormat="1" spans="1:5">
      <c r="A525" s="63" t="s">
        <v>814</v>
      </c>
      <c r="B525" s="63" t="s">
        <v>814</v>
      </c>
      <c r="C525" s="63" t="s">
        <v>1529</v>
      </c>
      <c r="E525" s="63" t="s">
        <v>803</v>
      </c>
    </row>
    <row r="526" s="63" customFormat="1" spans="1:5">
      <c r="A526" s="63" t="s">
        <v>1541</v>
      </c>
      <c r="B526" s="63" t="s">
        <v>1542</v>
      </c>
      <c r="C526" s="63" t="s">
        <v>1529</v>
      </c>
      <c r="E526" s="63" t="s">
        <v>363</v>
      </c>
    </row>
    <row r="527" s="63" customFormat="1" spans="1:5">
      <c r="A527" s="63" t="s">
        <v>1543</v>
      </c>
      <c r="B527" s="63" t="s">
        <v>1543</v>
      </c>
      <c r="C527" s="63" t="s">
        <v>1529</v>
      </c>
      <c r="E527" s="63" t="s">
        <v>124</v>
      </c>
    </row>
    <row r="528" s="63" customFormat="1" spans="1:5">
      <c r="A528" s="63" t="s">
        <v>1544</v>
      </c>
      <c r="B528" s="63" t="s">
        <v>1544</v>
      </c>
      <c r="C528" s="63" t="s">
        <v>1529</v>
      </c>
      <c r="E528" s="63" t="s">
        <v>124</v>
      </c>
    </row>
    <row r="529" s="63" customFormat="1" spans="1:5">
      <c r="A529" s="63" t="s">
        <v>1545</v>
      </c>
      <c r="B529" s="63" t="s">
        <v>1545</v>
      </c>
      <c r="C529" s="63" t="s">
        <v>1529</v>
      </c>
      <c r="E529" s="63" t="s">
        <v>803</v>
      </c>
    </row>
    <row r="530" s="63" customFormat="1" spans="1:5">
      <c r="A530" s="63" t="s">
        <v>1546</v>
      </c>
      <c r="B530" s="63" t="s">
        <v>1547</v>
      </c>
      <c r="C530" s="63" t="s">
        <v>1529</v>
      </c>
      <c r="E530" s="63" t="s">
        <v>124</v>
      </c>
    </row>
    <row r="531" s="63" customFormat="1" spans="1:5">
      <c r="A531" s="63" t="s">
        <v>1548</v>
      </c>
      <c r="B531" s="63" t="s">
        <v>1549</v>
      </c>
      <c r="C531" s="63" t="s">
        <v>1529</v>
      </c>
      <c r="E531" s="63" t="s">
        <v>803</v>
      </c>
    </row>
    <row r="532" s="63" customFormat="1" spans="1:5">
      <c r="A532" s="63" t="s">
        <v>1550</v>
      </c>
      <c r="B532" s="63" t="s">
        <v>1550</v>
      </c>
      <c r="C532" s="63" t="s">
        <v>1529</v>
      </c>
      <c r="E532" s="63" t="s">
        <v>124</v>
      </c>
    </row>
    <row r="533" spans="1:5">
      <c r="A533" t="s">
        <v>1551</v>
      </c>
      <c r="C533" t="s">
        <v>1551</v>
      </c>
    </row>
    <row r="534" s="63" customFormat="1" spans="1:5">
      <c r="A534" s="63" t="s">
        <v>285</v>
      </c>
      <c r="B534" s="63" t="s">
        <v>285</v>
      </c>
      <c r="C534" s="63" t="s">
        <v>1551</v>
      </c>
      <c r="E534" s="63" t="s">
        <v>124</v>
      </c>
    </row>
    <row r="535" s="63" customFormat="1" spans="1:5">
      <c r="A535" s="63" t="s">
        <v>289</v>
      </c>
      <c r="B535" s="63" t="s">
        <v>289</v>
      </c>
      <c r="C535" s="63" t="s">
        <v>1551</v>
      </c>
      <c r="E535" s="63" t="s">
        <v>377</v>
      </c>
    </row>
    <row r="536" spans="1:5">
      <c r="A536" t="s">
        <v>1552</v>
      </c>
      <c r="C536" t="s">
        <v>1552</v>
      </c>
    </row>
    <row r="537" s="63" customFormat="1" spans="1:5">
      <c r="A537" s="63" t="s">
        <v>1553</v>
      </c>
      <c r="B537" s="63" t="s">
        <v>1553</v>
      </c>
      <c r="C537" s="63" t="s">
        <v>1552</v>
      </c>
      <c r="E537" s="63" t="s">
        <v>363</v>
      </c>
    </row>
    <row r="538" s="63" customFormat="1" spans="1:5">
      <c r="A538" s="63" t="s">
        <v>1554</v>
      </c>
      <c r="B538" s="63" t="s">
        <v>1555</v>
      </c>
      <c r="C538" s="63" t="s">
        <v>1552</v>
      </c>
      <c r="E538" s="63" t="s">
        <v>805</v>
      </c>
    </row>
    <row r="539" s="63" customFormat="1" spans="1:5">
      <c r="A539" s="63" t="s">
        <v>833</v>
      </c>
      <c r="B539" s="63" t="s">
        <v>833</v>
      </c>
      <c r="C539" s="63" t="s">
        <v>1552</v>
      </c>
      <c r="E539" s="63" t="s">
        <v>363</v>
      </c>
    </row>
    <row r="540" s="63" customFormat="1" spans="1:5">
      <c r="A540" s="63" t="s">
        <v>1556</v>
      </c>
      <c r="B540" s="63" t="s">
        <v>1556</v>
      </c>
      <c r="C540" s="63" t="s">
        <v>1552</v>
      </c>
      <c r="E540" s="63" t="s">
        <v>363</v>
      </c>
    </row>
    <row r="541" s="63" customFormat="1" spans="1:5">
      <c r="A541" s="63" t="s">
        <v>799</v>
      </c>
      <c r="B541" s="63" t="s">
        <v>799</v>
      </c>
      <c r="C541" s="63" t="s">
        <v>1552</v>
      </c>
      <c r="E541" s="63" t="s">
        <v>363</v>
      </c>
    </row>
    <row r="542" s="63" customFormat="1" spans="1:5">
      <c r="A542" s="63" t="s">
        <v>1557</v>
      </c>
      <c r="B542" s="63" t="s">
        <v>1558</v>
      </c>
      <c r="C542" s="63" t="s">
        <v>1552</v>
      </c>
      <c r="E542" s="63" t="s">
        <v>377</v>
      </c>
    </row>
    <row r="543" s="63" customFormat="1" spans="1:5">
      <c r="A543" s="63" t="s">
        <v>1559</v>
      </c>
      <c r="B543" s="63" t="s">
        <v>1559</v>
      </c>
      <c r="C543" s="63" t="s">
        <v>1552</v>
      </c>
      <c r="E543" s="63" t="s">
        <v>803</v>
      </c>
    </row>
    <row r="544" spans="1:5">
      <c r="A544" t="s">
        <v>247</v>
      </c>
      <c r="C544" t="s">
        <v>247</v>
      </c>
    </row>
    <row r="545" spans="1:5">
      <c r="A545" t="s">
        <v>1560</v>
      </c>
      <c r="B545" t="s">
        <v>1560</v>
      </c>
      <c r="C545" t="s">
        <v>247</v>
      </c>
      <c r="E545" t="s">
        <v>124</v>
      </c>
    </row>
    <row r="546" s="63" customFormat="1" spans="1:5">
      <c r="A546" s="63" t="s">
        <v>256</v>
      </c>
      <c r="B546" s="63" t="s">
        <v>256</v>
      </c>
      <c r="C546" s="63" t="s">
        <v>247</v>
      </c>
      <c r="E546" s="63" t="s">
        <v>124</v>
      </c>
    </row>
    <row r="547" spans="1:5">
      <c r="A547" t="s">
        <v>1561</v>
      </c>
      <c r="B547" t="s">
        <v>1562</v>
      </c>
      <c r="C547" t="s">
        <v>247</v>
      </c>
      <c r="E547" t="s">
        <v>124</v>
      </c>
    </row>
    <row r="548" spans="1:5">
      <c r="A548" t="s">
        <v>1563</v>
      </c>
      <c r="C548" t="s">
        <v>1563</v>
      </c>
    </row>
    <row r="549" s="63" customFormat="1" spans="1:5">
      <c r="A549" s="63" t="s">
        <v>1564</v>
      </c>
      <c r="B549" s="63" t="s">
        <v>1565</v>
      </c>
      <c r="C549" s="63" t="s">
        <v>1563</v>
      </c>
      <c r="E549" s="63" t="s">
        <v>124</v>
      </c>
    </row>
    <row r="550" spans="1:5">
      <c r="A550" t="s">
        <v>61</v>
      </c>
      <c r="C550" t="s">
        <v>61</v>
      </c>
    </row>
    <row r="551" s="63" customFormat="1" spans="1:5">
      <c r="A551" s="63" t="s">
        <v>1566</v>
      </c>
      <c r="B551" s="63" t="s">
        <v>1566</v>
      </c>
      <c r="C551" s="63" t="s">
        <v>61</v>
      </c>
      <c r="E551" s="63" t="s">
        <v>1124</v>
      </c>
    </row>
    <row r="552" s="63" customFormat="1" spans="1:5">
      <c r="A552" s="63" t="s">
        <v>1567</v>
      </c>
      <c r="B552" s="63" t="s">
        <v>1567</v>
      </c>
      <c r="C552" s="63" t="s">
        <v>61</v>
      </c>
      <c r="E552" s="63" t="s">
        <v>1124</v>
      </c>
    </row>
    <row r="553" s="63" customFormat="1" spans="1:5">
      <c r="A553" s="63" t="s">
        <v>1568</v>
      </c>
      <c r="B553" s="63" t="s">
        <v>1568</v>
      </c>
      <c r="C553" s="63" t="s">
        <v>61</v>
      </c>
      <c r="E553" s="63" t="s">
        <v>1124</v>
      </c>
    </row>
    <row r="554" s="63" customFormat="1" spans="1:5">
      <c r="A554" s="63" t="s">
        <v>1569</v>
      </c>
      <c r="B554" s="63" t="s">
        <v>1569</v>
      </c>
      <c r="C554" s="63" t="s">
        <v>61</v>
      </c>
      <c r="E554" s="63" t="s">
        <v>124</v>
      </c>
    </row>
    <row r="555" s="63" customFormat="1" spans="1:5">
      <c r="A555" s="63" t="s">
        <v>1570</v>
      </c>
      <c r="B555" s="63" t="s">
        <v>1570</v>
      </c>
      <c r="C555" s="63" t="s">
        <v>61</v>
      </c>
      <c r="E555" s="63" t="s">
        <v>124</v>
      </c>
    </row>
    <row r="556" s="63" customFormat="1" spans="1:5">
      <c r="A556" s="63" t="s">
        <v>1571</v>
      </c>
      <c r="B556" s="63" t="s">
        <v>1571</v>
      </c>
      <c r="C556" s="63" t="s">
        <v>61</v>
      </c>
      <c r="E556" s="63" t="s">
        <v>329</v>
      </c>
    </row>
    <row r="557" s="63" customFormat="1" spans="1:5">
      <c r="A557" s="63" t="s">
        <v>1572</v>
      </c>
      <c r="B557" s="63" t="s">
        <v>1572</v>
      </c>
      <c r="C557" s="63" t="s">
        <v>61</v>
      </c>
      <c r="E557" s="63" t="s">
        <v>1124</v>
      </c>
    </row>
    <row r="558" s="63" customFormat="1" spans="1:5">
      <c r="A558" s="63" t="s">
        <v>1573</v>
      </c>
      <c r="B558" s="63" t="s">
        <v>1573</v>
      </c>
      <c r="C558" s="63" t="s">
        <v>61</v>
      </c>
      <c r="E558" s="63" t="s">
        <v>1124</v>
      </c>
    </row>
    <row r="559" s="63" customFormat="1" spans="1:5">
      <c r="A559" s="63" t="s">
        <v>1574</v>
      </c>
      <c r="B559" s="63" t="s">
        <v>1574</v>
      </c>
      <c r="C559" s="63" t="s">
        <v>61</v>
      </c>
      <c r="E559" s="63" t="s">
        <v>1124</v>
      </c>
    </row>
    <row r="560" s="63" customFormat="1" spans="1:5">
      <c r="A560" s="63" t="s">
        <v>1575</v>
      </c>
      <c r="B560" s="63" t="s">
        <v>1575</v>
      </c>
      <c r="C560" s="63" t="s">
        <v>61</v>
      </c>
      <c r="E560" s="63" t="s">
        <v>329</v>
      </c>
    </row>
    <row r="561" s="63" customFormat="1" spans="1:5">
      <c r="A561" s="63" t="s">
        <v>1576</v>
      </c>
      <c r="B561" s="63" t="s">
        <v>1576</v>
      </c>
      <c r="C561" s="63" t="s">
        <v>61</v>
      </c>
      <c r="E561" s="63" t="s">
        <v>1124</v>
      </c>
    </row>
    <row r="562" s="63" customFormat="1" spans="1:5">
      <c r="A562" s="63" t="s">
        <v>1577</v>
      </c>
      <c r="B562" s="63" t="s">
        <v>1577</v>
      </c>
      <c r="C562" s="63" t="s">
        <v>61</v>
      </c>
      <c r="E562" s="63" t="s">
        <v>1124</v>
      </c>
    </row>
    <row r="563" s="63" customFormat="1" spans="1:5">
      <c r="A563" s="63" t="s">
        <v>1578</v>
      </c>
      <c r="B563" s="63" t="s">
        <v>1578</v>
      </c>
      <c r="C563" s="63" t="s">
        <v>61</v>
      </c>
      <c r="E563" s="63" t="s">
        <v>1124</v>
      </c>
    </row>
    <row r="564" s="63" customFormat="1" spans="1:5">
      <c r="A564" s="63" t="s">
        <v>1579</v>
      </c>
      <c r="B564" s="63" t="s">
        <v>1579</v>
      </c>
      <c r="C564" s="63" t="s">
        <v>61</v>
      </c>
      <c r="E564" s="63" t="s">
        <v>1124</v>
      </c>
    </row>
    <row r="565" s="63" customFormat="1" spans="1:5">
      <c r="A565" s="63" t="s">
        <v>1580</v>
      </c>
      <c r="B565" s="63" t="s">
        <v>1580</v>
      </c>
      <c r="C565" s="63" t="s">
        <v>61</v>
      </c>
      <c r="E565" s="63" t="s">
        <v>1124</v>
      </c>
    </row>
    <row r="566" s="63" customFormat="1" spans="1:5">
      <c r="A566" s="63" t="s">
        <v>1581</v>
      </c>
      <c r="B566" s="63" t="s">
        <v>1581</v>
      </c>
      <c r="C566" s="63" t="s">
        <v>61</v>
      </c>
      <c r="E566" s="63" t="s">
        <v>1124</v>
      </c>
    </row>
    <row r="567" s="63" customFormat="1" spans="1:5">
      <c r="A567" s="63" t="s">
        <v>1582</v>
      </c>
      <c r="B567" s="63" t="s">
        <v>1582</v>
      </c>
      <c r="C567" s="63" t="s">
        <v>61</v>
      </c>
      <c r="E567" s="63" t="s">
        <v>329</v>
      </c>
    </row>
    <row r="568" s="63" customFormat="1" spans="1:5">
      <c r="A568" s="63" t="s">
        <v>1583</v>
      </c>
      <c r="B568" s="63" t="s">
        <v>1583</v>
      </c>
      <c r="C568" s="63" t="s">
        <v>61</v>
      </c>
      <c r="E568" s="63" t="s">
        <v>329</v>
      </c>
    </row>
    <row r="569" s="63" customFormat="1" spans="1:5">
      <c r="A569" s="63" t="s">
        <v>1584</v>
      </c>
      <c r="B569" s="63" t="s">
        <v>1584</v>
      </c>
      <c r="C569" s="63" t="s">
        <v>61</v>
      </c>
      <c r="E569" s="63" t="s">
        <v>1124</v>
      </c>
    </row>
    <row r="570" s="63" customFormat="1" spans="1:5">
      <c r="A570" s="63" t="s">
        <v>1585</v>
      </c>
      <c r="B570" s="63" t="s">
        <v>1585</v>
      </c>
      <c r="C570" s="63" t="s">
        <v>61</v>
      </c>
      <c r="E570" s="63" t="s">
        <v>1124</v>
      </c>
    </row>
    <row r="571" s="63" customFormat="1" spans="1:5">
      <c r="A571" s="63" t="s">
        <v>1586</v>
      </c>
      <c r="B571" s="63" t="s">
        <v>1586</v>
      </c>
      <c r="C571" s="63" t="s">
        <v>61</v>
      </c>
      <c r="E571" s="63" t="s">
        <v>1124</v>
      </c>
    </row>
    <row r="572" s="63" customFormat="1" spans="1:5">
      <c r="A572" s="63" t="s">
        <v>1587</v>
      </c>
      <c r="B572" s="63" t="s">
        <v>1587</v>
      </c>
      <c r="C572" s="63" t="s">
        <v>61</v>
      </c>
      <c r="E572" s="63" t="s">
        <v>124</v>
      </c>
    </row>
    <row r="573" s="63" customFormat="1" spans="1:5">
      <c r="A573" s="63" t="s">
        <v>1588</v>
      </c>
      <c r="B573" s="63" t="s">
        <v>1588</v>
      </c>
      <c r="C573" s="63" t="s">
        <v>61</v>
      </c>
      <c r="E573" s="63" t="s">
        <v>1124</v>
      </c>
    </row>
    <row r="574" s="63" customFormat="1" spans="1:5">
      <c r="A574" s="63" t="s">
        <v>1589</v>
      </c>
      <c r="B574" s="63" t="s">
        <v>1589</v>
      </c>
      <c r="C574" s="63" t="s">
        <v>61</v>
      </c>
      <c r="E574" s="63" t="s">
        <v>124</v>
      </c>
    </row>
    <row r="575" s="63" customFormat="1" spans="1:5">
      <c r="A575" s="63" t="s">
        <v>1590</v>
      </c>
      <c r="B575" s="63" t="s">
        <v>1590</v>
      </c>
      <c r="C575" s="63" t="s">
        <v>61</v>
      </c>
      <c r="E575" s="63" t="s">
        <v>124</v>
      </c>
    </row>
    <row r="576" s="63" customFormat="1" spans="1:5">
      <c r="A576" s="63" t="s">
        <v>1591</v>
      </c>
      <c r="B576" s="63" t="s">
        <v>1591</v>
      </c>
      <c r="C576" s="63" t="s">
        <v>61</v>
      </c>
      <c r="E576" s="63" t="s">
        <v>124</v>
      </c>
    </row>
    <row r="577" s="63" customFormat="1" spans="1:5">
      <c r="A577" s="63" t="s">
        <v>1592</v>
      </c>
      <c r="B577" s="63" t="s">
        <v>1592</v>
      </c>
      <c r="C577" s="63" t="s">
        <v>61</v>
      </c>
      <c r="E577" s="63" t="s">
        <v>124</v>
      </c>
    </row>
    <row r="578" s="63" customFormat="1" spans="1:5">
      <c r="A578" s="63" t="s">
        <v>1593</v>
      </c>
      <c r="B578" s="63" t="s">
        <v>1593</v>
      </c>
      <c r="C578" s="63" t="s">
        <v>61</v>
      </c>
      <c r="E578" s="63" t="s">
        <v>1124</v>
      </c>
    </row>
    <row r="579" s="63" customFormat="1" spans="1:5">
      <c r="A579" s="63" t="s">
        <v>1594</v>
      </c>
      <c r="B579" s="63" t="s">
        <v>1594</v>
      </c>
      <c r="C579" s="63" t="s">
        <v>61</v>
      </c>
      <c r="E579" s="63" t="s">
        <v>1124</v>
      </c>
    </row>
    <row r="580" s="63" customFormat="1" spans="1:5">
      <c r="A580" s="63" t="s">
        <v>1595</v>
      </c>
      <c r="B580" s="63" t="s">
        <v>1596</v>
      </c>
      <c r="C580" s="63" t="s">
        <v>61</v>
      </c>
      <c r="E580" s="63" t="s">
        <v>1124</v>
      </c>
    </row>
    <row r="581" s="63" customFormat="1" spans="1:5">
      <c r="A581" s="63" t="s">
        <v>1597</v>
      </c>
      <c r="B581" s="63" t="s">
        <v>1597</v>
      </c>
      <c r="C581" s="63" t="s">
        <v>61</v>
      </c>
      <c r="E581" s="63" t="s">
        <v>1124</v>
      </c>
    </row>
    <row r="582" s="63" customFormat="1" spans="1:5">
      <c r="A582" s="63" t="s">
        <v>1598</v>
      </c>
      <c r="B582" s="63" t="s">
        <v>1598</v>
      </c>
      <c r="C582" s="63" t="s">
        <v>61</v>
      </c>
      <c r="E582" s="63" t="s">
        <v>1124</v>
      </c>
    </row>
    <row r="583" s="63" customFormat="1" spans="1:5">
      <c r="A583" s="63" t="s">
        <v>1599</v>
      </c>
      <c r="B583" s="63" t="s">
        <v>1600</v>
      </c>
      <c r="C583" s="63" t="s">
        <v>61</v>
      </c>
      <c r="E583" s="63" t="s">
        <v>124</v>
      </c>
    </row>
    <row r="584" s="63" customFormat="1" spans="1:5">
      <c r="A584" s="63" t="s">
        <v>1601</v>
      </c>
      <c r="B584" s="63" t="s">
        <v>1602</v>
      </c>
      <c r="C584" s="63" t="s">
        <v>61</v>
      </c>
      <c r="E584" s="63" t="s">
        <v>124</v>
      </c>
    </row>
    <row r="585" s="63" customFormat="1" spans="1:5">
      <c r="A585" s="63" t="s">
        <v>1603</v>
      </c>
      <c r="B585" s="63" t="s">
        <v>1603</v>
      </c>
      <c r="C585" s="63" t="s">
        <v>61</v>
      </c>
      <c r="E585" s="63" t="s">
        <v>329</v>
      </c>
    </row>
    <row r="586" s="63" customFormat="1" spans="1:5">
      <c r="A586" s="63" t="s">
        <v>1604</v>
      </c>
      <c r="B586" s="63" t="s">
        <v>1604</v>
      </c>
      <c r="C586" s="63" t="s">
        <v>61</v>
      </c>
      <c r="E586" s="63" t="s">
        <v>124</v>
      </c>
    </row>
    <row r="587" s="63" customFormat="1" spans="1:5">
      <c r="A587" s="63" t="s">
        <v>1605</v>
      </c>
      <c r="B587" s="63" t="s">
        <v>1605</v>
      </c>
      <c r="C587" s="63" t="s">
        <v>61</v>
      </c>
      <c r="E587" s="63" t="s">
        <v>124</v>
      </c>
    </row>
    <row r="588" s="63" customFormat="1" spans="1:5">
      <c r="A588" s="63" t="s">
        <v>1606</v>
      </c>
      <c r="B588" s="63" t="s">
        <v>1607</v>
      </c>
      <c r="C588" s="63" t="s">
        <v>61</v>
      </c>
      <c r="E588" s="63" t="s">
        <v>329</v>
      </c>
    </row>
    <row r="589" s="63" customFormat="1" spans="1:5">
      <c r="A589" s="63" t="s">
        <v>1608</v>
      </c>
      <c r="B589" s="63" t="s">
        <v>1608</v>
      </c>
      <c r="C589" s="63" t="s">
        <v>61</v>
      </c>
      <c r="E589" s="63" t="s">
        <v>1124</v>
      </c>
    </row>
    <row r="590" s="63" customFormat="1" spans="1:5">
      <c r="A590" s="63" t="s">
        <v>1609</v>
      </c>
      <c r="B590" s="63" t="s">
        <v>1609</v>
      </c>
      <c r="C590" s="63" t="s">
        <v>61</v>
      </c>
      <c r="E590" s="63" t="s">
        <v>1124</v>
      </c>
    </row>
    <row r="591" s="63" customFormat="1" spans="1:5">
      <c r="A591" s="63" t="s">
        <v>1610</v>
      </c>
      <c r="B591" s="63" t="s">
        <v>1610</v>
      </c>
      <c r="C591" s="63" t="s">
        <v>61</v>
      </c>
      <c r="E591" s="63" t="s">
        <v>1124</v>
      </c>
    </row>
    <row r="592" s="63" customFormat="1" spans="1:5">
      <c r="A592" s="63" t="s">
        <v>1611</v>
      </c>
      <c r="B592" s="63" t="s">
        <v>1611</v>
      </c>
      <c r="C592" s="63" t="s">
        <v>61</v>
      </c>
      <c r="E592" s="63" t="s">
        <v>329</v>
      </c>
    </row>
    <row r="593" s="63" customFormat="1" spans="1:5">
      <c r="A593" s="63" t="s">
        <v>1612</v>
      </c>
      <c r="B593" s="63" t="s">
        <v>1612</v>
      </c>
      <c r="C593" s="63" t="s">
        <v>61</v>
      </c>
      <c r="E593" s="63" t="s">
        <v>329</v>
      </c>
    </row>
    <row r="594" s="63" customFormat="1" spans="1:5">
      <c r="A594" s="63" t="s">
        <v>1613</v>
      </c>
      <c r="B594" s="63" t="s">
        <v>1613</v>
      </c>
      <c r="C594" s="63" t="s">
        <v>61</v>
      </c>
      <c r="E594" s="63" t="s">
        <v>124</v>
      </c>
    </row>
    <row r="595" s="63" customFormat="1" spans="1:5">
      <c r="A595" s="63" t="s">
        <v>1614</v>
      </c>
      <c r="B595" s="63" t="s">
        <v>1614</v>
      </c>
      <c r="C595" s="63" t="s">
        <v>61</v>
      </c>
      <c r="E595" s="63" t="s">
        <v>329</v>
      </c>
    </row>
    <row r="596" spans="1:5">
      <c r="A596" t="s">
        <v>1615</v>
      </c>
      <c r="C596" t="s">
        <v>1615</v>
      </c>
    </row>
    <row r="597" s="63" customFormat="1" spans="1:5">
      <c r="A597" s="63" t="s">
        <v>1616</v>
      </c>
      <c r="B597" s="63" t="s">
        <v>1617</v>
      </c>
      <c r="C597" s="63" t="s">
        <v>1615</v>
      </c>
      <c r="E597" s="63" t="s">
        <v>329</v>
      </c>
    </row>
    <row r="598" s="63" customFormat="1" spans="1:5">
      <c r="A598" s="63" t="s">
        <v>1618</v>
      </c>
      <c r="B598" s="63" t="s">
        <v>1618</v>
      </c>
      <c r="C598" s="63" t="s">
        <v>1615</v>
      </c>
      <c r="E598" s="63" t="s">
        <v>329</v>
      </c>
    </row>
    <row r="599" spans="1:5">
      <c r="A599" t="s">
        <v>1619</v>
      </c>
      <c r="B599" t="s">
        <v>1620</v>
      </c>
      <c r="C599" t="s">
        <v>1615</v>
      </c>
      <c r="E599" t="s">
        <v>124</v>
      </c>
    </row>
    <row r="600" spans="1:5">
      <c r="A600" t="s">
        <v>1621</v>
      </c>
      <c r="C600" t="s">
        <v>1621</v>
      </c>
    </row>
    <row r="601" s="63" customFormat="1" spans="1:5">
      <c r="A601" s="63" t="s">
        <v>1622</v>
      </c>
      <c r="B601" s="63" t="s">
        <v>1623</v>
      </c>
      <c r="C601" s="63" t="s">
        <v>1621</v>
      </c>
      <c r="E601" s="63" t="s">
        <v>124</v>
      </c>
    </row>
    <row r="602" spans="1:5">
      <c r="A602" t="s">
        <v>1624</v>
      </c>
      <c r="C602" t="s">
        <v>1624</v>
      </c>
    </row>
    <row r="603" s="63" customFormat="1" spans="1:5">
      <c r="A603" s="63" t="s">
        <v>1625</v>
      </c>
      <c r="B603" s="63" t="s">
        <v>1625</v>
      </c>
      <c r="C603" s="63" t="s">
        <v>1624</v>
      </c>
      <c r="E603" s="63" t="s">
        <v>124</v>
      </c>
    </row>
    <row r="604" s="63" customFormat="1" spans="1:5">
      <c r="A604" s="63" t="s">
        <v>507</v>
      </c>
      <c r="B604" s="63" t="s">
        <v>507</v>
      </c>
      <c r="C604" s="63" t="s">
        <v>1624</v>
      </c>
      <c r="E604" s="63" t="s">
        <v>124</v>
      </c>
    </row>
    <row r="605" s="63" customFormat="1" spans="1:5">
      <c r="A605" s="63" t="s">
        <v>1626</v>
      </c>
      <c r="B605" s="63" t="s">
        <v>1626</v>
      </c>
      <c r="C605" s="63" t="s">
        <v>1624</v>
      </c>
      <c r="E605" s="63" t="s">
        <v>124</v>
      </c>
    </row>
    <row r="606" s="63" customFormat="1" spans="1:5">
      <c r="A606" s="63" t="s">
        <v>1627</v>
      </c>
      <c r="B606" s="63" t="s">
        <v>1628</v>
      </c>
      <c r="C606" s="63" t="s">
        <v>1624</v>
      </c>
      <c r="E606" s="63" t="s">
        <v>124</v>
      </c>
    </row>
    <row r="607" s="63" customFormat="1" spans="1:5">
      <c r="A607" s="63" t="s">
        <v>1629</v>
      </c>
      <c r="B607" s="63" t="s">
        <v>1630</v>
      </c>
      <c r="C607" s="63" t="s">
        <v>1624</v>
      </c>
      <c r="E607" s="63" t="s">
        <v>124</v>
      </c>
    </row>
    <row r="608" s="63" customFormat="1" spans="1:5">
      <c r="A608" s="63" t="s">
        <v>1631</v>
      </c>
      <c r="B608" s="63" t="s">
        <v>1631</v>
      </c>
      <c r="C608" s="63" t="s">
        <v>1624</v>
      </c>
      <c r="E608" s="63" t="s">
        <v>124</v>
      </c>
    </row>
    <row r="609" s="63" customFormat="1" spans="1:5">
      <c r="A609" s="63" t="s">
        <v>1632</v>
      </c>
      <c r="B609" s="63" t="s">
        <v>1632</v>
      </c>
      <c r="C609" s="63" t="s">
        <v>1624</v>
      </c>
      <c r="E609" s="63" t="s">
        <v>124</v>
      </c>
    </row>
    <row r="610" s="63" customFormat="1" spans="1:5">
      <c r="A610" s="63" t="s">
        <v>1633</v>
      </c>
      <c r="B610" s="63" t="s">
        <v>1633</v>
      </c>
      <c r="C610" s="63" t="s">
        <v>1624</v>
      </c>
      <c r="E610" s="63" t="s">
        <v>124</v>
      </c>
    </row>
    <row r="611" s="63" customFormat="1" spans="1:5">
      <c r="A611" s="63" t="s">
        <v>1634</v>
      </c>
      <c r="B611" s="63" t="s">
        <v>1634</v>
      </c>
      <c r="C611" s="63" t="s">
        <v>1624</v>
      </c>
      <c r="E611" s="63" t="s">
        <v>124</v>
      </c>
    </row>
    <row r="612" s="63" customFormat="1" spans="1:5">
      <c r="A612" s="63" t="s">
        <v>1635</v>
      </c>
      <c r="B612" s="63" t="s">
        <v>1635</v>
      </c>
      <c r="C612" s="63" t="s">
        <v>1624</v>
      </c>
      <c r="E612" s="63" t="s">
        <v>124</v>
      </c>
    </row>
    <row r="613" s="63" customFormat="1" spans="1:5">
      <c r="A613" s="63" t="s">
        <v>1636</v>
      </c>
      <c r="B613" s="63" t="s">
        <v>1636</v>
      </c>
      <c r="C613" s="63" t="s">
        <v>1624</v>
      </c>
      <c r="E613" s="63" t="s">
        <v>124</v>
      </c>
    </row>
    <row r="614" s="63" customFormat="1" spans="1:5">
      <c r="A614" s="63" t="s">
        <v>1637</v>
      </c>
      <c r="B614" s="63" t="s">
        <v>1637</v>
      </c>
      <c r="C614" s="63" t="s">
        <v>1624</v>
      </c>
      <c r="E614" s="63" t="s">
        <v>124</v>
      </c>
    </row>
    <row r="615" s="63" customFormat="1" spans="1:5">
      <c r="A615" s="63" t="s">
        <v>1638</v>
      </c>
      <c r="B615" s="63" t="s">
        <v>1639</v>
      </c>
      <c r="C615" s="63" t="s">
        <v>1624</v>
      </c>
      <c r="E615" s="63" t="s">
        <v>124</v>
      </c>
    </row>
    <row r="616" s="63" customFormat="1" spans="1:5">
      <c r="A616" s="63" t="s">
        <v>1640</v>
      </c>
      <c r="B616" s="63" t="s">
        <v>1640</v>
      </c>
      <c r="C616" s="63" t="s">
        <v>1624</v>
      </c>
      <c r="E616" s="63" t="s">
        <v>124</v>
      </c>
    </row>
    <row r="617" s="63" customFormat="1" spans="1:5">
      <c r="A617" s="63" t="s">
        <v>1641</v>
      </c>
      <c r="B617" s="63" t="s">
        <v>1642</v>
      </c>
      <c r="C617" s="63" t="s">
        <v>1624</v>
      </c>
      <c r="E617" s="63" t="s">
        <v>124</v>
      </c>
    </row>
    <row r="618" s="63" customFormat="1" spans="1:5">
      <c r="A618" s="63" t="s">
        <v>1643</v>
      </c>
      <c r="B618" s="63" t="s">
        <v>1643</v>
      </c>
      <c r="C618" s="63" t="s">
        <v>1624</v>
      </c>
      <c r="E618" s="63" t="s">
        <v>124</v>
      </c>
    </row>
    <row r="619" s="63" customFormat="1" spans="1:5">
      <c r="A619" s="63" t="s">
        <v>1644</v>
      </c>
      <c r="B619" s="63" t="s">
        <v>1645</v>
      </c>
      <c r="C619" s="63" t="s">
        <v>1624</v>
      </c>
      <c r="E619" s="63" t="s">
        <v>124</v>
      </c>
    </row>
    <row r="620" s="63" customFormat="1" spans="1:5">
      <c r="A620" s="63" t="s">
        <v>1646</v>
      </c>
      <c r="B620" s="63" t="s">
        <v>383</v>
      </c>
      <c r="C620" s="63" t="s">
        <v>1624</v>
      </c>
      <c r="E620" s="63" t="s">
        <v>124</v>
      </c>
    </row>
    <row r="621" s="63" customFormat="1" spans="1:5">
      <c r="A621" s="63" t="s">
        <v>1647</v>
      </c>
      <c r="B621" s="63" t="s">
        <v>1647</v>
      </c>
      <c r="C621" s="63" t="s">
        <v>1624</v>
      </c>
      <c r="E621" s="63" t="s">
        <v>124</v>
      </c>
    </row>
    <row r="622" s="63" customFormat="1" spans="1:5">
      <c r="A622" s="63" t="s">
        <v>1648</v>
      </c>
      <c r="B622" s="63" t="s">
        <v>1648</v>
      </c>
      <c r="C622" s="63" t="s">
        <v>1624</v>
      </c>
      <c r="E622" s="63" t="s">
        <v>124</v>
      </c>
    </row>
    <row r="623" s="63" customFormat="1" spans="1:5">
      <c r="A623" s="63" t="s">
        <v>471</v>
      </c>
      <c r="B623" s="63" t="s">
        <v>471</v>
      </c>
      <c r="C623" s="63" t="s">
        <v>1624</v>
      </c>
      <c r="E623" s="63" t="s">
        <v>124</v>
      </c>
    </row>
    <row r="624" s="63" customFormat="1" spans="1:5">
      <c r="A624" s="63" t="s">
        <v>1649</v>
      </c>
      <c r="B624" s="63" t="s">
        <v>463</v>
      </c>
      <c r="C624" s="63" t="s">
        <v>1624</v>
      </c>
      <c r="E624" s="63" t="s">
        <v>124</v>
      </c>
    </row>
    <row r="625" s="63" customFormat="1" spans="1:5">
      <c r="A625" s="63" t="s">
        <v>1650</v>
      </c>
      <c r="B625" s="63" t="s">
        <v>1650</v>
      </c>
      <c r="C625" s="63" t="s">
        <v>1624</v>
      </c>
      <c r="E625" s="63" t="s">
        <v>124</v>
      </c>
    </row>
    <row r="626" s="63" customFormat="1" spans="1:5">
      <c r="A626" s="63" t="s">
        <v>1651</v>
      </c>
      <c r="B626" s="63" t="s">
        <v>1651</v>
      </c>
      <c r="C626" s="63" t="s">
        <v>1624</v>
      </c>
      <c r="E626" s="63" t="s">
        <v>124</v>
      </c>
    </row>
    <row r="627" s="63" customFormat="1" spans="1:5">
      <c r="A627" s="63" t="s">
        <v>1652</v>
      </c>
      <c r="B627" s="63" t="s">
        <v>1653</v>
      </c>
      <c r="C627" s="63" t="s">
        <v>1624</v>
      </c>
      <c r="E627" s="63" t="s">
        <v>124</v>
      </c>
    </row>
    <row r="628" s="63" customFormat="1" spans="1:5">
      <c r="A628" s="63" t="s">
        <v>1654</v>
      </c>
      <c r="B628" s="63" t="s">
        <v>482</v>
      </c>
      <c r="C628" s="63" t="s">
        <v>1624</v>
      </c>
      <c r="E628" s="63" t="s">
        <v>124</v>
      </c>
    </row>
    <row r="629" s="63" customFormat="1" spans="1:5">
      <c r="A629" s="63" t="s">
        <v>1655</v>
      </c>
      <c r="B629" s="63" t="s">
        <v>484</v>
      </c>
      <c r="C629" s="63" t="s">
        <v>1624</v>
      </c>
      <c r="E629" s="63" t="s">
        <v>124</v>
      </c>
    </row>
    <row r="630" s="63" customFormat="1" spans="1:5">
      <c r="A630" s="63" t="s">
        <v>1656</v>
      </c>
      <c r="B630" s="63" t="s">
        <v>1657</v>
      </c>
      <c r="C630" s="63" t="s">
        <v>1624</v>
      </c>
      <c r="E630" s="63" t="s">
        <v>124</v>
      </c>
    </row>
    <row r="631" s="63" customFormat="1" spans="1:5">
      <c r="A631" s="63" t="s">
        <v>1658</v>
      </c>
      <c r="B631" s="63" t="s">
        <v>1658</v>
      </c>
      <c r="C631" s="63" t="s">
        <v>1624</v>
      </c>
      <c r="E631" s="63" t="s">
        <v>124</v>
      </c>
    </row>
    <row r="632" s="63" customFormat="1" spans="1:5">
      <c r="A632" s="63" t="s">
        <v>1659</v>
      </c>
      <c r="B632" s="63" t="s">
        <v>1659</v>
      </c>
      <c r="C632" s="63" t="s">
        <v>1624</v>
      </c>
      <c r="E632" s="63" t="s">
        <v>124</v>
      </c>
    </row>
    <row r="633" s="63" customFormat="1" spans="1:5">
      <c r="A633" s="63" t="s">
        <v>468</v>
      </c>
      <c r="B633" s="63" t="s">
        <v>468</v>
      </c>
      <c r="C633" s="63" t="s">
        <v>1624</v>
      </c>
      <c r="E633" s="63" t="s">
        <v>124</v>
      </c>
    </row>
    <row r="634" s="63" customFormat="1" spans="1:5">
      <c r="A634" s="63" t="s">
        <v>511</v>
      </c>
      <c r="B634" s="63" t="s">
        <v>511</v>
      </c>
      <c r="C634" s="63" t="s">
        <v>1624</v>
      </c>
      <c r="E634" s="63" t="s">
        <v>124</v>
      </c>
    </row>
    <row r="635" s="63" customFormat="1" spans="1:5">
      <c r="A635" s="63" t="s">
        <v>1660</v>
      </c>
      <c r="B635" s="63" t="s">
        <v>474</v>
      </c>
      <c r="C635" s="63" t="s">
        <v>1624</v>
      </c>
      <c r="E635" s="63" t="s">
        <v>124</v>
      </c>
    </row>
    <row r="636" s="63" customFormat="1" spans="1:5">
      <c r="A636" s="63" t="s">
        <v>514</v>
      </c>
      <c r="B636" s="63" t="s">
        <v>514</v>
      </c>
      <c r="C636" s="63" t="s">
        <v>1624</v>
      </c>
      <c r="E636" s="63" t="s">
        <v>124</v>
      </c>
    </row>
    <row r="637" s="63" customFormat="1" spans="1:5">
      <c r="A637" s="63" t="s">
        <v>464</v>
      </c>
      <c r="B637" s="63" t="s">
        <v>464</v>
      </c>
      <c r="C637" s="63" t="s">
        <v>1624</v>
      </c>
      <c r="E637" s="63" t="s">
        <v>124</v>
      </c>
    </row>
    <row r="638" s="63" customFormat="1" spans="1:5">
      <c r="A638" s="63" t="s">
        <v>1661</v>
      </c>
      <c r="B638" s="63" t="s">
        <v>684</v>
      </c>
      <c r="C638" s="63" t="s">
        <v>1624</v>
      </c>
      <c r="E638" s="63" t="s">
        <v>124</v>
      </c>
    </row>
    <row r="639" s="63" customFormat="1" spans="1:5">
      <c r="A639" s="63" t="s">
        <v>1662</v>
      </c>
      <c r="B639" s="63" t="s">
        <v>466</v>
      </c>
      <c r="C639" s="63" t="s">
        <v>1624</v>
      </c>
      <c r="E639" s="63" t="s">
        <v>399</v>
      </c>
    </row>
    <row r="640" s="63" customFormat="1" spans="1:5">
      <c r="A640" s="63" t="s">
        <v>1663</v>
      </c>
      <c r="B640" s="63" t="s">
        <v>465</v>
      </c>
      <c r="C640" s="63" t="s">
        <v>1624</v>
      </c>
      <c r="E640" s="63" t="s">
        <v>124</v>
      </c>
    </row>
    <row r="641" s="63" customFormat="1" spans="1:5">
      <c r="A641" s="63" t="s">
        <v>1664</v>
      </c>
      <c r="B641" s="63" t="s">
        <v>1664</v>
      </c>
      <c r="C641" s="63" t="s">
        <v>1624</v>
      </c>
      <c r="E641" s="63" t="s">
        <v>124</v>
      </c>
    </row>
    <row r="642" s="63" customFormat="1" spans="1:5">
      <c r="A642" s="63" t="s">
        <v>481</v>
      </c>
      <c r="B642" s="63" t="s">
        <v>481</v>
      </c>
      <c r="C642" s="63" t="s">
        <v>1624</v>
      </c>
      <c r="E642" s="63" t="s">
        <v>124</v>
      </c>
    </row>
    <row r="643" s="63" customFormat="1" spans="1:5">
      <c r="A643" s="63" t="s">
        <v>480</v>
      </c>
      <c r="B643" s="63" t="s">
        <v>480</v>
      </c>
      <c r="C643" s="63" t="s">
        <v>1624</v>
      </c>
      <c r="E643" s="63" t="s">
        <v>124</v>
      </c>
    </row>
    <row r="644" s="63" customFormat="1" spans="1:5">
      <c r="A644" s="63" t="s">
        <v>1665</v>
      </c>
      <c r="B644" s="63" t="s">
        <v>1666</v>
      </c>
      <c r="C644" s="63" t="s">
        <v>1624</v>
      </c>
      <c r="E644" s="63" t="s">
        <v>124</v>
      </c>
    </row>
    <row r="645" s="63" customFormat="1" spans="1:5">
      <c r="A645" s="63" t="s">
        <v>512</v>
      </c>
      <c r="B645" s="63" t="s">
        <v>512</v>
      </c>
      <c r="C645" s="63" t="s">
        <v>1624</v>
      </c>
      <c r="E645" s="63" t="s">
        <v>124</v>
      </c>
    </row>
    <row r="646" s="63" customFormat="1" spans="1:5">
      <c r="A646" s="63" t="s">
        <v>508</v>
      </c>
      <c r="B646" s="63" t="s">
        <v>508</v>
      </c>
      <c r="C646" s="63" t="s">
        <v>1624</v>
      </c>
      <c r="E646" s="63" t="s">
        <v>124</v>
      </c>
    </row>
    <row r="647" s="63" customFormat="1" spans="1:5">
      <c r="A647" s="63" t="s">
        <v>1667</v>
      </c>
      <c r="B647" s="63" t="s">
        <v>1667</v>
      </c>
      <c r="C647" s="63" t="s">
        <v>1624</v>
      </c>
      <c r="E647" s="63" t="s">
        <v>124</v>
      </c>
    </row>
    <row r="648" s="63" customFormat="1" spans="1:5">
      <c r="A648" s="63" t="s">
        <v>1668</v>
      </c>
      <c r="B648" s="63" t="s">
        <v>1668</v>
      </c>
      <c r="C648" s="63" t="s">
        <v>1624</v>
      </c>
      <c r="E648" s="63" t="s">
        <v>124</v>
      </c>
    </row>
    <row r="649" s="63" customFormat="1" spans="1:5">
      <c r="A649" s="63" t="s">
        <v>505</v>
      </c>
      <c r="B649" s="63" t="s">
        <v>505</v>
      </c>
      <c r="C649" s="63" t="s">
        <v>1624</v>
      </c>
      <c r="E649" s="63" t="s">
        <v>124</v>
      </c>
    </row>
    <row r="650" s="63" customFormat="1" spans="1:5">
      <c r="A650" s="63" t="s">
        <v>1669</v>
      </c>
      <c r="B650" s="63" t="s">
        <v>479</v>
      </c>
      <c r="C650" s="63" t="s">
        <v>1624</v>
      </c>
      <c r="E650" s="63" t="s">
        <v>124</v>
      </c>
    </row>
    <row r="651" s="63" customFormat="1" spans="1:5">
      <c r="A651" s="63" t="s">
        <v>1670</v>
      </c>
      <c r="B651" s="63" t="s">
        <v>1670</v>
      </c>
      <c r="C651" s="63" t="s">
        <v>1624</v>
      </c>
      <c r="E651" s="63" t="s">
        <v>124</v>
      </c>
    </row>
    <row r="652" s="63" customFormat="1" spans="1:5">
      <c r="A652" s="63" t="s">
        <v>1671</v>
      </c>
      <c r="B652" s="63" t="s">
        <v>473</v>
      </c>
      <c r="C652" s="63" t="s">
        <v>1624</v>
      </c>
      <c r="E652" s="63" t="s">
        <v>124</v>
      </c>
    </row>
    <row r="653" s="63" customFormat="1" spans="1:5">
      <c r="A653" s="63" t="s">
        <v>506</v>
      </c>
      <c r="B653" s="63" t="s">
        <v>506</v>
      </c>
      <c r="C653" s="63" t="s">
        <v>1624</v>
      </c>
      <c r="E653" s="63" t="s">
        <v>124</v>
      </c>
    </row>
    <row r="654" s="63" customFormat="1" spans="1:5">
      <c r="A654" s="63" t="s">
        <v>472</v>
      </c>
      <c r="B654" s="63" t="s">
        <v>472</v>
      </c>
      <c r="C654" s="63" t="s">
        <v>1624</v>
      </c>
      <c r="E654" s="63" t="s">
        <v>124</v>
      </c>
    </row>
    <row r="655" s="63" customFormat="1" spans="1:5">
      <c r="A655" s="63" t="s">
        <v>1672</v>
      </c>
      <c r="B655" s="63" t="s">
        <v>496</v>
      </c>
      <c r="C655" s="63" t="s">
        <v>1624</v>
      </c>
      <c r="E655" s="63" t="s">
        <v>124</v>
      </c>
    </row>
    <row r="656" s="63" customFormat="1" spans="1:5">
      <c r="A656" s="63" t="s">
        <v>1673</v>
      </c>
      <c r="B656" s="63" t="s">
        <v>513</v>
      </c>
      <c r="C656" s="63" t="s">
        <v>1624</v>
      </c>
      <c r="E656" s="63" t="s">
        <v>124</v>
      </c>
    </row>
    <row r="657" s="63" customFormat="1" spans="1:5">
      <c r="A657" s="63" t="s">
        <v>504</v>
      </c>
      <c r="B657" s="63" t="s">
        <v>504</v>
      </c>
      <c r="C657" s="63" t="s">
        <v>1624</v>
      </c>
      <c r="E657" s="63" t="s">
        <v>124</v>
      </c>
    </row>
    <row r="658" s="63" customFormat="1" spans="1:5">
      <c r="A658" s="63" t="s">
        <v>510</v>
      </c>
      <c r="B658" s="63" t="s">
        <v>510</v>
      </c>
      <c r="C658" s="63" t="s">
        <v>1624</v>
      </c>
      <c r="E658" s="63" t="s">
        <v>124</v>
      </c>
    </row>
    <row r="659" s="63" customFormat="1" spans="1:5">
      <c r="A659" s="63" t="s">
        <v>1674</v>
      </c>
      <c r="B659" s="63" t="s">
        <v>470</v>
      </c>
      <c r="C659" s="63" t="s">
        <v>1624</v>
      </c>
      <c r="E659" s="63" t="s">
        <v>124</v>
      </c>
    </row>
    <row r="660" s="63" customFormat="1" spans="1:5">
      <c r="A660" s="63" t="s">
        <v>469</v>
      </c>
      <c r="B660" s="63" t="s">
        <v>469</v>
      </c>
      <c r="C660" s="63" t="s">
        <v>1624</v>
      </c>
      <c r="E660" s="63" t="s">
        <v>124</v>
      </c>
    </row>
    <row r="661" s="63" customFormat="1" spans="1:5">
      <c r="A661" s="63" t="s">
        <v>1675</v>
      </c>
      <c r="B661" s="63" t="s">
        <v>467</v>
      </c>
      <c r="C661" s="63" t="s">
        <v>1624</v>
      </c>
      <c r="E661" s="63" t="s">
        <v>124</v>
      </c>
    </row>
    <row r="662" s="63" customFormat="1" spans="1:5">
      <c r="A662" s="63" t="s">
        <v>1676</v>
      </c>
      <c r="B662" s="63" t="s">
        <v>494</v>
      </c>
      <c r="C662" s="63" t="s">
        <v>1624</v>
      </c>
      <c r="E662" s="63" t="s">
        <v>124</v>
      </c>
    </row>
    <row r="663" s="63" customFormat="1" spans="1:5">
      <c r="A663" s="63" t="s">
        <v>1677</v>
      </c>
      <c r="B663" s="63" t="s">
        <v>483</v>
      </c>
      <c r="C663" s="63" t="s">
        <v>1624</v>
      </c>
      <c r="E663" s="63" t="s">
        <v>124</v>
      </c>
    </row>
    <row r="664" s="63" customFormat="1" spans="1:5">
      <c r="A664" s="63" t="s">
        <v>1678</v>
      </c>
      <c r="B664" s="63" t="s">
        <v>1678</v>
      </c>
      <c r="C664" s="63" t="s">
        <v>1624</v>
      </c>
      <c r="E664" s="63" t="s">
        <v>124</v>
      </c>
    </row>
    <row r="665" s="63" customFormat="1" spans="1:5">
      <c r="A665" s="63" t="s">
        <v>477</v>
      </c>
      <c r="B665" s="63" t="s">
        <v>477</v>
      </c>
      <c r="C665" s="63" t="s">
        <v>1624</v>
      </c>
      <c r="E665" s="63" t="s">
        <v>124</v>
      </c>
    </row>
    <row r="666" s="63" customFormat="1" spans="1:5">
      <c r="A666" s="63" t="s">
        <v>478</v>
      </c>
      <c r="B666" s="63" t="s">
        <v>478</v>
      </c>
      <c r="C666" s="63" t="s">
        <v>1624</v>
      </c>
      <c r="E666" s="63" t="s">
        <v>124</v>
      </c>
    </row>
    <row r="667" s="63" customFormat="1" spans="1:5">
      <c r="A667" s="63" t="s">
        <v>1679</v>
      </c>
      <c r="B667" s="63" t="s">
        <v>1680</v>
      </c>
      <c r="C667" s="63" t="s">
        <v>1624</v>
      </c>
      <c r="E667" s="63" t="s">
        <v>124</v>
      </c>
    </row>
    <row r="668" s="63" customFormat="1" spans="1:5">
      <c r="A668" s="63" t="s">
        <v>1681</v>
      </c>
      <c r="B668" s="63" t="s">
        <v>485</v>
      </c>
      <c r="C668" s="63" t="s">
        <v>1624</v>
      </c>
      <c r="E668" s="63" t="s">
        <v>124</v>
      </c>
    </row>
    <row r="669" s="63" customFormat="1" spans="1:5">
      <c r="A669" s="63" t="s">
        <v>1682</v>
      </c>
      <c r="B669" s="63" t="s">
        <v>509</v>
      </c>
      <c r="C669" s="63" t="s">
        <v>1624</v>
      </c>
      <c r="E669" s="63" t="s">
        <v>124</v>
      </c>
    </row>
    <row r="670" s="63" customFormat="1" spans="1:5">
      <c r="A670" s="63" t="s">
        <v>1683</v>
      </c>
      <c r="B670" s="63" t="s">
        <v>476</v>
      </c>
      <c r="C670" s="63" t="s">
        <v>1624</v>
      </c>
      <c r="E670" s="63" t="s">
        <v>124</v>
      </c>
    </row>
    <row r="671" s="63" customFormat="1" spans="1:5">
      <c r="A671" s="63" t="s">
        <v>487</v>
      </c>
      <c r="B671" s="63" t="s">
        <v>487</v>
      </c>
      <c r="C671" s="63" t="s">
        <v>1624</v>
      </c>
      <c r="E671" s="63" t="s">
        <v>124</v>
      </c>
    </row>
    <row r="672" s="63" customFormat="1" spans="1:5">
      <c r="A672" s="63" t="s">
        <v>488</v>
      </c>
      <c r="B672" s="63" t="s">
        <v>488</v>
      </c>
      <c r="C672" s="63" t="s">
        <v>1624</v>
      </c>
      <c r="E672" s="63" t="s">
        <v>124</v>
      </c>
    </row>
    <row r="673" s="63" customFormat="1" spans="1:5">
      <c r="A673" s="63" t="s">
        <v>490</v>
      </c>
      <c r="B673" s="63" t="s">
        <v>490</v>
      </c>
      <c r="C673" s="63" t="s">
        <v>1624</v>
      </c>
      <c r="E673" s="63" t="s">
        <v>124</v>
      </c>
    </row>
    <row r="674" s="63" customFormat="1" spans="1:5">
      <c r="A674" s="63" t="s">
        <v>1684</v>
      </c>
      <c r="B674" s="63" t="s">
        <v>503</v>
      </c>
      <c r="C674" s="63" t="s">
        <v>1624</v>
      </c>
      <c r="E674" s="63" t="s">
        <v>124</v>
      </c>
    </row>
    <row r="675" s="63" customFormat="1" spans="1:5">
      <c r="A675" s="63" t="s">
        <v>491</v>
      </c>
      <c r="B675" s="63" t="s">
        <v>491</v>
      </c>
      <c r="C675" s="63" t="s">
        <v>1624</v>
      </c>
      <c r="E675" s="63" t="s">
        <v>124</v>
      </c>
    </row>
    <row r="676" s="63" customFormat="1" spans="1:5">
      <c r="A676" s="63" t="s">
        <v>492</v>
      </c>
      <c r="B676" s="63" t="s">
        <v>492</v>
      </c>
      <c r="C676" s="63" t="s">
        <v>1624</v>
      </c>
      <c r="E676" s="63" t="s">
        <v>124</v>
      </c>
    </row>
    <row r="677" spans="1:5">
      <c r="A677" t="s">
        <v>1685</v>
      </c>
      <c r="C677" t="s">
        <v>1685</v>
      </c>
    </row>
    <row r="678" s="63" customFormat="1" spans="1:5">
      <c r="A678" s="63" t="s">
        <v>1686</v>
      </c>
      <c r="B678" s="63" t="s">
        <v>1687</v>
      </c>
      <c r="C678" s="63" t="s">
        <v>1685</v>
      </c>
      <c r="E678" s="63" t="s">
        <v>124</v>
      </c>
    </row>
    <row r="679" s="63" customFormat="1" spans="1:5">
      <c r="A679" s="63" t="s">
        <v>1688</v>
      </c>
      <c r="B679" s="63" t="s">
        <v>1688</v>
      </c>
      <c r="C679" s="63" t="s">
        <v>1685</v>
      </c>
      <c r="E679" s="63" t="s">
        <v>124</v>
      </c>
    </row>
    <row r="680" s="63" customFormat="1" spans="1:5">
      <c r="A680" s="63" t="s">
        <v>1689</v>
      </c>
      <c r="B680" s="63" t="s">
        <v>1690</v>
      </c>
      <c r="C680" s="63" t="s">
        <v>1685</v>
      </c>
      <c r="E680" s="63" t="s">
        <v>124</v>
      </c>
    </row>
    <row r="681" spans="1:5">
      <c r="A681" t="s">
        <v>1691</v>
      </c>
      <c r="C681" t="s">
        <v>1691</v>
      </c>
    </row>
    <row r="682" s="63" customFormat="1" spans="1:5">
      <c r="A682" s="63" t="s">
        <v>845</v>
      </c>
      <c r="B682" s="63" t="s">
        <v>845</v>
      </c>
      <c r="C682" s="63" t="s">
        <v>1691</v>
      </c>
      <c r="E682" s="63" t="s">
        <v>124</v>
      </c>
    </row>
    <row r="683" s="63" customFormat="1" spans="1:5">
      <c r="A683" s="63" t="s">
        <v>849</v>
      </c>
      <c r="B683" s="63" t="s">
        <v>849</v>
      </c>
      <c r="C683" s="63" t="s">
        <v>1691</v>
      </c>
      <c r="E683" s="63" t="s">
        <v>124</v>
      </c>
    </row>
    <row r="684" s="63" customFormat="1" spans="1:5">
      <c r="A684" s="63" t="s">
        <v>846</v>
      </c>
      <c r="B684" s="63" t="s">
        <v>846</v>
      </c>
      <c r="C684" s="63" t="s">
        <v>1691</v>
      </c>
      <c r="E684" s="63" t="s">
        <v>124</v>
      </c>
    </row>
    <row r="685" s="63" customFormat="1" spans="1:5">
      <c r="A685" s="63" t="s">
        <v>844</v>
      </c>
      <c r="B685" s="63" t="s">
        <v>844</v>
      </c>
      <c r="C685" s="63" t="s">
        <v>1691</v>
      </c>
      <c r="E685" s="63" t="s">
        <v>124</v>
      </c>
    </row>
    <row r="686" s="63" customFormat="1" spans="1:5">
      <c r="A686" s="63" t="s">
        <v>842</v>
      </c>
      <c r="B686" s="63" t="s">
        <v>842</v>
      </c>
      <c r="C686" s="63" t="s">
        <v>1691</v>
      </c>
      <c r="E686" s="63" t="s">
        <v>124</v>
      </c>
    </row>
    <row r="687" s="63" customFormat="1" spans="1:5">
      <c r="A687" s="63" t="s">
        <v>848</v>
      </c>
      <c r="B687" s="63" t="s">
        <v>848</v>
      </c>
      <c r="C687" s="63" t="s">
        <v>1691</v>
      </c>
      <c r="E687" s="63" t="s">
        <v>124</v>
      </c>
    </row>
    <row r="688" s="63" customFormat="1" spans="1:5">
      <c r="A688" s="63" t="s">
        <v>847</v>
      </c>
      <c r="B688" s="63" t="s">
        <v>847</v>
      </c>
      <c r="C688" s="63" t="s">
        <v>1691</v>
      </c>
      <c r="E688" s="63" t="s">
        <v>124</v>
      </c>
    </row>
    <row r="689" s="63" customFormat="1" spans="1:5">
      <c r="A689" s="63" t="s">
        <v>872</v>
      </c>
      <c r="B689" s="63" t="s">
        <v>1692</v>
      </c>
      <c r="C689" s="63" t="s">
        <v>1691</v>
      </c>
      <c r="E689" s="63" t="s">
        <v>124</v>
      </c>
    </row>
    <row r="690" s="63" customFormat="1" spans="1:5">
      <c r="A690" s="63" t="s">
        <v>1693</v>
      </c>
      <c r="B690" s="63" t="s">
        <v>1693</v>
      </c>
      <c r="C690" s="63" t="s">
        <v>1691</v>
      </c>
      <c r="E690" s="63" t="s">
        <v>124</v>
      </c>
    </row>
    <row r="691" spans="1:5">
      <c r="A691" t="s">
        <v>1694</v>
      </c>
      <c r="C691" t="s">
        <v>1694</v>
      </c>
    </row>
    <row r="692" s="63" customFormat="1" spans="1:5">
      <c r="A692" s="63" t="s">
        <v>1695</v>
      </c>
      <c r="B692" s="63" t="s">
        <v>1696</v>
      </c>
      <c r="C692" s="63" t="s">
        <v>1694</v>
      </c>
      <c r="E692" s="63" t="s">
        <v>310</v>
      </c>
    </row>
    <row r="693" s="63" customFormat="1" spans="1:5">
      <c r="A693" s="63" t="s">
        <v>1697</v>
      </c>
      <c r="B693" s="63" t="s">
        <v>1698</v>
      </c>
      <c r="C693" s="63" t="s">
        <v>1694</v>
      </c>
      <c r="E693" s="63" t="s">
        <v>310</v>
      </c>
    </row>
    <row r="694" s="63" customFormat="1" spans="1:5">
      <c r="A694" s="63" t="s">
        <v>1699</v>
      </c>
      <c r="B694" s="63" t="s">
        <v>1700</v>
      </c>
      <c r="C694" s="63" t="s">
        <v>1694</v>
      </c>
      <c r="E694" s="63" t="s">
        <v>310</v>
      </c>
    </row>
    <row r="695" spans="1:5">
      <c r="A695" t="s">
        <v>1701</v>
      </c>
      <c r="C695" t="s">
        <v>1701</v>
      </c>
    </row>
    <row r="696" s="63" customFormat="1" spans="1:5">
      <c r="A696" s="63" t="s">
        <v>1702</v>
      </c>
      <c r="B696" s="63" t="s">
        <v>1703</v>
      </c>
      <c r="C696" s="63" t="s">
        <v>1701</v>
      </c>
      <c r="E696" s="63" t="s">
        <v>124</v>
      </c>
    </row>
    <row r="697" s="63" customFormat="1" spans="1:5">
      <c r="A697" s="63" t="s">
        <v>1704</v>
      </c>
      <c r="B697" s="63" t="s">
        <v>1704</v>
      </c>
      <c r="C697" s="63" t="s">
        <v>1701</v>
      </c>
      <c r="E697" s="63" t="s">
        <v>598</v>
      </c>
    </row>
    <row r="698" s="63" customFormat="1" spans="1:5">
      <c r="A698" s="63" t="s">
        <v>1705</v>
      </c>
      <c r="B698" s="63" t="s">
        <v>1706</v>
      </c>
      <c r="C698" s="63" t="s">
        <v>1701</v>
      </c>
      <c r="E698" s="63" t="s">
        <v>124</v>
      </c>
    </row>
    <row r="699" s="63" customFormat="1" spans="1:5">
      <c r="A699" s="63" t="s">
        <v>1707</v>
      </c>
      <c r="B699" s="63" t="s">
        <v>1707</v>
      </c>
      <c r="C699" s="63" t="s">
        <v>1701</v>
      </c>
      <c r="E699" s="63" t="s">
        <v>598</v>
      </c>
    </row>
    <row r="700" s="63" customFormat="1" spans="1:5">
      <c r="A700" s="63" t="s">
        <v>1708</v>
      </c>
      <c r="B700" s="63" t="s">
        <v>1709</v>
      </c>
      <c r="C700" s="63" t="s">
        <v>1701</v>
      </c>
      <c r="E700" s="63" t="s">
        <v>700</v>
      </c>
    </row>
    <row r="701" s="63" customFormat="1" spans="1:5">
      <c r="A701" s="63" t="s">
        <v>1710</v>
      </c>
      <c r="B701" s="63" t="s">
        <v>1710</v>
      </c>
      <c r="C701" s="63" t="s">
        <v>1701</v>
      </c>
      <c r="E701" s="63" t="s">
        <v>598</v>
      </c>
    </row>
    <row r="702" s="63" customFormat="1" spans="1:5">
      <c r="A702" s="63" t="s">
        <v>1711</v>
      </c>
      <c r="B702" s="63" t="s">
        <v>1711</v>
      </c>
      <c r="C702" s="63" t="s">
        <v>1701</v>
      </c>
      <c r="E702" s="63" t="s">
        <v>598</v>
      </c>
    </row>
    <row r="703" s="63" customFormat="1" spans="1:5">
      <c r="A703" s="63" t="s">
        <v>1712</v>
      </c>
      <c r="B703" s="63" t="s">
        <v>1712</v>
      </c>
      <c r="C703" s="63" t="s">
        <v>1701</v>
      </c>
      <c r="E703" s="63" t="s">
        <v>124</v>
      </c>
    </row>
    <row r="704" s="63" customFormat="1" spans="1:5">
      <c r="A704" s="63" t="s">
        <v>1713</v>
      </c>
      <c r="B704" s="63" t="s">
        <v>1713</v>
      </c>
      <c r="C704" s="63" t="s">
        <v>1701</v>
      </c>
      <c r="E704" s="63" t="s">
        <v>598</v>
      </c>
    </row>
    <row r="705" s="63" customFormat="1" spans="1:5">
      <c r="A705" s="63" t="s">
        <v>225</v>
      </c>
      <c r="B705" s="63" t="s">
        <v>225</v>
      </c>
      <c r="C705" s="63" t="s">
        <v>1701</v>
      </c>
      <c r="E705" s="63" t="s">
        <v>1714</v>
      </c>
    </row>
    <row r="706" s="63" customFormat="1" spans="1:5">
      <c r="A706" s="63" t="s">
        <v>1715</v>
      </c>
      <c r="B706" s="63" t="s">
        <v>1715</v>
      </c>
      <c r="C706" s="63" t="s">
        <v>1701</v>
      </c>
      <c r="E706" s="63" t="s">
        <v>598</v>
      </c>
    </row>
    <row r="707" s="63" customFormat="1" spans="1:5">
      <c r="A707" s="63" t="s">
        <v>1716</v>
      </c>
      <c r="B707" s="63" t="s">
        <v>1716</v>
      </c>
      <c r="C707" s="63" t="s">
        <v>1701</v>
      </c>
      <c r="E707" s="63" t="s">
        <v>1032</v>
      </c>
    </row>
    <row r="708" s="63" customFormat="1" spans="1:5">
      <c r="A708" s="63" t="s">
        <v>1717</v>
      </c>
      <c r="B708" s="63" t="s">
        <v>1717</v>
      </c>
      <c r="C708" s="63" t="s">
        <v>1701</v>
      </c>
      <c r="E708" s="63" t="s">
        <v>1032</v>
      </c>
    </row>
    <row r="709" s="63" customFormat="1" spans="1:5">
      <c r="A709" s="63" t="s">
        <v>1718</v>
      </c>
      <c r="B709" s="63" t="s">
        <v>1718</v>
      </c>
      <c r="C709" s="63" t="s">
        <v>1701</v>
      </c>
      <c r="E709" s="63" t="s">
        <v>700</v>
      </c>
    </row>
    <row r="710" s="63" customFormat="1" spans="1:5">
      <c r="A710" s="63" t="s">
        <v>1719</v>
      </c>
      <c r="B710" s="63" t="s">
        <v>1719</v>
      </c>
      <c r="C710" s="63" t="s">
        <v>1701</v>
      </c>
      <c r="E710" s="63" t="s">
        <v>1032</v>
      </c>
    </row>
    <row r="711" s="63" customFormat="1" spans="1:5">
      <c r="A711" s="63" t="s">
        <v>1720</v>
      </c>
      <c r="B711" s="63" t="s">
        <v>1720</v>
      </c>
      <c r="C711" s="63" t="s">
        <v>1701</v>
      </c>
      <c r="E711" s="63" t="s">
        <v>598</v>
      </c>
    </row>
    <row r="712" s="63" customFormat="1" spans="1:5">
      <c r="A712" s="63" t="s">
        <v>1721</v>
      </c>
      <c r="B712" s="63" t="s">
        <v>1722</v>
      </c>
      <c r="C712" s="63" t="s">
        <v>1701</v>
      </c>
      <c r="E712" s="63" t="s">
        <v>1043</v>
      </c>
    </row>
    <row r="713" s="63" customFormat="1" spans="1:5">
      <c r="A713" s="63" t="s">
        <v>1723</v>
      </c>
      <c r="B713" s="63" t="s">
        <v>1724</v>
      </c>
      <c r="C713" s="63" t="s">
        <v>1701</v>
      </c>
      <c r="E713" s="63" t="s">
        <v>1032</v>
      </c>
    </row>
    <row r="714" spans="1:5">
      <c r="A714" t="s">
        <v>515</v>
      </c>
      <c r="C714" t="s">
        <v>515</v>
      </c>
    </row>
    <row r="715" s="63" customFormat="1" spans="1:5">
      <c r="A715" s="63" t="s">
        <v>1725</v>
      </c>
      <c r="B715" s="63" t="s">
        <v>569</v>
      </c>
      <c r="C715" s="63" t="s">
        <v>515</v>
      </c>
      <c r="E715" s="63" t="s">
        <v>124</v>
      </c>
    </row>
    <row r="716" s="63" customFormat="1" spans="1:5">
      <c r="A716" s="63" t="s">
        <v>1726</v>
      </c>
      <c r="B716" s="63" t="s">
        <v>1727</v>
      </c>
      <c r="C716" s="63" t="s">
        <v>515</v>
      </c>
      <c r="E716" s="63" t="s">
        <v>124</v>
      </c>
    </row>
    <row r="717" s="63" customFormat="1" spans="1:5">
      <c r="A717" s="63" t="s">
        <v>1728</v>
      </c>
      <c r="B717" s="63" t="s">
        <v>563</v>
      </c>
      <c r="C717" s="63" t="s">
        <v>515</v>
      </c>
      <c r="E717" s="63" t="s">
        <v>124</v>
      </c>
    </row>
    <row r="718" s="63" customFormat="1" spans="1:5">
      <c r="A718" s="63" t="s">
        <v>1729</v>
      </c>
      <c r="B718" s="63" t="s">
        <v>566</v>
      </c>
      <c r="C718" s="63" t="s">
        <v>515</v>
      </c>
      <c r="E718" s="63" t="s">
        <v>124</v>
      </c>
    </row>
    <row r="719" s="63" customFormat="1" spans="1:5">
      <c r="A719" s="63" t="s">
        <v>564</v>
      </c>
      <c r="B719" s="63" t="s">
        <v>564</v>
      </c>
      <c r="C719" s="63" t="s">
        <v>515</v>
      </c>
      <c r="E719" s="63" t="s">
        <v>124</v>
      </c>
    </row>
    <row r="720" s="63" customFormat="1" spans="1:5">
      <c r="A720" s="63" t="s">
        <v>1730</v>
      </c>
      <c r="B720" s="63" t="s">
        <v>561</v>
      </c>
      <c r="C720" s="63" t="s">
        <v>515</v>
      </c>
      <c r="E720" s="63" t="s">
        <v>124</v>
      </c>
    </row>
    <row r="721" s="63" customFormat="1" spans="1:5">
      <c r="A721" s="63" t="s">
        <v>1731</v>
      </c>
      <c r="B721" s="63" t="s">
        <v>567</v>
      </c>
      <c r="C721" s="63" t="s">
        <v>515</v>
      </c>
      <c r="E721" s="63" t="s">
        <v>124</v>
      </c>
    </row>
    <row r="722" spans="1:5">
      <c r="A722" t="s">
        <v>1732</v>
      </c>
      <c r="C722" t="s">
        <v>1732</v>
      </c>
    </row>
    <row r="723" s="63" customFormat="1" spans="1:5">
      <c r="A723" s="63" t="s">
        <v>1733</v>
      </c>
      <c r="B723" s="63" t="s">
        <v>1733</v>
      </c>
      <c r="C723" s="63" t="s">
        <v>1732</v>
      </c>
      <c r="E723" s="63" t="s">
        <v>124</v>
      </c>
    </row>
    <row r="724" s="63" customFormat="1" spans="1:5">
      <c r="A724" s="63" t="s">
        <v>1734</v>
      </c>
      <c r="B724" s="63" t="s">
        <v>1734</v>
      </c>
      <c r="C724" s="63" t="s">
        <v>1732</v>
      </c>
      <c r="E724" s="63" t="s">
        <v>124</v>
      </c>
    </row>
    <row r="725" s="63" customFormat="1" spans="1:5">
      <c r="A725" s="63" t="s">
        <v>1735</v>
      </c>
      <c r="B725" s="63" t="s">
        <v>1735</v>
      </c>
      <c r="C725" s="63" t="s">
        <v>1732</v>
      </c>
      <c r="E725" s="63" t="s">
        <v>124</v>
      </c>
    </row>
    <row r="726" s="63" customFormat="1" spans="1:5">
      <c r="A726" s="63" t="s">
        <v>1736</v>
      </c>
      <c r="B726" s="63" t="s">
        <v>1736</v>
      </c>
      <c r="C726" s="63" t="s">
        <v>1732</v>
      </c>
      <c r="E726" s="63" t="s">
        <v>124</v>
      </c>
    </row>
    <row r="727" s="63" customFormat="1" spans="1:5">
      <c r="A727" s="63" t="s">
        <v>1737</v>
      </c>
      <c r="B727" s="63" t="s">
        <v>1737</v>
      </c>
      <c r="C727" s="63" t="s">
        <v>1732</v>
      </c>
      <c r="E727" s="63" t="s">
        <v>124</v>
      </c>
    </row>
    <row r="728" s="63" customFormat="1" spans="1:5">
      <c r="A728" s="63" t="s">
        <v>1738</v>
      </c>
      <c r="B728" s="63" t="s">
        <v>1738</v>
      </c>
      <c r="C728" s="63" t="s">
        <v>1732</v>
      </c>
      <c r="E728" s="63" t="s">
        <v>124</v>
      </c>
    </row>
    <row r="729" s="63" customFormat="1" spans="1:5">
      <c r="A729" s="63" t="s">
        <v>1739</v>
      </c>
      <c r="B729" s="63" t="s">
        <v>1739</v>
      </c>
      <c r="C729" s="63" t="s">
        <v>1732</v>
      </c>
      <c r="E729" s="63" t="s">
        <v>124</v>
      </c>
    </row>
    <row r="730" s="63" customFormat="1" spans="1:5">
      <c r="A730" s="63" t="s">
        <v>1740</v>
      </c>
      <c r="B730" s="63" t="s">
        <v>1740</v>
      </c>
      <c r="C730" s="63" t="s">
        <v>1732</v>
      </c>
      <c r="E730" s="63" t="s">
        <v>124</v>
      </c>
    </row>
    <row r="731" s="63" customFormat="1" spans="1:5">
      <c r="A731" s="63" t="s">
        <v>1741</v>
      </c>
      <c r="B731" s="63" t="s">
        <v>1741</v>
      </c>
      <c r="C731" s="63" t="s">
        <v>1732</v>
      </c>
      <c r="E731" s="63" t="s">
        <v>124</v>
      </c>
    </row>
    <row r="732" s="63" customFormat="1" spans="1:5">
      <c r="A732" s="63" t="s">
        <v>1742</v>
      </c>
      <c r="B732" s="63" t="s">
        <v>1742</v>
      </c>
      <c r="C732" s="63" t="s">
        <v>1732</v>
      </c>
      <c r="E732" s="63" t="s">
        <v>124</v>
      </c>
    </row>
    <row r="733" s="63" customFormat="1" spans="1:5">
      <c r="A733" s="63" t="s">
        <v>1743</v>
      </c>
      <c r="B733" s="63" t="s">
        <v>1743</v>
      </c>
      <c r="C733" s="63" t="s">
        <v>1732</v>
      </c>
      <c r="E733" s="63" t="s">
        <v>124</v>
      </c>
    </row>
    <row r="734" s="63" customFormat="1" spans="1:5">
      <c r="A734" s="63" t="s">
        <v>1744</v>
      </c>
      <c r="B734" s="63" t="s">
        <v>1744</v>
      </c>
      <c r="C734" s="63" t="s">
        <v>1732</v>
      </c>
      <c r="E734" s="63" t="s">
        <v>124</v>
      </c>
    </row>
    <row r="735" s="63" customFormat="1" spans="1:5">
      <c r="A735" s="63" t="s">
        <v>1745</v>
      </c>
      <c r="B735" s="63" t="s">
        <v>1745</v>
      </c>
      <c r="C735" s="63" t="s">
        <v>1732</v>
      </c>
      <c r="E735" s="63" t="s">
        <v>524</v>
      </c>
    </row>
    <row r="736" spans="1:5">
      <c r="A736" t="s">
        <v>1746</v>
      </c>
      <c r="B736" t="s">
        <v>1746</v>
      </c>
      <c r="C736" t="s">
        <v>1732</v>
      </c>
      <c r="E736" t="s">
        <v>124</v>
      </c>
    </row>
    <row r="737" s="63" customFormat="1" spans="1:5">
      <c r="A737" s="63" t="s">
        <v>1747</v>
      </c>
      <c r="B737" s="63" t="s">
        <v>1747</v>
      </c>
      <c r="C737" s="63" t="s">
        <v>1732</v>
      </c>
      <c r="E737" s="63" t="s">
        <v>124</v>
      </c>
    </row>
    <row r="738" s="63" customFormat="1" spans="1:5">
      <c r="A738" s="63" t="s">
        <v>389</v>
      </c>
      <c r="B738" s="63" t="s">
        <v>389</v>
      </c>
      <c r="C738" s="63" t="s">
        <v>1732</v>
      </c>
      <c r="E738" s="63" t="s">
        <v>124</v>
      </c>
    </row>
    <row r="739" s="63" customFormat="1" spans="1:5">
      <c r="A739" s="63" t="s">
        <v>1748</v>
      </c>
      <c r="B739" s="63" t="s">
        <v>1748</v>
      </c>
      <c r="C739" s="63" t="s">
        <v>1732</v>
      </c>
      <c r="E739" s="63" t="s">
        <v>124</v>
      </c>
    </row>
    <row r="740" s="63" customFormat="1" spans="1:5">
      <c r="A740" s="63" t="s">
        <v>1749</v>
      </c>
      <c r="B740" s="63" t="s">
        <v>1749</v>
      </c>
      <c r="C740" s="63" t="s">
        <v>1732</v>
      </c>
      <c r="E740" s="63" t="s">
        <v>124</v>
      </c>
    </row>
    <row r="741" s="63" customFormat="1" spans="1:5">
      <c r="A741" s="63" t="s">
        <v>1750</v>
      </c>
      <c r="B741" s="63" t="s">
        <v>1750</v>
      </c>
      <c r="C741" s="63" t="s">
        <v>1732</v>
      </c>
      <c r="E741" s="63" t="s">
        <v>124</v>
      </c>
    </row>
    <row r="742" s="63" customFormat="1" spans="1:5">
      <c r="A742" s="63" t="s">
        <v>1751</v>
      </c>
      <c r="B742" s="63" t="s">
        <v>1751</v>
      </c>
      <c r="C742" s="63" t="s">
        <v>1732</v>
      </c>
      <c r="E742" s="63" t="s">
        <v>124</v>
      </c>
    </row>
    <row r="743" s="63" customFormat="1" spans="1:5">
      <c r="A743" s="63" t="s">
        <v>1752</v>
      </c>
      <c r="B743" s="63" t="s">
        <v>1752</v>
      </c>
      <c r="C743" s="63" t="s">
        <v>1732</v>
      </c>
      <c r="E743" s="63" t="s">
        <v>124</v>
      </c>
    </row>
    <row r="744" s="63" customFormat="1" spans="1:5">
      <c r="A744" s="63" t="s">
        <v>1753</v>
      </c>
      <c r="B744" s="63" t="s">
        <v>1753</v>
      </c>
      <c r="C744" s="63" t="s">
        <v>1732</v>
      </c>
      <c r="E744" s="63" t="s">
        <v>124</v>
      </c>
    </row>
    <row r="745" s="63" customFormat="1" spans="1:5">
      <c r="A745" s="63" t="s">
        <v>1754</v>
      </c>
      <c r="B745" s="63" t="s">
        <v>1754</v>
      </c>
      <c r="C745" s="63" t="s">
        <v>1732</v>
      </c>
      <c r="E745" s="63" t="s">
        <v>124</v>
      </c>
    </row>
    <row r="746" s="63" customFormat="1" spans="1:5">
      <c r="A746" s="63" t="s">
        <v>1755</v>
      </c>
      <c r="B746" s="63" t="s">
        <v>1755</v>
      </c>
      <c r="C746" s="63" t="s">
        <v>1732</v>
      </c>
      <c r="E746" s="63" t="s">
        <v>124</v>
      </c>
    </row>
    <row r="747" s="63" customFormat="1" spans="1:5">
      <c r="A747" s="63" t="s">
        <v>1756</v>
      </c>
      <c r="B747" s="63" t="s">
        <v>1756</v>
      </c>
      <c r="C747" s="63" t="s">
        <v>1732</v>
      </c>
      <c r="E747" s="63" t="s">
        <v>124</v>
      </c>
    </row>
    <row r="748" s="63" customFormat="1" spans="1:5">
      <c r="A748" s="63" t="s">
        <v>1757</v>
      </c>
      <c r="B748" s="63" t="s">
        <v>1757</v>
      </c>
      <c r="C748" s="63" t="s">
        <v>1732</v>
      </c>
      <c r="E748" s="63" t="s">
        <v>124</v>
      </c>
    </row>
    <row r="749" s="63" customFormat="1" spans="1:5">
      <c r="A749" s="63" t="s">
        <v>1758</v>
      </c>
      <c r="B749" s="63" t="s">
        <v>1758</v>
      </c>
      <c r="C749" s="63" t="s">
        <v>1732</v>
      </c>
      <c r="E749" s="63" t="s">
        <v>124</v>
      </c>
    </row>
    <row r="750" s="63" customFormat="1" spans="1:5">
      <c r="A750" s="63" t="s">
        <v>1759</v>
      </c>
      <c r="B750" s="63" t="s">
        <v>1759</v>
      </c>
      <c r="C750" s="63" t="s">
        <v>1732</v>
      </c>
      <c r="E750" s="63" t="s">
        <v>124</v>
      </c>
    </row>
    <row r="751" s="63" customFormat="1" spans="1:5">
      <c r="A751" s="63" t="s">
        <v>1760</v>
      </c>
      <c r="B751" s="63" t="s">
        <v>1760</v>
      </c>
      <c r="C751" s="63" t="s">
        <v>1732</v>
      </c>
      <c r="E751" s="63" t="s">
        <v>124</v>
      </c>
    </row>
    <row r="752" spans="1:5">
      <c r="A752" t="s">
        <v>1761</v>
      </c>
      <c r="B752" t="s">
        <v>1761</v>
      </c>
      <c r="C752" t="s">
        <v>1732</v>
      </c>
      <c r="E752" t="s">
        <v>124</v>
      </c>
    </row>
    <row r="753" s="63" customFormat="1" spans="1:5">
      <c r="A753" s="63" t="s">
        <v>1762</v>
      </c>
      <c r="B753" s="63" t="s">
        <v>1762</v>
      </c>
      <c r="C753" s="63" t="s">
        <v>1732</v>
      </c>
      <c r="E753" s="63" t="s">
        <v>124</v>
      </c>
    </row>
    <row r="754" spans="1:5">
      <c r="A754" t="s">
        <v>1763</v>
      </c>
      <c r="B754" t="s">
        <v>1763</v>
      </c>
      <c r="C754" t="s">
        <v>1732</v>
      </c>
      <c r="E754" t="s">
        <v>124</v>
      </c>
    </row>
    <row r="755" s="63" customFormat="1" spans="1:5">
      <c r="A755" s="63" t="s">
        <v>1764</v>
      </c>
      <c r="B755" s="63" t="s">
        <v>1764</v>
      </c>
      <c r="C755" s="63" t="s">
        <v>1732</v>
      </c>
      <c r="E755" s="63" t="s">
        <v>124</v>
      </c>
    </row>
    <row r="756" s="63" customFormat="1" spans="1:5">
      <c r="A756" s="63" t="s">
        <v>1765</v>
      </c>
      <c r="B756" s="63" t="s">
        <v>1765</v>
      </c>
      <c r="C756" s="63" t="s">
        <v>1732</v>
      </c>
      <c r="E756" s="63" t="s">
        <v>124</v>
      </c>
    </row>
    <row r="757" s="63" customFormat="1" spans="1:5">
      <c r="A757" s="63" t="s">
        <v>1766</v>
      </c>
      <c r="B757" s="63" t="s">
        <v>1766</v>
      </c>
      <c r="C757" s="63" t="s">
        <v>1732</v>
      </c>
      <c r="E757" s="63" t="s">
        <v>124</v>
      </c>
    </row>
    <row r="758" s="63" customFormat="1" spans="1:5">
      <c r="A758" s="63" t="s">
        <v>1767</v>
      </c>
      <c r="B758" s="63" t="s">
        <v>1767</v>
      </c>
      <c r="C758" s="63" t="s">
        <v>1732</v>
      </c>
      <c r="E758" s="63" t="s">
        <v>124</v>
      </c>
    </row>
    <row r="759" s="63" customFormat="1" spans="1:5">
      <c r="A759" s="63" t="s">
        <v>502</v>
      </c>
      <c r="B759" s="63" t="s">
        <v>502</v>
      </c>
      <c r="C759" s="63" t="s">
        <v>1732</v>
      </c>
      <c r="E759" s="63" t="s">
        <v>124</v>
      </c>
    </row>
    <row r="760" s="63" customFormat="1" spans="1:5">
      <c r="A760" s="63" t="s">
        <v>388</v>
      </c>
      <c r="B760" s="63" t="s">
        <v>388</v>
      </c>
      <c r="C760" s="63" t="s">
        <v>1732</v>
      </c>
      <c r="E760" s="63" t="s">
        <v>124</v>
      </c>
    </row>
    <row r="761" spans="1:5">
      <c r="A761" t="s">
        <v>693</v>
      </c>
      <c r="B761" t="s">
        <v>693</v>
      </c>
      <c r="C761" t="s">
        <v>1732</v>
      </c>
      <c r="E761" t="s">
        <v>399</v>
      </c>
    </row>
    <row r="762" spans="1:5">
      <c r="A762" t="s">
        <v>1768</v>
      </c>
      <c r="B762" t="s">
        <v>1768</v>
      </c>
      <c r="C762" t="s">
        <v>1732</v>
      </c>
      <c r="E762" t="s">
        <v>124</v>
      </c>
    </row>
    <row r="763" s="63" customFormat="1" spans="1:5">
      <c r="A763" s="63" t="s">
        <v>1769</v>
      </c>
      <c r="B763" s="63" t="s">
        <v>1769</v>
      </c>
      <c r="C763" s="63" t="s">
        <v>1732</v>
      </c>
      <c r="E763" s="63" t="s">
        <v>124</v>
      </c>
    </row>
    <row r="764" spans="1:5">
      <c r="A764" t="s">
        <v>1770</v>
      </c>
      <c r="B764" t="s">
        <v>1770</v>
      </c>
      <c r="C764" t="s">
        <v>1732</v>
      </c>
      <c r="E764" t="s">
        <v>1124</v>
      </c>
    </row>
    <row r="765" s="63" customFormat="1" spans="1:5">
      <c r="A765" s="63" t="s">
        <v>1771</v>
      </c>
      <c r="B765" s="63" t="s">
        <v>1771</v>
      </c>
      <c r="C765" s="63" t="s">
        <v>1732</v>
      </c>
      <c r="E765" s="63" t="s">
        <v>329</v>
      </c>
    </row>
    <row r="766" s="63" customFormat="1" spans="1:5">
      <c r="A766" s="63" t="s">
        <v>1772</v>
      </c>
      <c r="B766" s="63" t="s">
        <v>1772</v>
      </c>
      <c r="C766" s="63" t="s">
        <v>1732</v>
      </c>
      <c r="E766" s="63" t="s">
        <v>124</v>
      </c>
    </row>
    <row r="767" s="63" customFormat="1" spans="1:5">
      <c r="A767" s="63" t="s">
        <v>1773</v>
      </c>
      <c r="B767" s="63" t="s">
        <v>1773</v>
      </c>
      <c r="C767" s="63" t="s">
        <v>1732</v>
      </c>
      <c r="E767" s="63" t="s">
        <v>622</v>
      </c>
    </row>
    <row r="768" spans="1:5">
      <c r="A768" t="s">
        <v>1774</v>
      </c>
      <c r="B768" t="s">
        <v>1774</v>
      </c>
      <c r="C768" t="s">
        <v>1732</v>
      </c>
      <c r="E768" t="s">
        <v>124</v>
      </c>
    </row>
    <row r="769" spans="1:5">
      <c r="A769" t="s">
        <v>1775</v>
      </c>
      <c r="B769" t="s">
        <v>1775</v>
      </c>
      <c r="C769" t="s">
        <v>1732</v>
      </c>
      <c r="E769" t="s">
        <v>124</v>
      </c>
    </row>
    <row r="770" spans="1:5">
      <c r="A770" t="s">
        <v>1776</v>
      </c>
      <c r="B770" t="s">
        <v>1776</v>
      </c>
      <c r="C770" t="s">
        <v>1732</v>
      </c>
      <c r="E770" t="s">
        <v>124</v>
      </c>
    </row>
    <row r="771" spans="1:5">
      <c r="A771" t="s">
        <v>1777</v>
      </c>
      <c r="B771" t="s">
        <v>1777</v>
      </c>
      <c r="C771" t="s">
        <v>1732</v>
      </c>
      <c r="E771" t="s">
        <v>124</v>
      </c>
    </row>
    <row r="772" spans="1:5">
      <c r="A772" t="s">
        <v>1778</v>
      </c>
      <c r="B772" t="s">
        <v>1778</v>
      </c>
      <c r="C772" t="s">
        <v>1732</v>
      </c>
      <c r="E772" t="s">
        <v>124</v>
      </c>
    </row>
    <row r="773" spans="1:5">
      <c r="A773" t="s">
        <v>1779</v>
      </c>
      <c r="B773" t="s">
        <v>1779</v>
      </c>
      <c r="C773" t="s">
        <v>1732</v>
      </c>
      <c r="E773" t="s">
        <v>124</v>
      </c>
    </row>
    <row r="774" spans="1:5">
      <c r="A774" t="s">
        <v>1780</v>
      </c>
      <c r="B774" t="s">
        <v>1780</v>
      </c>
      <c r="C774" t="s">
        <v>1732</v>
      </c>
      <c r="E774" t="s">
        <v>124</v>
      </c>
    </row>
    <row r="775" spans="1:5">
      <c r="A775" t="s">
        <v>435</v>
      </c>
      <c r="B775" t="s">
        <v>435</v>
      </c>
      <c r="C775" t="s">
        <v>1732</v>
      </c>
      <c r="E775" t="s">
        <v>124</v>
      </c>
    </row>
    <row r="776" spans="1:5">
      <c r="A776" t="s">
        <v>1781</v>
      </c>
      <c r="B776" t="s">
        <v>1782</v>
      </c>
      <c r="C776" t="s">
        <v>1732</v>
      </c>
      <c r="E776" t="s">
        <v>1783</v>
      </c>
    </row>
    <row r="777" spans="1:5">
      <c r="A777" t="s">
        <v>1784</v>
      </c>
      <c r="B777" t="s">
        <v>1784</v>
      </c>
      <c r="C777" t="s">
        <v>1732</v>
      </c>
      <c r="E777" t="s">
        <v>124</v>
      </c>
    </row>
    <row r="778" spans="1:5">
      <c r="A778" t="s">
        <v>1785</v>
      </c>
      <c r="B778" t="s">
        <v>1786</v>
      </c>
      <c r="C778" t="s">
        <v>1732</v>
      </c>
      <c r="E778" t="s">
        <v>1052</v>
      </c>
    </row>
    <row r="779" spans="1:5">
      <c r="A779" t="s">
        <v>1787</v>
      </c>
      <c r="B779" t="s">
        <v>1788</v>
      </c>
      <c r="C779" t="s">
        <v>1732</v>
      </c>
      <c r="E779" t="s">
        <v>1048</v>
      </c>
    </row>
    <row r="780" spans="1:5">
      <c r="A780" t="s">
        <v>1789</v>
      </c>
      <c r="B780" t="s">
        <v>1790</v>
      </c>
      <c r="C780" t="s">
        <v>1732</v>
      </c>
      <c r="E780" t="s">
        <v>1043</v>
      </c>
    </row>
    <row r="781" spans="1:5">
      <c r="A781" t="s">
        <v>1791</v>
      </c>
      <c r="B781" t="s">
        <v>1791</v>
      </c>
      <c r="C781" t="s">
        <v>1732</v>
      </c>
      <c r="E781" t="s">
        <v>124</v>
      </c>
    </row>
    <row r="782" spans="1:5">
      <c r="A782" t="s">
        <v>1792</v>
      </c>
      <c r="B782" t="s">
        <v>1792</v>
      </c>
      <c r="C782" t="s">
        <v>1732</v>
      </c>
      <c r="E782" t="s">
        <v>124</v>
      </c>
    </row>
    <row r="783" spans="1:5">
      <c r="A783" t="s">
        <v>1793</v>
      </c>
      <c r="B783" t="s">
        <v>1793</v>
      </c>
      <c r="C783" t="s">
        <v>1732</v>
      </c>
      <c r="E783" t="s">
        <v>124</v>
      </c>
    </row>
    <row r="784" spans="1:5">
      <c r="A784" t="s">
        <v>1794</v>
      </c>
      <c r="B784" t="s">
        <v>1794</v>
      </c>
      <c r="C784" t="s">
        <v>1732</v>
      </c>
      <c r="E784" t="s">
        <v>124</v>
      </c>
    </row>
    <row r="785" spans="1:5">
      <c r="A785" t="s">
        <v>1795</v>
      </c>
      <c r="B785" t="s">
        <v>1795</v>
      </c>
      <c r="C785" t="s">
        <v>1732</v>
      </c>
      <c r="E785" t="s">
        <v>124</v>
      </c>
    </row>
    <row r="786" spans="1:5">
      <c r="A786" t="s">
        <v>458</v>
      </c>
      <c r="B786" t="s">
        <v>458</v>
      </c>
      <c r="C786" t="s">
        <v>1732</v>
      </c>
      <c r="E786" t="s">
        <v>124</v>
      </c>
    </row>
    <row r="787" spans="1:5">
      <c r="A787" t="s">
        <v>1796</v>
      </c>
      <c r="B787" t="s">
        <v>1796</v>
      </c>
      <c r="C787" t="s">
        <v>1732</v>
      </c>
      <c r="E787" t="s">
        <v>124</v>
      </c>
    </row>
    <row r="788" s="63" customFormat="1" spans="1:5">
      <c r="A788" s="63" t="s">
        <v>1797</v>
      </c>
      <c r="B788" s="63" t="s">
        <v>1797</v>
      </c>
      <c r="C788" s="63" t="s">
        <v>1732</v>
      </c>
      <c r="E788" s="63" t="s">
        <v>1032</v>
      </c>
    </row>
    <row r="789" spans="1:5">
      <c r="A789" t="s">
        <v>1798</v>
      </c>
      <c r="B789" t="s">
        <v>1798</v>
      </c>
      <c r="C789" t="s">
        <v>1732</v>
      </c>
      <c r="E789" t="s">
        <v>124</v>
      </c>
    </row>
    <row r="790" spans="1:5">
      <c r="A790" t="s">
        <v>1799</v>
      </c>
      <c r="B790" t="s">
        <v>1799</v>
      </c>
      <c r="C790" t="s">
        <v>1732</v>
      </c>
      <c r="E790" t="s">
        <v>124</v>
      </c>
    </row>
    <row r="791" s="63" customFormat="1" spans="1:5">
      <c r="A791" s="63" t="s">
        <v>1800</v>
      </c>
      <c r="B791" s="63" t="s">
        <v>1800</v>
      </c>
      <c r="C791" s="63" t="s">
        <v>1732</v>
      </c>
      <c r="E791" s="63" t="s">
        <v>124</v>
      </c>
    </row>
    <row r="792" s="63" customFormat="1" spans="1:5">
      <c r="A792" s="63" t="s">
        <v>1801</v>
      </c>
      <c r="B792" s="63" t="s">
        <v>1801</v>
      </c>
      <c r="C792" s="63" t="s">
        <v>1732</v>
      </c>
      <c r="E792" s="63" t="s">
        <v>124</v>
      </c>
    </row>
    <row r="793" s="63" customFormat="1" spans="1:5">
      <c r="A793" s="63" t="s">
        <v>1802</v>
      </c>
      <c r="B793" s="63" t="s">
        <v>1802</v>
      </c>
      <c r="C793" s="63" t="s">
        <v>1732</v>
      </c>
      <c r="E793" s="63" t="s">
        <v>124</v>
      </c>
    </row>
    <row r="794" s="63" customFormat="1" spans="1:5">
      <c r="A794" s="63" t="s">
        <v>1803</v>
      </c>
      <c r="B794" s="63" t="s">
        <v>1803</v>
      </c>
      <c r="C794" s="63" t="s">
        <v>1732</v>
      </c>
      <c r="E794" s="63" t="s">
        <v>124</v>
      </c>
    </row>
    <row r="795" s="63" customFormat="1" spans="1:5">
      <c r="A795" s="63" t="s">
        <v>1804</v>
      </c>
      <c r="B795" s="63" t="s">
        <v>1804</v>
      </c>
      <c r="C795" s="63" t="s">
        <v>1732</v>
      </c>
      <c r="E795" s="63" t="s">
        <v>124</v>
      </c>
    </row>
    <row r="796" s="63" customFormat="1" spans="1:5">
      <c r="A796" s="63" t="s">
        <v>1805</v>
      </c>
      <c r="B796" s="63" t="s">
        <v>1805</v>
      </c>
      <c r="C796" s="63" t="s">
        <v>1732</v>
      </c>
      <c r="E796" s="63" t="s">
        <v>124</v>
      </c>
    </row>
    <row r="797" s="63" customFormat="1" spans="1:5">
      <c r="A797" s="63" t="s">
        <v>1806</v>
      </c>
      <c r="B797" s="63" t="s">
        <v>1806</v>
      </c>
      <c r="C797" s="63" t="s">
        <v>1732</v>
      </c>
      <c r="E797" s="63" t="s">
        <v>124</v>
      </c>
    </row>
    <row r="798" s="63" customFormat="1" spans="1:5">
      <c r="A798" s="63" t="s">
        <v>1807</v>
      </c>
      <c r="B798" s="63" t="s">
        <v>1807</v>
      </c>
      <c r="C798" s="63" t="s">
        <v>1732</v>
      </c>
      <c r="E798" s="63" t="s">
        <v>124</v>
      </c>
    </row>
    <row r="799" spans="1:5">
      <c r="A799" t="s">
        <v>1808</v>
      </c>
      <c r="B799" t="s">
        <v>1808</v>
      </c>
      <c r="C799" t="s">
        <v>1732</v>
      </c>
      <c r="E799" t="s">
        <v>124</v>
      </c>
    </row>
    <row r="800" spans="1:5">
      <c r="A800" t="s">
        <v>1809</v>
      </c>
      <c r="B800" t="s">
        <v>1809</v>
      </c>
      <c r="C800" t="s">
        <v>1732</v>
      </c>
      <c r="E800" t="s">
        <v>1124</v>
      </c>
    </row>
    <row r="801" spans="1:5">
      <c r="A801" t="s">
        <v>727</v>
      </c>
      <c r="B801" t="s">
        <v>727</v>
      </c>
      <c r="C801" t="s">
        <v>1732</v>
      </c>
      <c r="E801" t="s">
        <v>124</v>
      </c>
    </row>
    <row r="802" spans="1:5">
      <c r="A802" t="s">
        <v>1810</v>
      </c>
      <c r="B802" t="s">
        <v>1810</v>
      </c>
      <c r="C802" t="s">
        <v>1732</v>
      </c>
      <c r="E802" t="s">
        <v>124</v>
      </c>
    </row>
    <row r="803" s="63" customFormat="1" spans="1:5">
      <c r="A803" s="63" t="s">
        <v>660</v>
      </c>
      <c r="B803" s="63" t="s">
        <v>603</v>
      </c>
      <c r="C803" s="63" t="s">
        <v>1732</v>
      </c>
      <c r="E803" s="63" t="s">
        <v>622</v>
      </c>
    </row>
    <row r="804" s="63" customFormat="1" spans="1:5">
      <c r="A804" s="63" t="s">
        <v>1811</v>
      </c>
      <c r="B804" s="63" t="s">
        <v>1811</v>
      </c>
      <c r="C804" s="63" t="s">
        <v>1732</v>
      </c>
      <c r="E804" s="63" t="s">
        <v>329</v>
      </c>
    </row>
    <row r="805" spans="1:5">
      <c r="A805" t="s">
        <v>217</v>
      </c>
      <c r="B805" t="s">
        <v>217</v>
      </c>
      <c r="C805" t="s">
        <v>1732</v>
      </c>
      <c r="E805" t="s">
        <v>1032</v>
      </c>
    </row>
    <row r="806" spans="1:5">
      <c r="A806" t="s">
        <v>1812</v>
      </c>
      <c r="B806" t="s">
        <v>1812</v>
      </c>
      <c r="C806" t="s">
        <v>1732</v>
      </c>
      <c r="E806" t="s">
        <v>292</v>
      </c>
    </row>
    <row r="807" s="63" customFormat="1" spans="1:5">
      <c r="A807" s="63" t="s">
        <v>1813</v>
      </c>
      <c r="B807" s="63" t="s">
        <v>1813</v>
      </c>
      <c r="C807" s="63" t="s">
        <v>1732</v>
      </c>
      <c r="E807" s="63" t="s">
        <v>1032</v>
      </c>
    </row>
    <row r="808" spans="1:5">
      <c r="A808" t="s">
        <v>1814</v>
      </c>
      <c r="B808" t="s">
        <v>1814</v>
      </c>
      <c r="C808" t="s">
        <v>1732</v>
      </c>
      <c r="E808" t="s">
        <v>1124</v>
      </c>
    </row>
    <row r="809" spans="1:5">
      <c r="A809" t="s">
        <v>1815</v>
      </c>
      <c r="B809" t="s">
        <v>1815</v>
      </c>
      <c r="C809" t="s">
        <v>1732</v>
      </c>
      <c r="E809" t="s">
        <v>1124</v>
      </c>
    </row>
    <row r="810" spans="1:5">
      <c r="A810" t="s">
        <v>1816</v>
      </c>
      <c r="B810" t="s">
        <v>1816</v>
      </c>
      <c r="C810" t="s">
        <v>1732</v>
      </c>
      <c r="E810" t="s">
        <v>316</v>
      </c>
    </row>
    <row r="811" spans="1:5">
      <c r="A811" t="s">
        <v>1817</v>
      </c>
      <c r="B811" t="s">
        <v>1817</v>
      </c>
      <c r="C811" t="s">
        <v>1732</v>
      </c>
      <c r="E811" t="s">
        <v>124</v>
      </c>
    </row>
    <row r="812" spans="1:5">
      <c r="A812" t="s">
        <v>1818</v>
      </c>
      <c r="B812" t="s">
        <v>1818</v>
      </c>
      <c r="C812" t="s">
        <v>1732</v>
      </c>
      <c r="E812" t="s">
        <v>124</v>
      </c>
    </row>
    <row r="813" spans="1:5">
      <c r="A813" t="s">
        <v>1819</v>
      </c>
      <c r="B813" t="s">
        <v>1819</v>
      </c>
      <c r="C813" t="s">
        <v>1732</v>
      </c>
      <c r="E813" t="s">
        <v>124</v>
      </c>
    </row>
    <row r="814" spans="1:5">
      <c r="A814" t="s">
        <v>1820</v>
      </c>
      <c r="B814" t="s">
        <v>1820</v>
      </c>
      <c r="C814" t="s">
        <v>1732</v>
      </c>
      <c r="E814" t="s">
        <v>124</v>
      </c>
    </row>
    <row r="815" spans="1:5">
      <c r="A815" t="s">
        <v>1821</v>
      </c>
      <c r="B815" t="s">
        <v>1821</v>
      </c>
      <c r="C815" t="s">
        <v>1732</v>
      </c>
      <c r="E815" t="s">
        <v>124</v>
      </c>
    </row>
    <row r="816" spans="1:5">
      <c r="A816" t="s">
        <v>1822</v>
      </c>
      <c r="B816" t="s">
        <v>1822</v>
      </c>
      <c r="C816" t="s">
        <v>1732</v>
      </c>
      <c r="E816" t="s">
        <v>124</v>
      </c>
    </row>
    <row r="817" spans="1:5">
      <c r="A817" t="s">
        <v>1823</v>
      </c>
      <c r="B817" t="s">
        <v>1823</v>
      </c>
      <c r="C817" t="s">
        <v>1732</v>
      </c>
      <c r="E817" t="s">
        <v>124</v>
      </c>
    </row>
    <row r="818" spans="1:5">
      <c r="A818" t="s">
        <v>1824</v>
      </c>
      <c r="B818" t="s">
        <v>1824</v>
      </c>
      <c r="C818" t="s">
        <v>1732</v>
      </c>
      <c r="E818" t="s">
        <v>124</v>
      </c>
    </row>
    <row r="819" spans="1:5">
      <c r="A819" t="s">
        <v>1825</v>
      </c>
      <c r="B819" t="s">
        <v>1825</v>
      </c>
      <c r="C819" t="s">
        <v>1732</v>
      </c>
      <c r="E819" t="s">
        <v>124</v>
      </c>
    </row>
    <row r="820" spans="1:5">
      <c r="A820" t="s">
        <v>1826</v>
      </c>
      <c r="B820" t="s">
        <v>1826</v>
      </c>
      <c r="C820" t="s">
        <v>1732</v>
      </c>
      <c r="E820" t="s">
        <v>124</v>
      </c>
    </row>
    <row r="821" spans="1:5">
      <c r="A821" t="s">
        <v>1827</v>
      </c>
      <c r="B821" t="s">
        <v>1827</v>
      </c>
      <c r="C821" t="s">
        <v>1732</v>
      </c>
      <c r="E821" t="s">
        <v>124</v>
      </c>
    </row>
    <row r="822" spans="1:5">
      <c r="A822" t="s">
        <v>1828</v>
      </c>
      <c r="B822" t="s">
        <v>1828</v>
      </c>
      <c r="C822" t="s">
        <v>1732</v>
      </c>
      <c r="E822" t="s">
        <v>124</v>
      </c>
    </row>
    <row r="823" spans="1:5">
      <c r="A823" t="s">
        <v>1829</v>
      </c>
      <c r="B823" t="s">
        <v>1829</v>
      </c>
      <c r="C823" t="s">
        <v>1732</v>
      </c>
      <c r="E823" t="s">
        <v>124</v>
      </c>
    </row>
    <row r="824" spans="1:5">
      <c r="A824" t="s">
        <v>1830</v>
      </c>
      <c r="B824" t="s">
        <v>1830</v>
      </c>
      <c r="C824" t="s">
        <v>1732</v>
      </c>
      <c r="E824" t="s">
        <v>124</v>
      </c>
    </row>
    <row r="825" spans="1:5">
      <c r="A825" t="s">
        <v>1831</v>
      </c>
      <c r="B825" t="s">
        <v>1831</v>
      </c>
      <c r="C825" t="s">
        <v>1732</v>
      </c>
      <c r="E825" t="s">
        <v>1124</v>
      </c>
    </row>
    <row r="826" spans="1:5">
      <c r="A826" t="s">
        <v>1832</v>
      </c>
      <c r="B826" t="s">
        <v>1833</v>
      </c>
      <c r="C826" t="s">
        <v>1732</v>
      </c>
      <c r="E826" t="s">
        <v>124</v>
      </c>
    </row>
    <row r="827" spans="1:5">
      <c r="A827" t="s">
        <v>729</v>
      </c>
      <c r="B827" t="s">
        <v>729</v>
      </c>
      <c r="C827" t="s">
        <v>1732</v>
      </c>
      <c r="E827" t="s">
        <v>124</v>
      </c>
    </row>
    <row r="828" spans="1:5">
      <c r="A828" t="s">
        <v>1834</v>
      </c>
      <c r="B828" t="s">
        <v>1834</v>
      </c>
      <c r="C828" t="s">
        <v>1732</v>
      </c>
      <c r="E828" t="s">
        <v>124</v>
      </c>
    </row>
    <row r="829" spans="1:5">
      <c r="A829" t="s">
        <v>1835</v>
      </c>
      <c r="B829" t="s">
        <v>1835</v>
      </c>
      <c r="C829" t="s">
        <v>1732</v>
      </c>
      <c r="E829" t="s">
        <v>124</v>
      </c>
    </row>
    <row r="830" spans="1:5">
      <c r="A830" t="s">
        <v>1836</v>
      </c>
      <c r="B830" t="s">
        <v>1836</v>
      </c>
      <c r="C830" t="s">
        <v>1732</v>
      </c>
      <c r="E830" t="s">
        <v>124</v>
      </c>
    </row>
    <row r="831" spans="1:5">
      <c r="A831" t="s">
        <v>726</v>
      </c>
      <c r="B831" t="s">
        <v>726</v>
      </c>
      <c r="C831" t="s">
        <v>1732</v>
      </c>
      <c r="E831" t="s">
        <v>124</v>
      </c>
    </row>
    <row r="832" spans="1:5">
      <c r="A832" t="s">
        <v>1837</v>
      </c>
      <c r="B832" t="s">
        <v>1837</v>
      </c>
      <c r="C832" t="s">
        <v>1732</v>
      </c>
      <c r="E832" t="s">
        <v>124</v>
      </c>
    </row>
    <row r="833" spans="1:5">
      <c r="A833" t="s">
        <v>1838</v>
      </c>
      <c r="B833" t="s">
        <v>1838</v>
      </c>
      <c r="C833" t="s">
        <v>1732</v>
      </c>
      <c r="E833" t="s">
        <v>124</v>
      </c>
    </row>
    <row r="834" spans="1:5">
      <c r="A834" t="s">
        <v>164</v>
      </c>
      <c r="B834" t="s">
        <v>164</v>
      </c>
      <c r="C834" t="s">
        <v>1732</v>
      </c>
      <c r="E834" t="s">
        <v>1048</v>
      </c>
    </row>
    <row r="835" spans="1:5">
      <c r="A835" t="s">
        <v>1839</v>
      </c>
      <c r="B835" t="s">
        <v>1839</v>
      </c>
      <c r="C835" t="s">
        <v>1732</v>
      </c>
      <c r="E835" t="s">
        <v>124</v>
      </c>
    </row>
    <row r="836" spans="1:5">
      <c r="A836" t="s">
        <v>1840</v>
      </c>
      <c r="B836" t="s">
        <v>1841</v>
      </c>
      <c r="C836" t="s">
        <v>1732</v>
      </c>
      <c r="E836" t="s">
        <v>124</v>
      </c>
    </row>
    <row r="837" spans="1:5">
      <c r="A837" t="s">
        <v>1842</v>
      </c>
      <c r="B837" t="s">
        <v>1842</v>
      </c>
      <c r="C837" t="s">
        <v>1732</v>
      </c>
      <c r="E837" t="s">
        <v>124</v>
      </c>
    </row>
    <row r="838" spans="1:5">
      <c r="A838" t="s">
        <v>1843</v>
      </c>
      <c r="B838" t="s">
        <v>1843</v>
      </c>
      <c r="C838" t="s">
        <v>1732</v>
      </c>
      <c r="E838" t="s">
        <v>124</v>
      </c>
    </row>
    <row r="839" spans="1:5">
      <c r="A839" t="s">
        <v>1844</v>
      </c>
      <c r="B839" t="s">
        <v>1844</v>
      </c>
      <c r="C839" t="s">
        <v>1732</v>
      </c>
      <c r="E839" t="s">
        <v>1124</v>
      </c>
    </row>
    <row r="840" spans="1:5">
      <c r="A840" t="s">
        <v>631</v>
      </c>
      <c r="B840" t="s">
        <v>631</v>
      </c>
      <c r="C840" t="s">
        <v>1732</v>
      </c>
      <c r="E840" t="s">
        <v>124</v>
      </c>
    </row>
    <row r="841" spans="1:5">
      <c r="A841" t="s">
        <v>1845</v>
      </c>
      <c r="B841" t="s">
        <v>1845</v>
      </c>
      <c r="C841" t="s">
        <v>1732</v>
      </c>
      <c r="E841" t="s">
        <v>124</v>
      </c>
    </row>
    <row r="842" spans="1:5">
      <c r="A842" t="s">
        <v>653</v>
      </c>
      <c r="B842" t="s">
        <v>653</v>
      </c>
      <c r="C842" t="s">
        <v>1732</v>
      </c>
      <c r="E842" t="s">
        <v>124</v>
      </c>
    </row>
    <row r="843" spans="1:5">
      <c r="A843" t="s">
        <v>1846</v>
      </c>
      <c r="B843" t="s">
        <v>1846</v>
      </c>
      <c r="C843" t="s">
        <v>1732</v>
      </c>
      <c r="E843" t="s">
        <v>124</v>
      </c>
    </row>
    <row r="844" spans="1:5">
      <c r="A844" t="s">
        <v>1847</v>
      </c>
      <c r="B844" t="s">
        <v>1847</v>
      </c>
      <c r="C844" t="s">
        <v>1732</v>
      </c>
      <c r="E844" t="s">
        <v>124</v>
      </c>
    </row>
    <row r="845" spans="1:5">
      <c r="A845" t="s">
        <v>1848</v>
      </c>
      <c r="B845" t="s">
        <v>1848</v>
      </c>
      <c r="C845" t="s">
        <v>1732</v>
      </c>
      <c r="E845" t="s">
        <v>124</v>
      </c>
    </row>
    <row r="846" spans="1:5">
      <c r="A846" t="s">
        <v>1849</v>
      </c>
      <c r="B846" t="s">
        <v>1849</v>
      </c>
      <c r="C846" t="s">
        <v>1732</v>
      </c>
      <c r="E846" t="s">
        <v>124</v>
      </c>
    </row>
    <row r="847" spans="1:5">
      <c r="A847" t="s">
        <v>1850</v>
      </c>
      <c r="B847" t="s">
        <v>1850</v>
      </c>
      <c r="C847" t="s">
        <v>1732</v>
      </c>
      <c r="E847" t="s">
        <v>329</v>
      </c>
    </row>
    <row r="848" spans="1:5">
      <c r="A848" t="s">
        <v>1851</v>
      </c>
      <c r="B848" t="s">
        <v>1852</v>
      </c>
      <c r="C848" t="s">
        <v>1732</v>
      </c>
      <c r="E848" t="s">
        <v>329</v>
      </c>
    </row>
    <row r="849" spans="1:5">
      <c r="A849" t="s">
        <v>1853</v>
      </c>
      <c r="B849" t="s">
        <v>1853</v>
      </c>
      <c r="C849" t="s">
        <v>1732</v>
      </c>
      <c r="E849" t="s">
        <v>124</v>
      </c>
    </row>
    <row r="850" spans="1:5">
      <c r="A850" t="s">
        <v>1854</v>
      </c>
      <c r="B850" t="s">
        <v>1854</v>
      </c>
      <c r="C850" t="s">
        <v>1732</v>
      </c>
      <c r="E850" t="s">
        <v>124</v>
      </c>
    </row>
    <row r="851" spans="1:5">
      <c r="A851" t="s">
        <v>1855</v>
      </c>
      <c r="B851" t="s">
        <v>1855</v>
      </c>
      <c r="C851" t="s">
        <v>1732</v>
      </c>
      <c r="E851" t="s">
        <v>124</v>
      </c>
    </row>
    <row r="852" spans="1:5">
      <c r="A852" t="s">
        <v>1856</v>
      </c>
      <c r="B852" t="s">
        <v>1856</v>
      </c>
      <c r="C852" t="s">
        <v>1732</v>
      </c>
      <c r="E852" t="s">
        <v>124</v>
      </c>
    </row>
    <row r="853" spans="1:5">
      <c r="A853" t="s">
        <v>1857</v>
      </c>
      <c r="B853" t="s">
        <v>1857</v>
      </c>
      <c r="C853" t="s">
        <v>1732</v>
      </c>
      <c r="E853" t="s">
        <v>124</v>
      </c>
    </row>
    <row r="854" spans="1:5">
      <c r="A854" t="s">
        <v>1858</v>
      </c>
      <c r="B854" t="s">
        <v>1858</v>
      </c>
      <c r="C854" t="s">
        <v>1732</v>
      </c>
      <c r="E854" t="s">
        <v>124</v>
      </c>
    </row>
    <row r="855" spans="1:5">
      <c r="A855" t="s">
        <v>1859</v>
      </c>
      <c r="B855" t="s">
        <v>1859</v>
      </c>
      <c r="C855" t="s">
        <v>1732</v>
      </c>
      <c r="E855" t="s">
        <v>124</v>
      </c>
    </row>
    <row r="856" spans="1:5">
      <c r="A856" t="s">
        <v>1860</v>
      </c>
      <c r="B856" t="s">
        <v>1860</v>
      </c>
      <c r="C856" t="s">
        <v>1732</v>
      </c>
      <c r="E856" t="s">
        <v>124</v>
      </c>
    </row>
    <row r="857" spans="1:5">
      <c r="A857" t="s">
        <v>1861</v>
      </c>
      <c r="B857" t="s">
        <v>1861</v>
      </c>
      <c r="C857" t="s">
        <v>1732</v>
      </c>
      <c r="E857" t="s">
        <v>124</v>
      </c>
    </row>
    <row r="858" spans="1:5">
      <c r="A858" t="s">
        <v>1862</v>
      </c>
      <c r="B858" t="s">
        <v>1862</v>
      </c>
      <c r="C858" t="s">
        <v>1732</v>
      </c>
      <c r="E858" t="s">
        <v>124</v>
      </c>
    </row>
    <row r="859" spans="1:5">
      <c r="A859" t="s">
        <v>1863</v>
      </c>
      <c r="B859" t="s">
        <v>1863</v>
      </c>
      <c r="C859" t="s">
        <v>1732</v>
      </c>
      <c r="E859" t="s">
        <v>124</v>
      </c>
    </row>
    <row r="860" spans="1:5">
      <c r="A860" t="s">
        <v>1864</v>
      </c>
      <c r="B860" t="s">
        <v>1864</v>
      </c>
      <c r="C860" t="s">
        <v>1732</v>
      </c>
      <c r="E860" t="s">
        <v>124</v>
      </c>
    </row>
    <row r="861" spans="1:5">
      <c r="A861" t="s">
        <v>1865</v>
      </c>
      <c r="B861" t="s">
        <v>1865</v>
      </c>
      <c r="C861" t="s">
        <v>1732</v>
      </c>
      <c r="E861" t="s">
        <v>124</v>
      </c>
    </row>
    <row r="862" spans="1:5">
      <c r="A862" t="s">
        <v>1866</v>
      </c>
      <c r="B862" t="s">
        <v>1866</v>
      </c>
      <c r="C862" t="s">
        <v>1732</v>
      </c>
      <c r="E862" t="s">
        <v>124</v>
      </c>
    </row>
    <row r="863" spans="1:5">
      <c r="A863" t="s">
        <v>1867</v>
      </c>
      <c r="B863" t="s">
        <v>1867</v>
      </c>
      <c r="C863" t="s">
        <v>1732</v>
      </c>
      <c r="E863" t="s">
        <v>124</v>
      </c>
    </row>
    <row r="864" spans="1:5">
      <c r="A864" t="s">
        <v>1868</v>
      </c>
      <c r="B864" t="s">
        <v>1868</v>
      </c>
      <c r="C864" t="s">
        <v>1732</v>
      </c>
      <c r="E864" t="s">
        <v>292</v>
      </c>
    </row>
    <row r="865" spans="1:5">
      <c r="A865" t="s">
        <v>1869</v>
      </c>
      <c r="B865" t="s">
        <v>1869</v>
      </c>
      <c r="C865" t="s">
        <v>1732</v>
      </c>
      <c r="E865" t="s">
        <v>292</v>
      </c>
    </row>
    <row r="866" spans="1:5">
      <c r="A866" t="s">
        <v>1870</v>
      </c>
      <c r="B866" t="s">
        <v>1870</v>
      </c>
      <c r="C866" t="s">
        <v>1732</v>
      </c>
      <c r="E866" t="s">
        <v>124</v>
      </c>
    </row>
    <row r="867" spans="1:5">
      <c r="A867" t="s">
        <v>619</v>
      </c>
      <c r="B867" t="s">
        <v>619</v>
      </c>
      <c r="C867" t="s">
        <v>1732</v>
      </c>
      <c r="E867" t="s">
        <v>124</v>
      </c>
    </row>
    <row r="868" spans="1:5">
      <c r="A868" t="s">
        <v>668</v>
      </c>
      <c r="B868" t="s">
        <v>668</v>
      </c>
      <c r="C868" t="s">
        <v>1732</v>
      </c>
      <c r="E868" t="s">
        <v>124</v>
      </c>
    </row>
    <row r="869" spans="1:5">
      <c r="A869" t="s">
        <v>1871</v>
      </c>
      <c r="B869" t="s">
        <v>1871</v>
      </c>
      <c r="C869" t="s">
        <v>1732</v>
      </c>
      <c r="E869" t="s">
        <v>124</v>
      </c>
    </row>
    <row r="870" spans="1:5">
      <c r="A870" t="s">
        <v>664</v>
      </c>
      <c r="B870" t="s">
        <v>664</v>
      </c>
      <c r="C870" t="s">
        <v>1732</v>
      </c>
      <c r="E870" t="s">
        <v>124</v>
      </c>
    </row>
    <row r="871" spans="1:5">
      <c r="A871" t="s">
        <v>665</v>
      </c>
      <c r="B871" t="s">
        <v>665</v>
      </c>
      <c r="C871" t="s">
        <v>1732</v>
      </c>
      <c r="E871" t="s">
        <v>124</v>
      </c>
    </row>
    <row r="872" spans="1:5">
      <c r="A872" t="s">
        <v>1872</v>
      </c>
      <c r="B872" t="s">
        <v>1872</v>
      </c>
      <c r="C872" t="s">
        <v>1732</v>
      </c>
      <c r="E872" t="s">
        <v>124</v>
      </c>
    </row>
    <row r="873" spans="1:5">
      <c r="A873" t="s">
        <v>1873</v>
      </c>
      <c r="B873" t="s">
        <v>1873</v>
      </c>
      <c r="C873" t="s">
        <v>1732</v>
      </c>
      <c r="E873" t="s">
        <v>124</v>
      </c>
    </row>
    <row r="874" spans="1:5">
      <c r="A874" t="s">
        <v>1874</v>
      </c>
      <c r="B874" t="s">
        <v>1874</v>
      </c>
      <c r="C874" t="s">
        <v>1732</v>
      </c>
      <c r="E874" t="s">
        <v>124</v>
      </c>
    </row>
    <row r="875" spans="1:5">
      <c r="A875" t="s">
        <v>1875</v>
      </c>
      <c r="B875" t="s">
        <v>1875</v>
      </c>
      <c r="C875" t="s">
        <v>1732</v>
      </c>
      <c r="E875" t="s">
        <v>475</v>
      </c>
    </row>
    <row r="876" spans="1:5">
      <c r="A876" t="s">
        <v>1876</v>
      </c>
      <c r="B876" t="s">
        <v>1876</v>
      </c>
      <c r="C876" t="s">
        <v>1732</v>
      </c>
      <c r="E876" t="s">
        <v>524</v>
      </c>
    </row>
    <row r="877" s="63" customFormat="1" spans="1:5">
      <c r="A877" s="63" t="s">
        <v>1877</v>
      </c>
      <c r="B877" s="63" t="s">
        <v>1877</v>
      </c>
      <c r="C877" s="63" t="s">
        <v>1732</v>
      </c>
      <c r="E877" s="63" t="s">
        <v>292</v>
      </c>
    </row>
    <row r="878" s="63" customFormat="1" spans="1:5">
      <c r="A878" s="63" t="s">
        <v>1878</v>
      </c>
      <c r="B878" s="63" t="s">
        <v>1878</v>
      </c>
      <c r="C878" s="63" t="s">
        <v>1732</v>
      </c>
      <c r="E878" s="63" t="s">
        <v>1032</v>
      </c>
    </row>
    <row r="879" s="63" customFormat="1" spans="1:5">
      <c r="A879" s="63" t="s">
        <v>1879</v>
      </c>
      <c r="B879" s="63" t="s">
        <v>1879</v>
      </c>
      <c r="C879" s="63" t="s">
        <v>1732</v>
      </c>
      <c r="E879" s="63" t="s">
        <v>329</v>
      </c>
    </row>
    <row r="880" s="63" customFormat="1" spans="1:5">
      <c r="A880" s="63" t="s">
        <v>690</v>
      </c>
      <c r="B880" s="63" t="s">
        <v>690</v>
      </c>
      <c r="C880" s="63" t="s">
        <v>1732</v>
      </c>
      <c r="E880" s="63" t="s">
        <v>622</v>
      </c>
    </row>
    <row r="881" spans="1:5">
      <c r="A881" t="s">
        <v>1880</v>
      </c>
      <c r="B881" t="s">
        <v>766</v>
      </c>
      <c r="C881" t="s">
        <v>1732</v>
      </c>
      <c r="E881" t="s">
        <v>124</v>
      </c>
    </row>
    <row r="882" s="63" customFormat="1" spans="1:5">
      <c r="A882" s="63" t="s">
        <v>1881</v>
      </c>
      <c r="B882" s="63" t="s">
        <v>1881</v>
      </c>
      <c r="C882" s="63" t="s">
        <v>1732</v>
      </c>
      <c r="E882" s="63" t="s">
        <v>124</v>
      </c>
    </row>
    <row r="883" spans="1:5">
      <c r="A883" t="s">
        <v>1882</v>
      </c>
      <c r="B883" t="s">
        <v>1882</v>
      </c>
      <c r="C883" t="s">
        <v>1732</v>
      </c>
      <c r="E883" t="s">
        <v>292</v>
      </c>
    </row>
    <row r="884" s="63" customFormat="1" spans="1:5">
      <c r="A884" s="63" t="s">
        <v>1883</v>
      </c>
      <c r="B884" s="63" t="s">
        <v>1883</v>
      </c>
      <c r="C884" s="63" t="s">
        <v>1732</v>
      </c>
      <c r="E884" s="63" t="s">
        <v>1032</v>
      </c>
    </row>
    <row r="885" spans="1:5">
      <c r="A885" t="s">
        <v>1884</v>
      </c>
      <c r="B885" t="s">
        <v>1884</v>
      </c>
      <c r="C885" t="s">
        <v>1732</v>
      </c>
      <c r="E885" t="s">
        <v>316</v>
      </c>
    </row>
    <row r="886" spans="1:5">
      <c r="A886" t="s">
        <v>1885</v>
      </c>
      <c r="B886" t="s">
        <v>1885</v>
      </c>
      <c r="C886" t="s">
        <v>1732</v>
      </c>
      <c r="E886" t="s">
        <v>316</v>
      </c>
    </row>
    <row r="887" spans="1:5">
      <c r="A887" t="s">
        <v>1886</v>
      </c>
      <c r="B887" t="s">
        <v>1886</v>
      </c>
      <c r="C887" t="s">
        <v>1732</v>
      </c>
      <c r="E887" t="s">
        <v>316</v>
      </c>
    </row>
    <row r="888" s="63" customFormat="1" spans="1:5">
      <c r="A888" s="63" t="s">
        <v>283</v>
      </c>
      <c r="B888" s="63" t="s">
        <v>283</v>
      </c>
      <c r="C888" s="63" t="s">
        <v>1732</v>
      </c>
      <c r="E888" s="63" t="s">
        <v>1887</v>
      </c>
    </row>
    <row r="889" spans="1:5">
      <c r="A889" t="s">
        <v>1888</v>
      </c>
      <c r="B889" t="s">
        <v>1888</v>
      </c>
      <c r="C889" t="s">
        <v>1732</v>
      </c>
      <c r="E889" t="s">
        <v>124</v>
      </c>
    </row>
    <row r="890" s="63" customFormat="1" spans="1:5">
      <c r="A890" s="63" t="s">
        <v>332</v>
      </c>
      <c r="B890" s="63" t="s">
        <v>332</v>
      </c>
      <c r="C890" s="63" t="s">
        <v>1732</v>
      </c>
      <c r="E890" s="63" t="s">
        <v>329</v>
      </c>
    </row>
    <row r="891" s="63" customFormat="1" spans="1:5">
      <c r="A891" s="63" t="s">
        <v>333</v>
      </c>
      <c r="B891" s="63" t="s">
        <v>1889</v>
      </c>
      <c r="C891" s="63" t="s">
        <v>1732</v>
      </c>
      <c r="E891" s="63" t="s">
        <v>329</v>
      </c>
    </row>
    <row r="892" s="63" customFormat="1" spans="1:5">
      <c r="A892" s="63" t="s">
        <v>1890</v>
      </c>
      <c r="B892" s="63" t="s">
        <v>1890</v>
      </c>
      <c r="C892" s="63" t="s">
        <v>1732</v>
      </c>
      <c r="E892" s="63" t="s">
        <v>124</v>
      </c>
    </row>
    <row r="893" s="63" customFormat="1" spans="1:5">
      <c r="A893" s="63" t="s">
        <v>1891</v>
      </c>
      <c r="B893" s="63" t="s">
        <v>1891</v>
      </c>
      <c r="C893" s="63" t="s">
        <v>1732</v>
      </c>
      <c r="E893" s="63" t="s">
        <v>124</v>
      </c>
    </row>
    <row r="894" s="63" customFormat="1" spans="1:5">
      <c r="A894" s="63" t="s">
        <v>1892</v>
      </c>
      <c r="B894" s="63" t="s">
        <v>1892</v>
      </c>
      <c r="C894" s="63" t="s">
        <v>1732</v>
      </c>
      <c r="E894" s="63" t="s">
        <v>124</v>
      </c>
    </row>
    <row r="895" s="63" customFormat="1" spans="1:5">
      <c r="A895" s="63" t="s">
        <v>1893</v>
      </c>
      <c r="B895" s="63" t="s">
        <v>1893</v>
      </c>
      <c r="C895" s="63" t="s">
        <v>1732</v>
      </c>
      <c r="E895" s="63" t="s">
        <v>124</v>
      </c>
    </row>
    <row r="896" spans="1:5">
      <c r="A896" t="s">
        <v>1894</v>
      </c>
      <c r="B896" t="s">
        <v>1894</v>
      </c>
      <c r="C896" t="s">
        <v>1732</v>
      </c>
      <c r="E896" t="s">
        <v>124</v>
      </c>
    </row>
    <row r="897" s="63" customFormat="1" spans="1:5">
      <c r="A897" s="63" t="s">
        <v>1895</v>
      </c>
      <c r="B897" s="63" t="s">
        <v>1895</v>
      </c>
      <c r="C897" s="63" t="s">
        <v>1732</v>
      </c>
      <c r="E897" s="63" t="s">
        <v>124</v>
      </c>
    </row>
    <row r="898" s="63" customFormat="1" spans="1:5">
      <c r="A898" s="63" t="s">
        <v>1896</v>
      </c>
      <c r="B898" s="63" t="s">
        <v>1896</v>
      </c>
      <c r="C898" s="63" t="s">
        <v>1732</v>
      </c>
      <c r="E898" s="63" t="s">
        <v>124</v>
      </c>
    </row>
    <row r="899" spans="1:5">
      <c r="A899" t="s">
        <v>1897</v>
      </c>
      <c r="B899" t="s">
        <v>1897</v>
      </c>
      <c r="C899" t="s">
        <v>1732</v>
      </c>
      <c r="E899" t="s">
        <v>124</v>
      </c>
    </row>
    <row r="900" s="63" customFormat="1" spans="1:5">
      <c r="A900" s="63" t="s">
        <v>1898</v>
      </c>
      <c r="B900" s="63" t="s">
        <v>1898</v>
      </c>
      <c r="C900" s="63" t="s">
        <v>1732</v>
      </c>
      <c r="E900" s="63" t="s">
        <v>124</v>
      </c>
    </row>
    <row r="901" s="63" customFormat="1" spans="1:5">
      <c r="A901" s="63" t="s">
        <v>1899</v>
      </c>
      <c r="B901" s="63" t="s">
        <v>1899</v>
      </c>
      <c r="C901" s="63" t="s">
        <v>1732</v>
      </c>
      <c r="E901" s="63" t="s">
        <v>124</v>
      </c>
    </row>
    <row r="902" spans="1:5">
      <c r="A902" t="s">
        <v>1900</v>
      </c>
      <c r="B902" t="s">
        <v>1900</v>
      </c>
      <c r="C902" t="s">
        <v>1732</v>
      </c>
      <c r="E902" t="s">
        <v>576</v>
      </c>
    </row>
    <row r="903" spans="1:5">
      <c r="A903" t="s">
        <v>725</v>
      </c>
      <c r="B903" t="s">
        <v>725</v>
      </c>
      <c r="C903" t="s">
        <v>1732</v>
      </c>
      <c r="E903" t="s">
        <v>124</v>
      </c>
    </row>
    <row r="904" s="63" customFormat="1" spans="1:5">
      <c r="A904" s="63" t="s">
        <v>1901</v>
      </c>
      <c r="B904" s="63" t="s">
        <v>1901</v>
      </c>
      <c r="C904" s="63" t="s">
        <v>1732</v>
      </c>
      <c r="E904" s="63" t="s">
        <v>124</v>
      </c>
    </row>
    <row r="905" spans="1:5">
      <c r="A905" t="s">
        <v>1902</v>
      </c>
      <c r="B905" t="s">
        <v>1902</v>
      </c>
      <c r="C905" t="s">
        <v>1732</v>
      </c>
      <c r="E905" t="s">
        <v>124</v>
      </c>
    </row>
    <row r="906" spans="1:5">
      <c r="A906" t="s">
        <v>1903</v>
      </c>
      <c r="B906" t="s">
        <v>1903</v>
      </c>
      <c r="C906" t="s">
        <v>1732</v>
      </c>
      <c r="E906" t="s">
        <v>124</v>
      </c>
    </row>
    <row r="907" spans="1:5">
      <c r="A907" t="s">
        <v>1904</v>
      </c>
      <c r="B907" t="s">
        <v>1904</v>
      </c>
      <c r="C907" t="s">
        <v>1732</v>
      </c>
      <c r="E907" t="s">
        <v>803</v>
      </c>
    </row>
    <row r="908" spans="1:5">
      <c r="A908" t="s">
        <v>1905</v>
      </c>
      <c r="B908" t="s">
        <v>1905</v>
      </c>
      <c r="C908" t="s">
        <v>1732</v>
      </c>
      <c r="E908" t="s">
        <v>329</v>
      </c>
    </row>
    <row r="909" spans="1:5">
      <c r="A909" t="s">
        <v>1906</v>
      </c>
      <c r="B909" t="s">
        <v>1906</v>
      </c>
      <c r="C909" t="s">
        <v>1732</v>
      </c>
      <c r="E909" t="s">
        <v>124</v>
      </c>
    </row>
    <row r="910" spans="1:5">
      <c r="A910" t="s">
        <v>1907</v>
      </c>
      <c r="B910" t="s">
        <v>1907</v>
      </c>
      <c r="C910" t="s">
        <v>1732</v>
      </c>
      <c r="E910" t="s">
        <v>1124</v>
      </c>
    </row>
    <row r="911" spans="1:5">
      <c r="A911" t="s">
        <v>1908</v>
      </c>
      <c r="B911" t="s">
        <v>1908</v>
      </c>
      <c r="C911" t="s">
        <v>1732</v>
      </c>
      <c r="E911" t="s">
        <v>524</v>
      </c>
    </row>
    <row r="912" spans="1:5">
      <c r="A912" t="s">
        <v>1909</v>
      </c>
      <c r="B912" t="s">
        <v>1909</v>
      </c>
      <c r="C912" t="s">
        <v>1732</v>
      </c>
      <c r="E912" t="s">
        <v>1124</v>
      </c>
    </row>
    <row r="913" s="63" customFormat="1" spans="1:5">
      <c r="A913" s="63" t="s">
        <v>1910</v>
      </c>
      <c r="B913" s="63" t="s">
        <v>1910</v>
      </c>
      <c r="C913" s="63" t="s">
        <v>1732</v>
      </c>
      <c r="E913" s="63" t="s">
        <v>475</v>
      </c>
    </row>
    <row r="914" spans="1:5">
      <c r="A914" t="s">
        <v>1911</v>
      </c>
      <c r="B914" t="s">
        <v>1911</v>
      </c>
      <c r="C914" t="s">
        <v>1732</v>
      </c>
      <c r="E914" t="s">
        <v>316</v>
      </c>
    </row>
    <row r="915" spans="1:5">
      <c r="A915" t="s">
        <v>1912</v>
      </c>
      <c r="B915" t="s">
        <v>1912</v>
      </c>
      <c r="C915" t="s">
        <v>1732</v>
      </c>
      <c r="E915" t="s">
        <v>399</v>
      </c>
    </row>
    <row r="916" spans="1:5">
      <c r="A916" t="s">
        <v>1913</v>
      </c>
      <c r="B916" t="s">
        <v>1913</v>
      </c>
      <c r="C916" t="s">
        <v>1732</v>
      </c>
      <c r="E916" t="s">
        <v>124</v>
      </c>
    </row>
    <row r="917" spans="1:5">
      <c r="A917" t="s">
        <v>1914</v>
      </c>
      <c r="B917" t="s">
        <v>1914</v>
      </c>
      <c r="C917" t="s">
        <v>1732</v>
      </c>
      <c r="E917" t="s">
        <v>700</v>
      </c>
    </row>
    <row r="918" spans="1:5">
      <c r="A918" t="s">
        <v>1915</v>
      </c>
      <c r="B918" t="s">
        <v>1915</v>
      </c>
      <c r="C918" t="s">
        <v>1732</v>
      </c>
      <c r="E918" t="s">
        <v>124</v>
      </c>
    </row>
    <row r="919" spans="1:5">
      <c r="A919" t="s">
        <v>1916</v>
      </c>
      <c r="B919" t="s">
        <v>1916</v>
      </c>
      <c r="C919" t="s">
        <v>1732</v>
      </c>
      <c r="E919" t="s">
        <v>124</v>
      </c>
    </row>
    <row r="920" spans="1:5">
      <c r="A920" t="s">
        <v>1917</v>
      </c>
      <c r="B920" t="s">
        <v>1917</v>
      </c>
      <c r="C920" t="s">
        <v>1732</v>
      </c>
      <c r="E920" t="s">
        <v>124</v>
      </c>
    </row>
    <row r="921" spans="1:5">
      <c r="A921" t="s">
        <v>1918</v>
      </c>
      <c r="B921" t="s">
        <v>1918</v>
      </c>
      <c r="C921" t="s">
        <v>1732</v>
      </c>
      <c r="E921" t="s">
        <v>124</v>
      </c>
    </row>
    <row r="922" spans="1:5">
      <c r="A922" t="s">
        <v>1840</v>
      </c>
      <c r="B922" t="s">
        <v>1840</v>
      </c>
      <c r="C922" t="s">
        <v>1732</v>
      </c>
      <c r="E922" t="s">
        <v>124</v>
      </c>
    </row>
    <row r="923" spans="1:5">
      <c r="A923" t="s">
        <v>1919</v>
      </c>
      <c r="B923" t="s">
        <v>1919</v>
      </c>
      <c r="C923" t="s">
        <v>1732</v>
      </c>
      <c r="E923" t="s">
        <v>475</v>
      </c>
    </row>
    <row r="924" spans="1:5">
      <c r="A924" t="s">
        <v>1920</v>
      </c>
      <c r="B924" t="s">
        <v>1920</v>
      </c>
      <c r="C924" t="s">
        <v>1732</v>
      </c>
      <c r="E924" t="s">
        <v>124</v>
      </c>
    </row>
    <row r="925" spans="1:5">
      <c r="A925" t="s">
        <v>672</v>
      </c>
      <c r="B925" t="s">
        <v>672</v>
      </c>
      <c r="C925" t="s">
        <v>1732</v>
      </c>
      <c r="E925" t="s">
        <v>1124</v>
      </c>
    </row>
    <row r="926" spans="1:5">
      <c r="A926" t="s">
        <v>1921</v>
      </c>
      <c r="B926" t="s">
        <v>1921</v>
      </c>
      <c r="C926" t="s">
        <v>1732</v>
      </c>
      <c r="E926" t="s">
        <v>124</v>
      </c>
    </row>
    <row r="927" s="63" customFormat="1" spans="1:5">
      <c r="A927" s="63" t="s">
        <v>1922</v>
      </c>
      <c r="B927" s="63" t="s">
        <v>1922</v>
      </c>
      <c r="C927" s="63" t="s">
        <v>1732</v>
      </c>
      <c r="E927" s="63" t="s">
        <v>124</v>
      </c>
    </row>
    <row r="928" spans="1:5">
      <c r="A928" t="s">
        <v>1923</v>
      </c>
      <c r="B928" t="s">
        <v>1923</v>
      </c>
      <c r="C928" t="s">
        <v>1732</v>
      </c>
      <c r="E928" t="s">
        <v>1124</v>
      </c>
    </row>
    <row r="929" spans="1:5">
      <c r="A929" t="s">
        <v>1924</v>
      </c>
      <c r="B929" t="s">
        <v>1924</v>
      </c>
      <c r="C929" t="s">
        <v>1732</v>
      </c>
      <c r="E929" t="s">
        <v>292</v>
      </c>
    </row>
    <row r="930" spans="1:5">
      <c r="A930" t="s">
        <v>1925</v>
      </c>
      <c r="B930" t="s">
        <v>1925</v>
      </c>
      <c r="C930" t="s">
        <v>1732</v>
      </c>
      <c r="E930" t="s">
        <v>124</v>
      </c>
    </row>
    <row r="931" spans="1:5">
      <c r="A931" t="s">
        <v>1926</v>
      </c>
      <c r="B931" t="s">
        <v>1926</v>
      </c>
      <c r="C931" t="s">
        <v>1732</v>
      </c>
      <c r="E931" t="s">
        <v>316</v>
      </c>
    </row>
    <row r="932" spans="1:5">
      <c r="A932" t="s">
        <v>710</v>
      </c>
      <c r="B932" t="s">
        <v>710</v>
      </c>
      <c r="C932" t="s">
        <v>1732</v>
      </c>
      <c r="E932" t="s">
        <v>124</v>
      </c>
    </row>
    <row r="933" s="63" customFormat="1" spans="1:5">
      <c r="A933" s="63" t="s">
        <v>1927</v>
      </c>
      <c r="B933" s="63" t="s">
        <v>1927</v>
      </c>
      <c r="C933" s="63" t="s">
        <v>1732</v>
      </c>
      <c r="E933" s="63" t="s">
        <v>124</v>
      </c>
    </row>
    <row r="934" s="63" customFormat="1" spans="1:5">
      <c r="A934" s="63" t="s">
        <v>783</v>
      </c>
      <c r="B934" s="63" t="s">
        <v>783</v>
      </c>
      <c r="C934" s="63" t="s">
        <v>1732</v>
      </c>
      <c r="E934" s="63" t="s">
        <v>124</v>
      </c>
    </row>
    <row r="935" s="63" customFormat="1" spans="1:5">
      <c r="A935" s="63" t="s">
        <v>1928</v>
      </c>
      <c r="B935" s="63" t="s">
        <v>1928</v>
      </c>
      <c r="C935" s="63" t="s">
        <v>1732</v>
      </c>
      <c r="E935" s="63" t="s">
        <v>124</v>
      </c>
    </row>
    <row r="936" spans="1:5">
      <c r="A936" t="s">
        <v>1929</v>
      </c>
      <c r="B936" t="s">
        <v>1929</v>
      </c>
      <c r="C936" t="s">
        <v>1732</v>
      </c>
      <c r="E936" t="s">
        <v>1930</v>
      </c>
    </row>
    <row r="937" spans="1:5">
      <c r="A937" t="s">
        <v>1931</v>
      </c>
      <c r="B937" t="s">
        <v>1932</v>
      </c>
      <c r="C937" t="s">
        <v>1732</v>
      </c>
      <c r="E937" t="s">
        <v>124</v>
      </c>
    </row>
    <row r="938" spans="1:5">
      <c r="A938" t="s">
        <v>1933</v>
      </c>
      <c r="B938" t="s">
        <v>1933</v>
      </c>
      <c r="C938" t="s">
        <v>1732</v>
      </c>
      <c r="E938" t="s">
        <v>124</v>
      </c>
    </row>
    <row r="939" spans="1:5">
      <c r="A939" t="s">
        <v>1934</v>
      </c>
      <c r="B939" t="s">
        <v>1934</v>
      </c>
      <c r="C939" t="s">
        <v>1732</v>
      </c>
      <c r="E939" t="s">
        <v>124</v>
      </c>
    </row>
    <row r="940" spans="1:5">
      <c r="A940" t="s">
        <v>1935</v>
      </c>
      <c r="B940" t="s">
        <v>1935</v>
      </c>
      <c r="C940" t="s">
        <v>1732</v>
      </c>
      <c r="E940" t="s">
        <v>363</v>
      </c>
    </row>
    <row r="941" spans="1:5">
      <c r="A941" t="s">
        <v>1936</v>
      </c>
      <c r="B941" t="s">
        <v>1936</v>
      </c>
      <c r="C941" t="s">
        <v>1732</v>
      </c>
      <c r="E941" t="s">
        <v>124</v>
      </c>
    </row>
    <row r="942" spans="1:5">
      <c r="A942" t="s">
        <v>1937</v>
      </c>
      <c r="B942" t="s">
        <v>1937</v>
      </c>
      <c r="C942" t="s">
        <v>1732</v>
      </c>
      <c r="E942" t="s">
        <v>1032</v>
      </c>
    </row>
    <row r="943" s="63" customFormat="1" spans="1:5">
      <c r="A943" s="63" t="s">
        <v>1938</v>
      </c>
      <c r="B943" s="63" t="s">
        <v>1938</v>
      </c>
      <c r="C943" s="63" t="s">
        <v>1732</v>
      </c>
      <c r="E943" s="63" t="s">
        <v>124</v>
      </c>
    </row>
    <row r="944" s="63" customFormat="1" spans="1:5">
      <c r="A944" s="63" t="s">
        <v>1939</v>
      </c>
      <c r="B944" s="63" t="s">
        <v>1939</v>
      </c>
      <c r="C944" s="63" t="s">
        <v>1732</v>
      </c>
      <c r="E944" s="63" t="s">
        <v>329</v>
      </c>
    </row>
    <row r="945" s="63" customFormat="1" spans="1:5">
      <c r="A945" s="63" t="s">
        <v>334</v>
      </c>
      <c r="B945" s="63" t="s">
        <v>334</v>
      </c>
      <c r="C945" s="63" t="s">
        <v>1732</v>
      </c>
      <c r="E945" s="63" t="s">
        <v>124</v>
      </c>
    </row>
    <row r="946" s="63" customFormat="1" spans="1:5">
      <c r="A946" s="63" t="s">
        <v>1940</v>
      </c>
      <c r="B946" s="63" t="s">
        <v>1940</v>
      </c>
      <c r="C946" s="63" t="s">
        <v>1732</v>
      </c>
      <c r="E946" s="63" t="s">
        <v>124</v>
      </c>
    </row>
    <row r="947" s="63" customFormat="1" spans="1:5">
      <c r="A947" s="63" t="s">
        <v>1941</v>
      </c>
      <c r="B947" s="63" t="s">
        <v>1941</v>
      </c>
      <c r="C947" s="63" t="s">
        <v>1732</v>
      </c>
      <c r="E947" s="63" t="s">
        <v>292</v>
      </c>
    </row>
    <row r="948" spans="1:5">
      <c r="A948" t="s">
        <v>1942</v>
      </c>
      <c r="B948" t="s">
        <v>1942</v>
      </c>
      <c r="C948" t="s">
        <v>1732</v>
      </c>
      <c r="E948" t="s">
        <v>124</v>
      </c>
    </row>
    <row r="949" spans="1:5">
      <c r="A949" t="s">
        <v>1943</v>
      </c>
      <c r="B949" t="s">
        <v>1943</v>
      </c>
      <c r="C949" t="s">
        <v>1732</v>
      </c>
      <c r="E949" t="s">
        <v>124</v>
      </c>
    </row>
    <row r="950" spans="1:5">
      <c r="A950" t="s">
        <v>1944</v>
      </c>
      <c r="B950" t="s">
        <v>1944</v>
      </c>
      <c r="C950" t="s">
        <v>1732</v>
      </c>
      <c r="E950" t="s">
        <v>124</v>
      </c>
    </row>
    <row r="951" spans="1:5">
      <c r="A951" t="s">
        <v>1945</v>
      </c>
      <c r="B951" t="s">
        <v>1945</v>
      </c>
      <c r="C951" t="s">
        <v>1732</v>
      </c>
      <c r="E951" t="s">
        <v>124</v>
      </c>
    </row>
    <row r="952" spans="1:5">
      <c r="A952" t="s">
        <v>44</v>
      </c>
      <c r="B952" t="s">
        <v>44</v>
      </c>
      <c r="C952" t="s">
        <v>1732</v>
      </c>
      <c r="E952" t="s">
        <v>1124</v>
      </c>
    </row>
    <row r="953" spans="1:5">
      <c r="A953" t="s">
        <v>1946</v>
      </c>
      <c r="B953" t="s">
        <v>1947</v>
      </c>
      <c r="C953" t="s">
        <v>1732</v>
      </c>
      <c r="E953" t="s">
        <v>547</v>
      </c>
    </row>
    <row r="954" s="63" customFormat="1" spans="1:5">
      <c r="A954" s="63" t="s">
        <v>1948</v>
      </c>
      <c r="B954" s="63" t="s">
        <v>1948</v>
      </c>
      <c r="C954" s="63" t="s">
        <v>1732</v>
      </c>
      <c r="E954" s="63" t="s">
        <v>329</v>
      </c>
    </row>
    <row r="955" spans="1:5">
      <c r="A955" t="s">
        <v>1949</v>
      </c>
      <c r="B955" t="s">
        <v>1949</v>
      </c>
      <c r="C955" t="s">
        <v>1732</v>
      </c>
      <c r="E955" t="s">
        <v>677</v>
      </c>
    </row>
    <row r="956" spans="1:5">
      <c r="A956" t="s">
        <v>1950</v>
      </c>
      <c r="B956" t="s">
        <v>1950</v>
      </c>
      <c r="C956" t="s">
        <v>1732</v>
      </c>
      <c r="E956" t="s">
        <v>677</v>
      </c>
    </row>
    <row r="957" spans="1:5">
      <c r="A957" t="s">
        <v>1951</v>
      </c>
      <c r="B957" t="s">
        <v>1951</v>
      </c>
      <c r="C957" t="s">
        <v>1732</v>
      </c>
      <c r="E957" t="s">
        <v>677</v>
      </c>
    </row>
    <row r="958" s="63" customFormat="1" spans="1:5">
      <c r="A958" s="63" t="s">
        <v>1952</v>
      </c>
      <c r="B958" s="63" t="s">
        <v>1952</v>
      </c>
      <c r="C958" s="63" t="s">
        <v>1732</v>
      </c>
      <c r="E958" s="63" t="s">
        <v>124</v>
      </c>
    </row>
    <row r="959" s="63" customFormat="1" spans="1:5">
      <c r="A959" s="63" t="s">
        <v>1953</v>
      </c>
      <c r="B959" s="63" t="s">
        <v>1953</v>
      </c>
      <c r="C959" s="63" t="s">
        <v>1732</v>
      </c>
      <c r="E959" s="63" t="s">
        <v>124</v>
      </c>
    </row>
    <row r="960" s="63" customFormat="1" spans="1:5">
      <c r="A960" s="63" t="s">
        <v>1954</v>
      </c>
      <c r="B960" s="63" t="s">
        <v>1954</v>
      </c>
      <c r="C960" s="63" t="s">
        <v>1732</v>
      </c>
      <c r="E960" s="63" t="s">
        <v>124</v>
      </c>
    </row>
    <row r="961" s="63" customFormat="1" spans="1:5">
      <c r="A961" s="63" t="s">
        <v>1955</v>
      </c>
      <c r="B961" s="63" t="s">
        <v>1955</v>
      </c>
      <c r="C961" s="63" t="s">
        <v>1732</v>
      </c>
      <c r="E961" s="63" t="s">
        <v>124</v>
      </c>
    </row>
    <row r="962" s="63" customFormat="1" spans="1:5">
      <c r="A962" s="63" t="s">
        <v>1956</v>
      </c>
      <c r="B962" s="63" t="s">
        <v>1956</v>
      </c>
      <c r="C962" s="63" t="s">
        <v>1732</v>
      </c>
      <c r="E962" s="63" t="s">
        <v>124</v>
      </c>
    </row>
    <row r="963" spans="1:5">
      <c r="A963" t="s">
        <v>1957</v>
      </c>
      <c r="B963" t="s">
        <v>1957</v>
      </c>
      <c r="C963" t="s">
        <v>1732</v>
      </c>
      <c r="E963" t="s">
        <v>124</v>
      </c>
    </row>
    <row r="964" spans="1:5">
      <c r="A964" t="s">
        <v>1958</v>
      </c>
      <c r="B964" t="s">
        <v>1958</v>
      </c>
      <c r="C964" t="s">
        <v>1732</v>
      </c>
      <c r="E964" t="s">
        <v>124</v>
      </c>
    </row>
    <row r="965" spans="1:5">
      <c r="A965" t="s">
        <v>1959</v>
      </c>
      <c r="B965" t="s">
        <v>1959</v>
      </c>
      <c r="C965" t="s">
        <v>1732</v>
      </c>
      <c r="E965" t="s">
        <v>124</v>
      </c>
    </row>
    <row r="966" spans="1:5">
      <c r="A966" t="s">
        <v>1960</v>
      </c>
      <c r="B966" t="s">
        <v>1960</v>
      </c>
      <c r="C966" t="s">
        <v>1732</v>
      </c>
      <c r="E966" t="s">
        <v>124</v>
      </c>
    </row>
    <row r="967" spans="1:5">
      <c r="A967" t="s">
        <v>1961</v>
      </c>
      <c r="B967" t="s">
        <v>1961</v>
      </c>
      <c r="C967" t="s">
        <v>1732</v>
      </c>
      <c r="E967" t="s">
        <v>124</v>
      </c>
    </row>
    <row r="968" spans="1:5">
      <c r="A968" t="s">
        <v>666</v>
      </c>
      <c r="B968" t="s">
        <v>666</v>
      </c>
      <c r="C968" t="s">
        <v>1732</v>
      </c>
      <c r="E968" t="s">
        <v>399</v>
      </c>
    </row>
    <row r="969" spans="1:5">
      <c r="A969" t="s">
        <v>1962</v>
      </c>
      <c r="B969" t="s">
        <v>1962</v>
      </c>
      <c r="C969" t="s">
        <v>1732</v>
      </c>
      <c r="E969" t="s">
        <v>399</v>
      </c>
    </row>
    <row r="970" spans="1:5">
      <c r="A970" t="s">
        <v>667</v>
      </c>
      <c r="B970" t="s">
        <v>667</v>
      </c>
      <c r="C970" t="s">
        <v>1732</v>
      </c>
      <c r="E970" t="s">
        <v>399</v>
      </c>
    </row>
    <row r="971" spans="1:5">
      <c r="A971" t="s">
        <v>1963</v>
      </c>
      <c r="B971" t="s">
        <v>1963</v>
      </c>
      <c r="C971" t="s">
        <v>1732</v>
      </c>
      <c r="E971" t="s">
        <v>124</v>
      </c>
    </row>
    <row r="972" spans="1:5">
      <c r="A972" t="s">
        <v>1964</v>
      </c>
      <c r="B972" t="s">
        <v>1964</v>
      </c>
      <c r="C972" t="s">
        <v>1732</v>
      </c>
      <c r="E972" t="s">
        <v>124</v>
      </c>
    </row>
    <row r="973" spans="1:5">
      <c r="A973" t="s">
        <v>688</v>
      </c>
      <c r="B973" t="s">
        <v>688</v>
      </c>
      <c r="C973" t="s">
        <v>1732</v>
      </c>
      <c r="E973" t="s">
        <v>616</v>
      </c>
    </row>
    <row r="974" spans="1:5">
      <c r="A974" t="s">
        <v>607</v>
      </c>
      <c r="B974" t="s">
        <v>607</v>
      </c>
      <c r="C974" t="s">
        <v>1732</v>
      </c>
      <c r="E974" t="s">
        <v>124</v>
      </c>
    </row>
    <row r="975" spans="1:5">
      <c r="A975" t="s">
        <v>1965</v>
      </c>
      <c r="B975" t="s">
        <v>1965</v>
      </c>
      <c r="C975" t="s">
        <v>1732</v>
      </c>
      <c r="E975" t="s">
        <v>124</v>
      </c>
    </row>
    <row r="976" spans="1:5">
      <c r="A976" t="s">
        <v>1966</v>
      </c>
      <c r="B976" t="s">
        <v>1966</v>
      </c>
      <c r="C976" t="s">
        <v>1732</v>
      </c>
      <c r="E976" t="s">
        <v>124</v>
      </c>
    </row>
    <row r="977" spans="1:5">
      <c r="A977" t="s">
        <v>1967</v>
      </c>
      <c r="B977" t="s">
        <v>1967</v>
      </c>
      <c r="C977" t="s">
        <v>1732</v>
      </c>
      <c r="E977" t="s">
        <v>124</v>
      </c>
    </row>
    <row r="978" spans="1:5">
      <c r="A978" t="s">
        <v>1968</v>
      </c>
      <c r="B978" t="s">
        <v>1968</v>
      </c>
      <c r="C978" t="s">
        <v>1732</v>
      </c>
      <c r="E978" t="s">
        <v>124</v>
      </c>
    </row>
    <row r="979" spans="1:5">
      <c r="A979" t="s">
        <v>1969</v>
      </c>
      <c r="B979" t="s">
        <v>1969</v>
      </c>
      <c r="C979" t="s">
        <v>1732</v>
      </c>
      <c r="E979" t="s">
        <v>124</v>
      </c>
    </row>
    <row r="980" spans="1:5">
      <c r="A980" t="s">
        <v>1970</v>
      </c>
      <c r="B980" t="s">
        <v>1970</v>
      </c>
      <c r="C980" t="s">
        <v>1732</v>
      </c>
      <c r="E980" t="s">
        <v>124</v>
      </c>
    </row>
    <row r="981" spans="1:5">
      <c r="A981" t="s">
        <v>1971</v>
      </c>
      <c r="B981" t="s">
        <v>1971</v>
      </c>
      <c r="C981" t="s">
        <v>1732</v>
      </c>
      <c r="E981" t="s">
        <v>1972</v>
      </c>
    </row>
    <row r="982" spans="1:5">
      <c r="A982" t="s">
        <v>658</v>
      </c>
      <c r="B982" t="s">
        <v>658</v>
      </c>
      <c r="C982" t="s">
        <v>1732</v>
      </c>
      <c r="E982" t="s">
        <v>622</v>
      </c>
    </row>
    <row r="983" spans="1:5">
      <c r="A983" t="s">
        <v>1973</v>
      </c>
      <c r="B983" t="s">
        <v>1973</v>
      </c>
      <c r="C983" t="s">
        <v>1732</v>
      </c>
      <c r="E983" t="s">
        <v>292</v>
      </c>
    </row>
    <row r="984" spans="1:5">
      <c r="A984" t="s">
        <v>1974</v>
      </c>
      <c r="B984" t="s">
        <v>1974</v>
      </c>
      <c r="C984" t="s">
        <v>1732</v>
      </c>
      <c r="E984" t="s">
        <v>803</v>
      </c>
    </row>
    <row r="985" s="63" customFormat="1" spans="1:5">
      <c r="A985" s="63" t="s">
        <v>1975</v>
      </c>
      <c r="B985" s="63" t="s">
        <v>1975</v>
      </c>
      <c r="C985" s="63" t="s">
        <v>1732</v>
      </c>
      <c r="E985" s="63" t="s">
        <v>124</v>
      </c>
    </row>
    <row r="986" s="63" customFormat="1" spans="1:5">
      <c r="A986" s="63" t="s">
        <v>1976</v>
      </c>
      <c r="B986" s="63" t="s">
        <v>1976</v>
      </c>
      <c r="C986" s="63" t="s">
        <v>1732</v>
      </c>
      <c r="E986" s="63" t="s">
        <v>124</v>
      </c>
    </row>
    <row r="987" s="63" customFormat="1" spans="1:5">
      <c r="A987" s="63" t="s">
        <v>335</v>
      </c>
      <c r="B987" s="63" t="s">
        <v>335</v>
      </c>
      <c r="C987" s="63" t="s">
        <v>1732</v>
      </c>
      <c r="E987" s="63" t="s">
        <v>124</v>
      </c>
    </row>
    <row r="988" s="63" customFormat="1" spans="1:5">
      <c r="A988" s="63" t="s">
        <v>337</v>
      </c>
      <c r="B988" s="63" t="s">
        <v>337</v>
      </c>
      <c r="C988" s="63" t="s">
        <v>1732</v>
      </c>
      <c r="E988" s="63" t="s">
        <v>124</v>
      </c>
    </row>
    <row r="989" s="63" customFormat="1" spans="1:5">
      <c r="A989" s="63" t="s">
        <v>338</v>
      </c>
      <c r="B989" s="63" t="s">
        <v>338</v>
      </c>
      <c r="C989" s="63" t="s">
        <v>1732</v>
      </c>
      <c r="E989" s="63" t="s">
        <v>124</v>
      </c>
    </row>
    <row r="990" spans="1:5">
      <c r="A990" t="s">
        <v>1977</v>
      </c>
      <c r="B990" t="s">
        <v>1977</v>
      </c>
      <c r="C990" t="s">
        <v>1732</v>
      </c>
      <c r="E990" t="s">
        <v>124</v>
      </c>
    </row>
    <row r="991" spans="1:5">
      <c r="A991" t="s">
        <v>1978</v>
      </c>
      <c r="B991" t="s">
        <v>1978</v>
      </c>
      <c r="C991" t="s">
        <v>1732</v>
      </c>
      <c r="E991" t="s">
        <v>124</v>
      </c>
    </row>
    <row r="992" spans="1:5">
      <c r="A992" t="s">
        <v>1979</v>
      </c>
      <c r="B992" t="s">
        <v>1979</v>
      </c>
      <c r="C992" t="s">
        <v>1732</v>
      </c>
      <c r="E992" t="s">
        <v>124</v>
      </c>
    </row>
    <row r="993" spans="1:5">
      <c r="A993" t="s">
        <v>1980</v>
      </c>
      <c r="B993" t="s">
        <v>1980</v>
      </c>
      <c r="C993" t="s">
        <v>1732</v>
      </c>
      <c r="E993" t="s">
        <v>124</v>
      </c>
    </row>
    <row r="994" spans="1:5">
      <c r="A994" t="s">
        <v>1563</v>
      </c>
      <c r="B994" t="s">
        <v>1563</v>
      </c>
      <c r="C994" t="s">
        <v>1732</v>
      </c>
      <c r="E994" t="s">
        <v>124</v>
      </c>
    </row>
    <row r="995" spans="1:5">
      <c r="A995" t="s">
        <v>1981</v>
      </c>
      <c r="B995" t="s">
        <v>1981</v>
      </c>
      <c r="C995" t="s">
        <v>1732</v>
      </c>
      <c r="E995" t="s">
        <v>1124</v>
      </c>
    </row>
    <row r="996" spans="1:5">
      <c r="A996" t="s">
        <v>1982</v>
      </c>
      <c r="B996" t="s">
        <v>1982</v>
      </c>
      <c r="C996" t="s">
        <v>1732</v>
      </c>
      <c r="E996" t="s">
        <v>1124</v>
      </c>
    </row>
    <row r="997" spans="1:5">
      <c r="A997" t="s">
        <v>1983</v>
      </c>
      <c r="B997" t="s">
        <v>1983</v>
      </c>
      <c r="C997" t="s">
        <v>1732</v>
      </c>
      <c r="E997" t="s">
        <v>1124</v>
      </c>
    </row>
    <row r="998" spans="1:5">
      <c r="A998" t="s">
        <v>1984</v>
      </c>
      <c r="B998" t="s">
        <v>1984</v>
      </c>
      <c r="C998" t="s">
        <v>1732</v>
      </c>
      <c r="E998" t="s">
        <v>1124</v>
      </c>
    </row>
    <row r="999" spans="1:5">
      <c r="A999" t="s">
        <v>623</v>
      </c>
      <c r="B999" t="s">
        <v>623</v>
      </c>
      <c r="C999" t="s">
        <v>1732</v>
      </c>
      <c r="E999" t="s">
        <v>399</v>
      </c>
    </row>
    <row r="1000" spans="1:5">
      <c r="A1000" t="s">
        <v>1985</v>
      </c>
      <c r="B1000" t="s">
        <v>1986</v>
      </c>
      <c r="C1000" t="s">
        <v>1732</v>
      </c>
      <c r="E1000" t="s">
        <v>1048</v>
      </c>
    </row>
    <row r="1001" spans="1:5">
      <c r="A1001" t="s">
        <v>1987</v>
      </c>
      <c r="B1001" t="s">
        <v>1987</v>
      </c>
      <c r="C1001" t="s">
        <v>1732</v>
      </c>
      <c r="E1001" t="s">
        <v>1972</v>
      </c>
    </row>
    <row r="1002" spans="1:5">
      <c r="A1002" t="s">
        <v>712</v>
      </c>
      <c r="B1002" t="s">
        <v>712</v>
      </c>
      <c r="C1002" t="s">
        <v>1732</v>
      </c>
      <c r="E1002" t="s">
        <v>124</v>
      </c>
    </row>
    <row r="1003" spans="1:5">
      <c r="A1003" t="s">
        <v>615</v>
      </c>
      <c r="B1003" t="s">
        <v>615</v>
      </c>
      <c r="C1003" t="s">
        <v>1732</v>
      </c>
      <c r="E1003" t="s">
        <v>616</v>
      </c>
    </row>
    <row r="1004" s="63" customFormat="1" spans="1:5">
      <c r="A1004" s="63" t="s">
        <v>1988</v>
      </c>
      <c r="B1004" s="63" t="s">
        <v>1988</v>
      </c>
      <c r="C1004" s="63" t="s">
        <v>1732</v>
      </c>
      <c r="E1004" s="63" t="s">
        <v>124</v>
      </c>
    </row>
    <row r="1005" spans="1:5">
      <c r="A1005" t="s">
        <v>568</v>
      </c>
      <c r="B1005" t="s">
        <v>568</v>
      </c>
      <c r="C1005" t="s">
        <v>1732</v>
      </c>
      <c r="E1005" t="s">
        <v>124</v>
      </c>
    </row>
    <row r="1006" spans="1:5">
      <c r="A1006" t="s">
        <v>1989</v>
      </c>
      <c r="B1006" t="s">
        <v>1989</v>
      </c>
      <c r="C1006" t="s">
        <v>1732</v>
      </c>
      <c r="E1006" t="s">
        <v>408</v>
      </c>
    </row>
    <row r="1007" spans="1:5">
      <c r="A1007" t="s">
        <v>781</v>
      </c>
      <c r="B1007" t="s">
        <v>781</v>
      </c>
      <c r="C1007" t="s">
        <v>1732</v>
      </c>
      <c r="E1007" t="s">
        <v>124</v>
      </c>
    </row>
    <row r="1008" spans="1:5">
      <c r="A1008" t="s">
        <v>450</v>
      </c>
      <c r="B1008" t="s">
        <v>450</v>
      </c>
      <c r="C1008" t="s">
        <v>1732</v>
      </c>
      <c r="E1008" t="s">
        <v>124</v>
      </c>
    </row>
    <row r="1009" spans="1:5">
      <c r="A1009" t="s">
        <v>651</v>
      </c>
      <c r="B1009" t="s">
        <v>651</v>
      </c>
      <c r="C1009" t="s">
        <v>1732</v>
      </c>
      <c r="E1009" t="s">
        <v>124</v>
      </c>
    </row>
    <row r="1010" spans="1:5">
      <c r="A1010" t="s">
        <v>1990</v>
      </c>
      <c r="B1010" t="s">
        <v>1990</v>
      </c>
      <c r="C1010" t="s">
        <v>1732</v>
      </c>
      <c r="E1010" t="s">
        <v>124</v>
      </c>
    </row>
    <row r="1011" spans="1:5">
      <c r="A1011" t="s">
        <v>1991</v>
      </c>
      <c r="B1011" t="s">
        <v>1991</v>
      </c>
      <c r="C1011" t="s">
        <v>1732</v>
      </c>
      <c r="E1011" t="s">
        <v>124</v>
      </c>
    </row>
    <row r="1012" spans="1:5">
      <c r="A1012" t="s">
        <v>1992</v>
      </c>
      <c r="B1012" t="s">
        <v>1992</v>
      </c>
      <c r="C1012" t="s">
        <v>1732</v>
      </c>
      <c r="E1012" t="s">
        <v>124</v>
      </c>
    </row>
    <row r="1013" spans="1:5">
      <c r="A1013" t="s">
        <v>1993</v>
      </c>
      <c r="B1013" t="s">
        <v>1993</v>
      </c>
      <c r="C1013" t="s">
        <v>1732</v>
      </c>
      <c r="E1013" t="s">
        <v>803</v>
      </c>
    </row>
    <row r="1014" s="63" customFormat="1" spans="1:5">
      <c r="A1014" s="63" t="s">
        <v>1994</v>
      </c>
      <c r="B1014" s="63" t="s">
        <v>1994</v>
      </c>
      <c r="C1014" s="63" t="s">
        <v>1732</v>
      </c>
      <c r="E1014" s="63" t="s">
        <v>292</v>
      </c>
    </row>
    <row r="1015" s="63" customFormat="1" spans="1:5">
      <c r="A1015" s="63" t="s">
        <v>1995</v>
      </c>
      <c r="B1015" s="63" t="s">
        <v>1995</v>
      </c>
      <c r="C1015" s="63" t="s">
        <v>1732</v>
      </c>
      <c r="E1015" s="63" t="s">
        <v>292</v>
      </c>
    </row>
    <row r="1016" spans="1:5">
      <c r="A1016" t="s">
        <v>696</v>
      </c>
      <c r="B1016" t="s">
        <v>696</v>
      </c>
      <c r="C1016" t="s">
        <v>1732</v>
      </c>
      <c r="E1016" t="s">
        <v>124</v>
      </c>
    </row>
    <row r="1017" spans="1:5">
      <c r="A1017" t="s">
        <v>1996</v>
      </c>
      <c r="B1017" t="s">
        <v>1996</v>
      </c>
      <c r="C1017" t="s">
        <v>1732</v>
      </c>
      <c r="E1017" t="s">
        <v>124</v>
      </c>
    </row>
    <row r="1018" spans="1:5">
      <c r="A1018" t="s">
        <v>629</v>
      </c>
      <c r="B1018" t="s">
        <v>629</v>
      </c>
      <c r="C1018" t="s">
        <v>1732</v>
      </c>
      <c r="E1018" t="s">
        <v>124</v>
      </c>
    </row>
    <row r="1019" spans="1:5">
      <c r="A1019" t="s">
        <v>691</v>
      </c>
      <c r="B1019" t="s">
        <v>691</v>
      </c>
      <c r="C1019" t="s">
        <v>1732</v>
      </c>
      <c r="E1019" t="s">
        <v>124</v>
      </c>
    </row>
    <row r="1020" spans="1:5">
      <c r="A1020" t="s">
        <v>1997</v>
      </c>
      <c r="B1020" t="s">
        <v>1997</v>
      </c>
      <c r="C1020" t="s">
        <v>1732</v>
      </c>
      <c r="E1020" t="s">
        <v>1032</v>
      </c>
    </row>
    <row r="1021" spans="1:5">
      <c r="A1021" t="s">
        <v>1998</v>
      </c>
      <c r="B1021" t="s">
        <v>1999</v>
      </c>
      <c r="C1021" t="s">
        <v>1732</v>
      </c>
      <c r="E1021" t="s">
        <v>547</v>
      </c>
    </row>
    <row r="1022" spans="1:5">
      <c r="A1022" t="s">
        <v>2000</v>
      </c>
      <c r="B1022" t="s">
        <v>2000</v>
      </c>
      <c r="C1022" t="s">
        <v>1732</v>
      </c>
      <c r="E1022" t="s">
        <v>124</v>
      </c>
    </row>
    <row r="1023" spans="1:5">
      <c r="A1023" t="s">
        <v>732</v>
      </c>
      <c r="B1023" t="s">
        <v>732</v>
      </c>
      <c r="C1023" t="s">
        <v>1732</v>
      </c>
      <c r="E1023" t="s">
        <v>124</v>
      </c>
    </row>
    <row r="1024" spans="1:5">
      <c r="A1024" t="s">
        <v>604</v>
      </c>
      <c r="B1024" t="s">
        <v>604</v>
      </c>
      <c r="C1024" t="s">
        <v>1732</v>
      </c>
      <c r="E1024" t="s">
        <v>124</v>
      </c>
    </row>
    <row r="1025" spans="1:5">
      <c r="A1025" t="s">
        <v>2001</v>
      </c>
      <c r="B1025" t="s">
        <v>2001</v>
      </c>
      <c r="C1025" t="s">
        <v>1732</v>
      </c>
      <c r="E1025" t="s">
        <v>124</v>
      </c>
    </row>
    <row r="1026" spans="1:5">
      <c r="A1026" t="s">
        <v>2002</v>
      </c>
      <c r="B1026" t="s">
        <v>2002</v>
      </c>
      <c r="C1026" t="s">
        <v>1732</v>
      </c>
      <c r="E1026" t="s">
        <v>124</v>
      </c>
    </row>
    <row r="1027" spans="1:5">
      <c r="A1027" t="s">
        <v>61</v>
      </c>
      <c r="B1027" t="s">
        <v>61</v>
      </c>
      <c r="C1027" t="s">
        <v>1732</v>
      </c>
      <c r="E1027" t="s">
        <v>1124</v>
      </c>
    </row>
    <row r="1028" spans="1:5">
      <c r="A1028" t="s">
        <v>1615</v>
      </c>
      <c r="B1028" t="s">
        <v>1615</v>
      </c>
      <c r="C1028" t="s">
        <v>1732</v>
      </c>
      <c r="E1028" t="s">
        <v>1124</v>
      </c>
    </row>
    <row r="1029" spans="1:5">
      <c r="A1029" t="s">
        <v>722</v>
      </c>
      <c r="B1029" t="s">
        <v>722</v>
      </c>
      <c r="C1029" t="s">
        <v>1732</v>
      </c>
      <c r="E1029" t="s">
        <v>124</v>
      </c>
    </row>
    <row r="1030" spans="1:5">
      <c r="A1030" t="s">
        <v>2003</v>
      </c>
      <c r="B1030" t="s">
        <v>2003</v>
      </c>
      <c r="C1030" t="s">
        <v>1732</v>
      </c>
      <c r="E1030" t="s">
        <v>124</v>
      </c>
    </row>
    <row r="1031" spans="1:5">
      <c r="A1031" t="s">
        <v>636</v>
      </c>
      <c r="B1031" t="s">
        <v>636</v>
      </c>
      <c r="C1031" t="s">
        <v>1732</v>
      </c>
      <c r="E1031" t="s">
        <v>622</v>
      </c>
    </row>
    <row r="1032" spans="1:5">
      <c r="A1032" t="s">
        <v>2004</v>
      </c>
      <c r="B1032" t="s">
        <v>2004</v>
      </c>
      <c r="C1032" t="s">
        <v>1732</v>
      </c>
      <c r="E1032" t="s">
        <v>475</v>
      </c>
    </row>
    <row r="1033" spans="1:5">
      <c r="A1033" t="s">
        <v>2005</v>
      </c>
      <c r="B1033" t="s">
        <v>2005</v>
      </c>
      <c r="C1033" t="s">
        <v>1732</v>
      </c>
      <c r="E1033" t="s">
        <v>124</v>
      </c>
    </row>
    <row r="1034" spans="1:5">
      <c r="A1034" t="s">
        <v>2006</v>
      </c>
      <c r="B1034" t="s">
        <v>2006</v>
      </c>
      <c r="C1034" t="s">
        <v>1732</v>
      </c>
      <c r="E1034" t="s">
        <v>124</v>
      </c>
    </row>
    <row r="1035" spans="1:5">
      <c r="A1035" t="s">
        <v>2007</v>
      </c>
      <c r="B1035" t="s">
        <v>2007</v>
      </c>
      <c r="C1035" t="s">
        <v>1732</v>
      </c>
      <c r="E1035" t="s">
        <v>1052</v>
      </c>
    </row>
    <row r="1036" spans="1:5">
      <c r="A1036" t="s">
        <v>2008</v>
      </c>
      <c r="B1036" t="s">
        <v>2008</v>
      </c>
      <c r="C1036" t="s">
        <v>1732</v>
      </c>
      <c r="E1036" t="s">
        <v>1052</v>
      </c>
    </row>
    <row r="1037" spans="1:5">
      <c r="A1037" t="s">
        <v>2009</v>
      </c>
      <c r="B1037" t="s">
        <v>2009</v>
      </c>
      <c r="C1037" t="s">
        <v>1732</v>
      </c>
      <c r="E1037" t="s">
        <v>124</v>
      </c>
    </row>
    <row r="1038" spans="1:5">
      <c r="A1038" t="s">
        <v>2010</v>
      </c>
      <c r="B1038" t="s">
        <v>2010</v>
      </c>
      <c r="C1038" t="s">
        <v>1732</v>
      </c>
      <c r="E1038" t="s">
        <v>124</v>
      </c>
    </row>
    <row r="1039" s="63" customFormat="1" spans="1:5">
      <c r="A1039" s="63" t="s">
        <v>2011</v>
      </c>
      <c r="B1039" s="63" t="s">
        <v>2011</v>
      </c>
      <c r="C1039" s="63" t="s">
        <v>1732</v>
      </c>
      <c r="E1039" s="63" t="s">
        <v>2012</v>
      </c>
    </row>
    <row r="1040" spans="1:5">
      <c r="A1040" t="s">
        <v>2013</v>
      </c>
      <c r="B1040" t="s">
        <v>2013</v>
      </c>
      <c r="C1040" t="s">
        <v>1732</v>
      </c>
      <c r="E1040" t="s">
        <v>124</v>
      </c>
    </row>
    <row r="1041" spans="1:5">
      <c r="A1041" t="s">
        <v>2014</v>
      </c>
      <c r="B1041" t="s">
        <v>2014</v>
      </c>
      <c r="C1041" t="s">
        <v>1732</v>
      </c>
      <c r="E1041" t="s">
        <v>124</v>
      </c>
    </row>
    <row r="1042" spans="1:5">
      <c r="A1042" t="s">
        <v>2015</v>
      </c>
      <c r="B1042" t="s">
        <v>2015</v>
      </c>
      <c r="C1042" t="s">
        <v>1732</v>
      </c>
      <c r="E1042" t="s">
        <v>124</v>
      </c>
    </row>
    <row r="1043" spans="1:5">
      <c r="A1043" t="s">
        <v>2016</v>
      </c>
      <c r="B1043" t="s">
        <v>2016</v>
      </c>
      <c r="C1043" t="s">
        <v>1732</v>
      </c>
      <c r="E1043" t="s">
        <v>316</v>
      </c>
    </row>
    <row r="1044" spans="1:5">
      <c r="A1044" t="s">
        <v>2017</v>
      </c>
      <c r="B1044" t="s">
        <v>2017</v>
      </c>
      <c r="C1044" t="s">
        <v>1732</v>
      </c>
      <c r="E1044" t="s">
        <v>316</v>
      </c>
    </row>
    <row r="1045" s="63" customFormat="1" spans="1:5">
      <c r="A1045" s="63" t="s">
        <v>2018</v>
      </c>
      <c r="B1045" s="63" t="s">
        <v>2018</v>
      </c>
      <c r="C1045" s="63" t="s">
        <v>1732</v>
      </c>
      <c r="E1045" s="63" t="s">
        <v>124</v>
      </c>
    </row>
    <row r="1046" s="63" customFormat="1" spans="1:5">
      <c r="A1046" s="63" t="s">
        <v>2019</v>
      </c>
      <c r="B1046" s="63" t="s">
        <v>2019</v>
      </c>
      <c r="C1046" s="63" t="s">
        <v>1732</v>
      </c>
      <c r="E1046" s="63" t="s">
        <v>1032</v>
      </c>
    </row>
    <row r="1047" s="63" customFormat="1" spans="1:5">
      <c r="A1047" s="63" t="s">
        <v>2020</v>
      </c>
      <c r="B1047" s="63" t="s">
        <v>2020</v>
      </c>
      <c r="C1047" s="63" t="s">
        <v>1732</v>
      </c>
      <c r="E1047" s="63" t="s">
        <v>1032</v>
      </c>
    </row>
    <row r="1048" s="63" customFormat="1" spans="1:5">
      <c r="A1048" s="63" t="s">
        <v>2021</v>
      </c>
      <c r="B1048" s="63" t="s">
        <v>2021</v>
      </c>
      <c r="C1048" s="63" t="s">
        <v>1732</v>
      </c>
      <c r="E1048" s="63" t="s">
        <v>1930</v>
      </c>
    </row>
    <row r="1049" spans="1:5">
      <c r="A1049" t="s">
        <v>2022</v>
      </c>
      <c r="B1049" t="s">
        <v>2022</v>
      </c>
      <c r="C1049" t="s">
        <v>1732</v>
      </c>
      <c r="E1049" t="s">
        <v>1048</v>
      </c>
    </row>
    <row r="1050" s="63" customFormat="1" spans="1:5">
      <c r="A1050" s="63" t="s">
        <v>2023</v>
      </c>
      <c r="B1050" s="63" t="s">
        <v>2024</v>
      </c>
      <c r="C1050" s="63" t="s">
        <v>1732</v>
      </c>
      <c r="E1050" s="63" t="s">
        <v>1043</v>
      </c>
    </row>
    <row r="1051" s="63" customFormat="1" spans="1:5">
      <c r="A1051" s="63" t="s">
        <v>163</v>
      </c>
      <c r="B1051" s="63" t="s">
        <v>163</v>
      </c>
      <c r="C1051" s="63" t="s">
        <v>1732</v>
      </c>
      <c r="E1051" s="63" t="s">
        <v>124</v>
      </c>
    </row>
    <row r="1052" s="63" customFormat="1" spans="1:5">
      <c r="A1052" s="63" t="s">
        <v>2025</v>
      </c>
      <c r="B1052" s="63" t="s">
        <v>2025</v>
      </c>
      <c r="C1052" s="63" t="s">
        <v>1732</v>
      </c>
      <c r="E1052" s="63" t="s">
        <v>124</v>
      </c>
    </row>
    <row r="1053" spans="1:5">
      <c r="A1053" t="s">
        <v>2026</v>
      </c>
      <c r="B1053" t="s">
        <v>2026</v>
      </c>
      <c r="C1053" t="s">
        <v>1732</v>
      </c>
      <c r="E1053" t="s">
        <v>124</v>
      </c>
    </row>
    <row r="1054" spans="1:5">
      <c r="A1054" t="s">
        <v>2027</v>
      </c>
      <c r="B1054" t="s">
        <v>2027</v>
      </c>
      <c r="C1054" t="s">
        <v>1732</v>
      </c>
      <c r="E1054" t="s">
        <v>124</v>
      </c>
    </row>
    <row r="1055" spans="1:5">
      <c r="A1055" t="s">
        <v>2028</v>
      </c>
      <c r="B1055" t="s">
        <v>2028</v>
      </c>
      <c r="C1055" t="s">
        <v>1732</v>
      </c>
      <c r="E1055" t="s">
        <v>1032</v>
      </c>
    </row>
    <row r="1056" spans="1:5">
      <c r="A1056" t="s">
        <v>2029</v>
      </c>
      <c r="B1056" t="s">
        <v>2029</v>
      </c>
      <c r="C1056" t="s">
        <v>1732</v>
      </c>
      <c r="E1056" t="s">
        <v>329</v>
      </c>
    </row>
    <row r="1057" spans="1:5">
      <c r="A1057" t="s">
        <v>2030</v>
      </c>
      <c r="B1057" t="s">
        <v>2030</v>
      </c>
      <c r="C1057" t="s">
        <v>1732</v>
      </c>
      <c r="E1057" t="s">
        <v>329</v>
      </c>
    </row>
    <row r="1058" spans="1:5">
      <c r="A1058" t="s">
        <v>2031</v>
      </c>
      <c r="B1058" t="s">
        <v>2031</v>
      </c>
      <c r="C1058" t="s">
        <v>1732</v>
      </c>
      <c r="E1058" t="s">
        <v>329</v>
      </c>
    </row>
    <row r="1059" spans="1:5">
      <c r="A1059" t="s">
        <v>751</v>
      </c>
      <c r="B1059" t="s">
        <v>751</v>
      </c>
      <c r="C1059" t="s">
        <v>1732</v>
      </c>
      <c r="E1059" t="s">
        <v>124</v>
      </c>
    </row>
    <row r="1060" spans="1:5">
      <c r="A1060" t="s">
        <v>2032</v>
      </c>
      <c r="B1060" t="s">
        <v>2032</v>
      </c>
      <c r="C1060" t="s">
        <v>1732</v>
      </c>
      <c r="E1060" t="s">
        <v>124</v>
      </c>
    </row>
    <row r="1061" spans="1:5">
      <c r="A1061" t="s">
        <v>2033</v>
      </c>
      <c r="B1061" t="s">
        <v>2033</v>
      </c>
      <c r="C1061" t="s">
        <v>1732</v>
      </c>
      <c r="E1061" t="s">
        <v>124</v>
      </c>
    </row>
    <row r="1062" spans="1:5">
      <c r="A1062" t="s">
        <v>2034</v>
      </c>
      <c r="B1062" t="s">
        <v>2034</v>
      </c>
      <c r="C1062" t="s">
        <v>1732</v>
      </c>
      <c r="E1062" t="s">
        <v>310</v>
      </c>
    </row>
    <row r="1063" spans="1:5">
      <c r="A1063" t="s">
        <v>2035</v>
      </c>
      <c r="B1063" t="s">
        <v>2035</v>
      </c>
      <c r="C1063" t="s">
        <v>1732</v>
      </c>
      <c r="E1063" t="s">
        <v>124</v>
      </c>
    </row>
    <row r="1064" spans="1:5">
      <c r="A1064" t="s">
        <v>2036</v>
      </c>
      <c r="B1064" t="s">
        <v>2036</v>
      </c>
      <c r="C1064" t="s">
        <v>1732</v>
      </c>
      <c r="E1064" t="s">
        <v>124</v>
      </c>
    </row>
    <row r="1065" spans="1:5">
      <c r="A1065" t="s">
        <v>2037</v>
      </c>
      <c r="B1065" t="s">
        <v>2038</v>
      </c>
      <c r="C1065" t="s">
        <v>1732</v>
      </c>
      <c r="E1065" t="s">
        <v>124</v>
      </c>
    </row>
    <row r="1066" spans="1:5">
      <c r="A1066" t="s">
        <v>497</v>
      </c>
      <c r="B1066" t="s">
        <v>497</v>
      </c>
      <c r="C1066" t="s">
        <v>1732</v>
      </c>
      <c r="E1066" t="s">
        <v>124</v>
      </c>
    </row>
    <row r="1067" spans="1:5">
      <c r="A1067" t="s">
        <v>2039</v>
      </c>
      <c r="B1067" t="s">
        <v>2039</v>
      </c>
      <c r="C1067" t="s">
        <v>1732</v>
      </c>
      <c r="E1067" t="s">
        <v>124</v>
      </c>
    </row>
    <row r="1068" spans="1:5">
      <c r="A1068" t="s">
        <v>2040</v>
      </c>
      <c r="B1068" t="s">
        <v>2040</v>
      </c>
      <c r="C1068" t="s">
        <v>1732</v>
      </c>
      <c r="E1068" t="s">
        <v>124</v>
      </c>
    </row>
    <row r="1069" spans="1:5">
      <c r="A1069" t="s">
        <v>645</v>
      </c>
      <c r="B1069" t="s">
        <v>645</v>
      </c>
      <c r="C1069" t="s">
        <v>1732</v>
      </c>
      <c r="E1069" t="s">
        <v>124</v>
      </c>
    </row>
    <row r="1070" spans="1:5">
      <c r="A1070" t="s">
        <v>2041</v>
      </c>
      <c r="B1070" t="s">
        <v>2041</v>
      </c>
      <c r="C1070" t="s">
        <v>1732</v>
      </c>
      <c r="E1070" t="s">
        <v>124</v>
      </c>
    </row>
    <row r="1071" spans="1:5">
      <c r="A1071" t="s">
        <v>2042</v>
      </c>
      <c r="B1071" t="s">
        <v>2042</v>
      </c>
      <c r="C1071" t="s">
        <v>1732</v>
      </c>
      <c r="E1071" t="s">
        <v>124</v>
      </c>
    </row>
    <row r="1072" spans="1:5">
      <c r="A1072" t="s">
        <v>2043</v>
      </c>
      <c r="B1072" t="s">
        <v>2043</v>
      </c>
      <c r="C1072" t="s">
        <v>1732</v>
      </c>
      <c r="E1072" t="s">
        <v>124</v>
      </c>
    </row>
    <row r="1073" spans="1:5">
      <c r="A1073" t="s">
        <v>2044</v>
      </c>
      <c r="B1073" t="s">
        <v>2044</v>
      </c>
      <c r="C1073" t="s">
        <v>1732</v>
      </c>
      <c r="E1073" t="s">
        <v>329</v>
      </c>
    </row>
    <row r="1074" spans="1:5">
      <c r="A1074" t="s">
        <v>2045</v>
      </c>
      <c r="B1074" t="s">
        <v>2045</v>
      </c>
      <c r="C1074" t="s">
        <v>1732</v>
      </c>
      <c r="E1074" t="s">
        <v>1930</v>
      </c>
    </row>
    <row r="1075" spans="1:5">
      <c r="A1075" t="s">
        <v>697</v>
      </c>
      <c r="B1075" t="s">
        <v>697</v>
      </c>
      <c r="C1075" t="s">
        <v>1732</v>
      </c>
      <c r="E1075" t="s">
        <v>329</v>
      </c>
    </row>
    <row r="1076" spans="1:5">
      <c r="A1076" t="s">
        <v>2046</v>
      </c>
      <c r="B1076" t="s">
        <v>2046</v>
      </c>
      <c r="C1076" t="s">
        <v>1732</v>
      </c>
      <c r="E1076" t="s">
        <v>124</v>
      </c>
    </row>
    <row r="1077" spans="1:5">
      <c r="A1077" t="s">
        <v>2047</v>
      </c>
      <c r="B1077" t="s">
        <v>2047</v>
      </c>
      <c r="C1077" t="s">
        <v>1732</v>
      </c>
      <c r="E1077" t="s">
        <v>124</v>
      </c>
    </row>
    <row r="1078" spans="1:5">
      <c r="A1078" t="s">
        <v>2048</v>
      </c>
      <c r="B1078" t="s">
        <v>2048</v>
      </c>
      <c r="C1078" t="s">
        <v>1732</v>
      </c>
      <c r="E1078" t="s">
        <v>803</v>
      </c>
    </row>
    <row r="1079" spans="1:5">
      <c r="A1079" t="s">
        <v>2049</v>
      </c>
      <c r="B1079" t="s">
        <v>2049</v>
      </c>
      <c r="C1079" t="s">
        <v>1732</v>
      </c>
      <c r="E1079" t="s">
        <v>803</v>
      </c>
    </row>
    <row r="1080" spans="1:5">
      <c r="A1080" t="s">
        <v>2050</v>
      </c>
      <c r="B1080" t="s">
        <v>2050</v>
      </c>
      <c r="C1080" t="s">
        <v>1732</v>
      </c>
      <c r="E1080" t="s">
        <v>292</v>
      </c>
    </row>
    <row r="1081" spans="1:5">
      <c r="A1081" t="s">
        <v>1691</v>
      </c>
      <c r="B1081" t="s">
        <v>1691</v>
      </c>
      <c r="C1081" t="s">
        <v>1732</v>
      </c>
      <c r="E1081" t="s">
        <v>124</v>
      </c>
    </row>
    <row r="1082" spans="1:5">
      <c r="A1082" t="s">
        <v>2051</v>
      </c>
      <c r="B1082" t="s">
        <v>2051</v>
      </c>
      <c r="C1082" t="s">
        <v>1732</v>
      </c>
      <c r="E1082" t="s">
        <v>124</v>
      </c>
    </row>
    <row r="1083" spans="1:5">
      <c r="A1083" t="s">
        <v>855</v>
      </c>
      <c r="B1083" t="s">
        <v>855</v>
      </c>
      <c r="C1083" t="s">
        <v>1732</v>
      </c>
      <c r="E1083" t="s">
        <v>124</v>
      </c>
    </row>
    <row r="1084" spans="1:5">
      <c r="A1084" t="s">
        <v>2052</v>
      </c>
      <c r="B1084" t="s">
        <v>2052</v>
      </c>
      <c r="C1084" t="s">
        <v>1732</v>
      </c>
      <c r="E1084" t="s">
        <v>124</v>
      </c>
    </row>
    <row r="1085" spans="1:5">
      <c r="A1085" t="s">
        <v>1701</v>
      </c>
      <c r="B1085" t="s">
        <v>1701</v>
      </c>
      <c r="C1085" t="s">
        <v>1732</v>
      </c>
      <c r="E1085" t="s">
        <v>598</v>
      </c>
    </row>
    <row r="1086" s="63" customFormat="1" spans="1:5">
      <c r="A1086" s="63" t="s">
        <v>2053</v>
      </c>
      <c r="B1086" s="63" t="s">
        <v>2053</v>
      </c>
      <c r="C1086" s="63" t="s">
        <v>1732</v>
      </c>
      <c r="E1086" s="63" t="s">
        <v>1124</v>
      </c>
    </row>
    <row r="1087" s="63" customFormat="1" spans="1:5">
      <c r="A1087" s="63" t="s">
        <v>2054</v>
      </c>
      <c r="B1087" s="63" t="s">
        <v>2054</v>
      </c>
      <c r="C1087" s="63" t="s">
        <v>1732</v>
      </c>
      <c r="E1087" s="63" t="s">
        <v>1124</v>
      </c>
    </row>
    <row r="1088" s="63" customFormat="1" spans="1:5">
      <c r="A1088" s="63" t="s">
        <v>2055</v>
      </c>
      <c r="B1088" s="63" t="s">
        <v>2055</v>
      </c>
      <c r="C1088" s="63" t="s">
        <v>1732</v>
      </c>
      <c r="E1088" s="63" t="s">
        <v>1124</v>
      </c>
    </row>
    <row r="1089" s="63" customFormat="1" spans="1:5">
      <c r="A1089" s="63" t="s">
        <v>2056</v>
      </c>
      <c r="B1089" s="63" t="s">
        <v>2057</v>
      </c>
      <c r="C1089" s="63" t="s">
        <v>1732</v>
      </c>
      <c r="E1089" s="63" t="s">
        <v>1124</v>
      </c>
    </row>
    <row r="1090" s="63" customFormat="1" spans="1:5">
      <c r="A1090" s="63" t="s">
        <v>2058</v>
      </c>
      <c r="B1090" s="63" t="s">
        <v>2058</v>
      </c>
      <c r="C1090" s="63" t="s">
        <v>1732</v>
      </c>
      <c r="E1090" s="63" t="s">
        <v>1124</v>
      </c>
    </row>
    <row r="1091" s="63" customFormat="1" spans="1:5">
      <c r="A1091" s="63" t="s">
        <v>2059</v>
      </c>
      <c r="B1091" s="63" t="s">
        <v>2059</v>
      </c>
      <c r="C1091" s="63" t="s">
        <v>1732</v>
      </c>
      <c r="E1091" s="63" t="s">
        <v>1124</v>
      </c>
    </row>
    <row r="1092" s="63" customFormat="1" spans="1:5">
      <c r="A1092" s="63" t="s">
        <v>2060</v>
      </c>
      <c r="B1092" s="63" t="s">
        <v>2060</v>
      </c>
      <c r="C1092" s="63" t="s">
        <v>1732</v>
      </c>
      <c r="E1092" s="63" t="s">
        <v>1124</v>
      </c>
    </row>
    <row r="1093" s="63" customFormat="1" spans="1:5">
      <c r="A1093" s="63" t="s">
        <v>2061</v>
      </c>
      <c r="B1093" s="63" t="s">
        <v>2061</v>
      </c>
      <c r="C1093" s="63" t="s">
        <v>1732</v>
      </c>
      <c r="E1093" s="63" t="s">
        <v>1124</v>
      </c>
    </row>
    <row r="1094" spans="1:5">
      <c r="A1094" t="s">
        <v>122</v>
      </c>
      <c r="B1094" t="s">
        <v>122</v>
      </c>
      <c r="C1094" t="s">
        <v>1732</v>
      </c>
      <c r="E1094" t="s">
        <v>124</v>
      </c>
    </row>
    <row r="1095" s="63" customFormat="1" spans="1:5">
      <c r="A1095" s="63" t="s">
        <v>2062</v>
      </c>
      <c r="B1095" s="63" t="s">
        <v>2062</v>
      </c>
      <c r="C1095" s="63" t="s">
        <v>1732</v>
      </c>
      <c r="E1095" s="63" t="s">
        <v>292</v>
      </c>
    </row>
    <row r="1096" spans="1:5">
      <c r="A1096" t="s">
        <v>156</v>
      </c>
      <c r="B1096" t="s">
        <v>156</v>
      </c>
      <c r="C1096" t="s">
        <v>1732</v>
      </c>
      <c r="E1096" t="s">
        <v>1048</v>
      </c>
    </row>
    <row r="1097" spans="1:5">
      <c r="A1097" t="s">
        <v>2063</v>
      </c>
      <c r="B1097" t="s">
        <v>2063</v>
      </c>
      <c r="C1097" t="s">
        <v>1732</v>
      </c>
      <c r="E1097" t="s">
        <v>124</v>
      </c>
    </row>
    <row r="1098" spans="1:5">
      <c r="A1098" t="s">
        <v>0</v>
      </c>
      <c r="B1098" t="s">
        <v>0</v>
      </c>
      <c r="C1098" t="s">
        <v>1732</v>
      </c>
      <c r="E1098" t="s">
        <v>598</v>
      </c>
    </row>
    <row r="1099" spans="1:5">
      <c r="A1099" t="s">
        <v>2064</v>
      </c>
      <c r="B1099" t="s">
        <v>2064</v>
      </c>
      <c r="C1099" t="s">
        <v>1732</v>
      </c>
      <c r="E1099" t="s">
        <v>524</v>
      </c>
    </row>
    <row r="1100" spans="1:5">
      <c r="A1100" t="s">
        <v>2065</v>
      </c>
      <c r="B1100" t="s">
        <v>2065</v>
      </c>
      <c r="C1100" t="s">
        <v>1732</v>
      </c>
      <c r="E1100" t="s">
        <v>124</v>
      </c>
    </row>
    <row r="1101" spans="1:5">
      <c r="A1101" t="s">
        <v>403</v>
      </c>
      <c r="B1101" t="s">
        <v>403</v>
      </c>
      <c r="C1101" t="s">
        <v>1732</v>
      </c>
      <c r="E1101" t="s">
        <v>124</v>
      </c>
    </row>
    <row r="1102" spans="1:5">
      <c r="A1102" t="s">
        <v>402</v>
      </c>
      <c r="B1102" t="s">
        <v>402</v>
      </c>
      <c r="C1102" t="s">
        <v>1732</v>
      </c>
      <c r="E1102" t="s">
        <v>124</v>
      </c>
    </row>
    <row r="1103" s="63" customFormat="1" spans="1:5">
      <c r="A1103" s="63" t="s">
        <v>652</v>
      </c>
      <c r="B1103" s="63" t="s">
        <v>652</v>
      </c>
      <c r="C1103" s="63" t="s">
        <v>1732</v>
      </c>
      <c r="E1103" s="63" t="s">
        <v>124</v>
      </c>
    </row>
    <row r="1104" s="63" customFormat="1" spans="1:5">
      <c r="A1104" s="63" t="s">
        <v>646</v>
      </c>
      <c r="B1104" s="63" t="s">
        <v>646</v>
      </c>
      <c r="C1104" s="63" t="s">
        <v>1732</v>
      </c>
      <c r="E1104" s="63" t="s">
        <v>124</v>
      </c>
    </row>
    <row r="1105" spans="1:5">
      <c r="A1105" t="s">
        <v>302</v>
      </c>
      <c r="B1105" t="s">
        <v>302</v>
      </c>
      <c r="C1105" t="s">
        <v>1732</v>
      </c>
      <c r="E1105" t="s">
        <v>124</v>
      </c>
    </row>
    <row r="1106" spans="1:5">
      <c r="A1106" t="s">
        <v>2066</v>
      </c>
      <c r="B1106" t="s">
        <v>2066</v>
      </c>
      <c r="C1106" t="s">
        <v>1732</v>
      </c>
      <c r="E1106" t="s">
        <v>124</v>
      </c>
    </row>
    <row r="1107" spans="1:5">
      <c r="A1107" t="s">
        <v>2067</v>
      </c>
      <c r="B1107" t="s">
        <v>2067</v>
      </c>
      <c r="C1107" t="s">
        <v>1732</v>
      </c>
      <c r="E1107" t="s">
        <v>124</v>
      </c>
    </row>
    <row r="1108" spans="1:5">
      <c r="A1108" t="s">
        <v>2068</v>
      </c>
      <c r="B1108" t="s">
        <v>2068</v>
      </c>
      <c r="C1108" t="s">
        <v>1732</v>
      </c>
      <c r="E1108" t="s">
        <v>124</v>
      </c>
    </row>
    <row r="1109" s="63" customFormat="1" spans="1:5">
      <c r="A1109" s="63" t="s">
        <v>2069</v>
      </c>
      <c r="B1109" s="63" t="s">
        <v>2069</v>
      </c>
      <c r="C1109" s="63" t="s">
        <v>1732</v>
      </c>
      <c r="E1109" s="63" t="s">
        <v>524</v>
      </c>
    </row>
    <row r="1110" s="63" customFormat="1" spans="1:5">
      <c r="A1110" s="63" t="s">
        <v>2070</v>
      </c>
      <c r="B1110" s="63" t="s">
        <v>2070</v>
      </c>
      <c r="C1110" s="63" t="s">
        <v>1732</v>
      </c>
      <c r="E1110" s="63" t="s">
        <v>124</v>
      </c>
    </row>
    <row r="1111" spans="1:5">
      <c r="A1111" t="s">
        <v>2071</v>
      </c>
      <c r="B1111" t="s">
        <v>2071</v>
      </c>
      <c r="C1111" t="s">
        <v>1732</v>
      </c>
      <c r="E1111" t="s">
        <v>124</v>
      </c>
    </row>
    <row r="1112" s="63" customFormat="1" spans="1:5">
      <c r="A1112" s="63" t="s">
        <v>2072</v>
      </c>
      <c r="B1112" s="63" t="s">
        <v>2072</v>
      </c>
      <c r="C1112" s="63" t="s">
        <v>1732</v>
      </c>
      <c r="E1112" s="63" t="s">
        <v>124</v>
      </c>
    </row>
    <row r="1113" s="63" customFormat="1" spans="1:5">
      <c r="A1113" s="63" t="s">
        <v>2073</v>
      </c>
      <c r="B1113" s="63" t="s">
        <v>2073</v>
      </c>
      <c r="C1113" s="63" t="s">
        <v>1732</v>
      </c>
      <c r="E1113" s="63" t="s">
        <v>124</v>
      </c>
    </row>
    <row r="1114" spans="1:5">
      <c r="A1114" t="s">
        <v>2074</v>
      </c>
      <c r="B1114" t="s">
        <v>2074</v>
      </c>
      <c r="C1114" t="s">
        <v>1732</v>
      </c>
      <c r="E1114" t="s">
        <v>1048</v>
      </c>
    </row>
    <row r="1115" s="63" customFormat="1" spans="1:5">
      <c r="A1115" s="63" t="s">
        <v>2075</v>
      </c>
      <c r="B1115" s="63" t="s">
        <v>2075</v>
      </c>
      <c r="C1115" s="63" t="s">
        <v>1732</v>
      </c>
      <c r="E1115" s="63" t="s">
        <v>124</v>
      </c>
    </row>
    <row r="1116" s="63" customFormat="1" spans="1:5">
      <c r="A1116" s="63" t="s">
        <v>2076</v>
      </c>
      <c r="B1116" s="63" t="s">
        <v>2076</v>
      </c>
      <c r="C1116" s="63" t="s">
        <v>1732</v>
      </c>
      <c r="E1116" s="63" t="s">
        <v>124</v>
      </c>
    </row>
    <row r="1117" spans="1:5">
      <c r="A1117" t="s">
        <v>2077</v>
      </c>
      <c r="B1117" t="s">
        <v>2077</v>
      </c>
      <c r="C1117" t="s">
        <v>1732</v>
      </c>
      <c r="E1117" t="s">
        <v>124</v>
      </c>
    </row>
    <row r="1118" spans="1:5">
      <c r="A1118" t="s">
        <v>2078</v>
      </c>
      <c r="B1118" t="s">
        <v>2078</v>
      </c>
      <c r="C1118" t="s">
        <v>1732</v>
      </c>
      <c r="E1118" t="s">
        <v>316</v>
      </c>
    </row>
    <row r="1119" spans="1:5">
      <c r="A1119" t="s">
        <v>2079</v>
      </c>
      <c r="B1119" t="s">
        <v>2079</v>
      </c>
      <c r="C1119" t="s">
        <v>1732</v>
      </c>
      <c r="E1119" t="s">
        <v>124</v>
      </c>
    </row>
    <row r="1120" s="63" customFormat="1" spans="1:5">
      <c r="A1120" s="63" t="s">
        <v>2080</v>
      </c>
      <c r="B1120" s="63" t="s">
        <v>2080</v>
      </c>
      <c r="C1120" s="63" t="s">
        <v>1732</v>
      </c>
      <c r="E1120" s="63" t="s">
        <v>124</v>
      </c>
    </row>
    <row r="1121" spans="1:5">
      <c r="A1121" t="s">
        <v>2081</v>
      </c>
      <c r="B1121" t="s">
        <v>2081</v>
      </c>
      <c r="C1121" t="s">
        <v>1732</v>
      </c>
      <c r="E1121" t="s">
        <v>124</v>
      </c>
    </row>
    <row r="1122" spans="1:5">
      <c r="A1122" t="s">
        <v>2082</v>
      </c>
      <c r="B1122" t="s">
        <v>2082</v>
      </c>
      <c r="C1122" t="s">
        <v>1732</v>
      </c>
      <c r="E1122" t="s">
        <v>124</v>
      </c>
    </row>
    <row r="1123" spans="1:5">
      <c r="A1123" t="s">
        <v>2083</v>
      </c>
      <c r="B1123" t="s">
        <v>2083</v>
      </c>
      <c r="C1123" t="s">
        <v>1732</v>
      </c>
      <c r="E1123" t="s">
        <v>1972</v>
      </c>
    </row>
    <row r="1124" spans="1:5">
      <c r="A1124" t="s">
        <v>2084</v>
      </c>
      <c r="B1124" t="s">
        <v>2084</v>
      </c>
      <c r="C1124" t="s">
        <v>1732</v>
      </c>
      <c r="E1124" t="s">
        <v>124</v>
      </c>
    </row>
    <row r="1125" s="63" customFormat="1" spans="1:5">
      <c r="A1125" s="63" t="s">
        <v>2085</v>
      </c>
      <c r="B1125" s="63" t="s">
        <v>2085</v>
      </c>
      <c r="C1125" s="63" t="s">
        <v>1732</v>
      </c>
      <c r="E1125" s="63" t="s">
        <v>124</v>
      </c>
    </row>
    <row r="1126" s="63" customFormat="1" spans="1:5">
      <c r="A1126" s="63" t="s">
        <v>2086</v>
      </c>
      <c r="B1126" s="63" t="s">
        <v>2086</v>
      </c>
      <c r="C1126" s="63" t="s">
        <v>1732</v>
      </c>
      <c r="E1126" s="63" t="s">
        <v>329</v>
      </c>
    </row>
    <row r="1127" spans="1:5">
      <c r="A1127" t="s">
        <v>2087</v>
      </c>
      <c r="B1127" t="s">
        <v>2087</v>
      </c>
      <c r="C1127" t="s">
        <v>1732</v>
      </c>
      <c r="E1127" t="s">
        <v>124</v>
      </c>
    </row>
    <row r="1128" s="63" customFormat="1" spans="1:5">
      <c r="A1128" s="63" t="s">
        <v>2088</v>
      </c>
      <c r="B1128" s="63" t="s">
        <v>2088</v>
      </c>
      <c r="C1128" s="63" t="s">
        <v>1732</v>
      </c>
      <c r="E1128" s="63" t="s">
        <v>124</v>
      </c>
    </row>
    <row r="1129" s="63" customFormat="1" spans="1:5">
      <c r="A1129" s="63" t="s">
        <v>614</v>
      </c>
      <c r="B1129" s="63" t="s">
        <v>614</v>
      </c>
      <c r="C1129" s="63" t="s">
        <v>1732</v>
      </c>
      <c r="E1129" s="63" t="s">
        <v>124</v>
      </c>
    </row>
    <row r="1130" s="63" customFormat="1" spans="1:5">
      <c r="A1130" s="63" t="s">
        <v>692</v>
      </c>
      <c r="B1130" s="63" t="s">
        <v>692</v>
      </c>
      <c r="C1130" s="63" t="s">
        <v>1732</v>
      </c>
      <c r="E1130" s="63" t="s">
        <v>399</v>
      </c>
    </row>
    <row r="1131" s="63" customFormat="1" spans="1:5">
      <c r="A1131" s="63" t="s">
        <v>754</v>
      </c>
      <c r="B1131" s="63" t="s">
        <v>754</v>
      </c>
      <c r="C1131" s="63" t="s">
        <v>1732</v>
      </c>
      <c r="E1131" s="63" t="s">
        <v>124</v>
      </c>
    </row>
    <row r="1132" s="63" customFormat="1" spans="1:5">
      <c r="A1132" s="63" t="s">
        <v>753</v>
      </c>
      <c r="B1132" s="63" t="s">
        <v>753</v>
      </c>
      <c r="C1132" s="63" t="s">
        <v>1732</v>
      </c>
      <c r="E1132" s="63" t="s">
        <v>124</v>
      </c>
    </row>
    <row r="1133" s="63" customFormat="1" spans="1:5">
      <c r="A1133" s="63" t="s">
        <v>767</v>
      </c>
      <c r="B1133" s="63" t="s">
        <v>767</v>
      </c>
      <c r="C1133" s="63" t="s">
        <v>1732</v>
      </c>
      <c r="E1133" s="63" t="s">
        <v>124</v>
      </c>
    </row>
    <row r="1134" s="63" customFormat="1" spans="1:5">
      <c r="A1134" s="63" t="s">
        <v>2089</v>
      </c>
      <c r="B1134" s="63" t="s">
        <v>2089</v>
      </c>
      <c r="C1134" s="63" t="s">
        <v>1732</v>
      </c>
      <c r="E1134" s="63" t="s">
        <v>124</v>
      </c>
    </row>
    <row r="1135" s="63" customFormat="1" spans="1:5">
      <c r="A1135" s="63" t="s">
        <v>657</v>
      </c>
      <c r="B1135" s="63" t="s">
        <v>657</v>
      </c>
      <c r="C1135" s="63" t="s">
        <v>1732</v>
      </c>
      <c r="E1135" s="63" t="s">
        <v>399</v>
      </c>
    </row>
    <row r="1136" s="63" customFormat="1" spans="1:5">
      <c r="A1136" s="63" t="s">
        <v>2090</v>
      </c>
      <c r="B1136" s="63" t="s">
        <v>2090</v>
      </c>
      <c r="C1136" s="63" t="s">
        <v>1732</v>
      </c>
      <c r="E1136" s="63" t="s">
        <v>124</v>
      </c>
    </row>
    <row r="1137" s="63" customFormat="1" spans="1:5">
      <c r="A1137" s="63" t="s">
        <v>2091</v>
      </c>
      <c r="B1137" s="63" t="s">
        <v>2091</v>
      </c>
      <c r="C1137" s="63" t="s">
        <v>1732</v>
      </c>
      <c r="E1137" s="63" t="s">
        <v>124</v>
      </c>
    </row>
    <row r="1138" s="63" customFormat="1" spans="1:5">
      <c r="A1138" s="63" t="s">
        <v>768</v>
      </c>
      <c r="B1138" s="63" t="s">
        <v>768</v>
      </c>
      <c r="C1138" s="63" t="s">
        <v>1732</v>
      </c>
      <c r="E1138" s="63" t="s">
        <v>124</v>
      </c>
    </row>
    <row r="1139" s="63" customFormat="1" spans="1:5">
      <c r="A1139" s="63" t="s">
        <v>2092</v>
      </c>
      <c r="B1139" s="63" t="s">
        <v>2092</v>
      </c>
      <c r="C1139" s="63" t="s">
        <v>1732</v>
      </c>
      <c r="E1139" s="63" t="s">
        <v>124</v>
      </c>
    </row>
    <row r="1140" spans="1:5">
      <c r="A1140" t="s">
        <v>2093</v>
      </c>
      <c r="B1140" t="s">
        <v>724</v>
      </c>
      <c r="C1140" t="s">
        <v>1732</v>
      </c>
      <c r="E1140" t="s">
        <v>124</v>
      </c>
    </row>
    <row r="1141" s="63" customFormat="1" spans="1:5">
      <c r="A1141" s="63" t="s">
        <v>2094</v>
      </c>
      <c r="B1141" s="63" t="s">
        <v>2094</v>
      </c>
      <c r="C1141" s="63" t="s">
        <v>1732</v>
      </c>
      <c r="E1141" s="63" t="s">
        <v>124</v>
      </c>
    </row>
    <row r="1142" s="63" customFormat="1" spans="1:5">
      <c r="A1142" s="63" t="s">
        <v>2095</v>
      </c>
      <c r="B1142" s="63" t="s">
        <v>2095</v>
      </c>
      <c r="C1142" s="63" t="s">
        <v>1732</v>
      </c>
      <c r="E1142" s="63" t="s">
        <v>124</v>
      </c>
    </row>
    <row r="1143" s="63" customFormat="1" spans="1:5">
      <c r="A1143" s="63" t="s">
        <v>2096</v>
      </c>
      <c r="B1143" s="63" t="s">
        <v>2096</v>
      </c>
      <c r="C1143" s="63" t="s">
        <v>1732</v>
      </c>
      <c r="E1143" s="63" t="s">
        <v>124</v>
      </c>
    </row>
    <row r="1144" s="63" customFormat="1" spans="1:5">
      <c r="A1144" s="63" t="s">
        <v>2097</v>
      </c>
      <c r="B1144" s="63" t="s">
        <v>2097</v>
      </c>
      <c r="C1144" s="63" t="s">
        <v>1732</v>
      </c>
      <c r="E1144" s="63" t="s">
        <v>124</v>
      </c>
    </row>
    <row r="1145" spans="1:5">
      <c r="A1145" t="s">
        <v>2098</v>
      </c>
      <c r="B1145" t="s">
        <v>2098</v>
      </c>
      <c r="C1145" t="s">
        <v>1732</v>
      </c>
      <c r="E1145" t="s">
        <v>124</v>
      </c>
    </row>
    <row r="1146" s="63" customFormat="1" spans="1:5">
      <c r="A1146" s="63" t="s">
        <v>2099</v>
      </c>
      <c r="B1146" s="63" t="s">
        <v>2099</v>
      </c>
      <c r="C1146" s="63" t="s">
        <v>1732</v>
      </c>
      <c r="E1146" s="63" t="s">
        <v>124</v>
      </c>
    </row>
    <row r="1147" s="63" customFormat="1" spans="1:5">
      <c r="A1147" s="63" t="s">
        <v>2100</v>
      </c>
      <c r="B1147" s="63" t="s">
        <v>2100</v>
      </c>
      <c r="C1147" s="63" t="s">
        <v>1732</v>
      </c>
      <c r="E1147" s="63" t="s">
        <v>124</v>
      </c>
    </row>
    <row r="1148" s="63" customFormat="1" spans="1:5">
      <c r="A1148" s="63" t="s">
        <v>2101</v>
      </c>
      <c r="B1148" s="63" t="s">
        <v>2101</v>
      </c>
      <c r="C1148" s="63" t="s">
        <v>1732</v>
      </c>
      <c r="E1148" s="63" t="s">
        <v>399</v>
      </c>
    </row>
    <row r="1149" s="63" customFormat="1" spans="1:5">
      <c r="A1149" s="63" t="s">
        <v>625</v>
      </c>
      <c r="B1149" s="63" t="s">
        <v>625</v>
      </c>
      <c r="C1149" s="63" t="s">
        <v>1732</v>
      </c>
      <c r="E1149" s="63" t="s">
        <v>124</v>
      </c>
    </row>
    <row r="1150" s="63" customFormat="1" spans="1:5">
      <c r="A1150" s="63" t="s">
        <v>2102</v>
      </c>
      <c r="B1150" s="63" t="s">
        <v>2102</v>
      </c>
      <c r="C1150" s="63" t="s">
        <v>1732</v>
      </c>
      <c r="E1150" s="63" t="s">
        <v>124</v>
      </c>
    </row>
    <row r="1151" s="63" customFormat="1" spans="1:5">
      <c r="A1151" s="63" t="s">
        <v>626</v>
      </c>
      <c r="B1151" s="63" t="s">
        <v>626</v>
      </c>
      <c r="C1151" s="63" t="s">
        <v>1732</v>
      </c>
      <c r="E1151" s="63" t="s">
        <v>124</v>
      </c>
    </row>
    <row r="1152" s="63" customFormat="1" spans="1:5">
      <c r="A1152" s="63" t="s">
        <v>683</v>
      </c>
      <c r="B1152" s="63" t="s">
        <v>683</v>
      </c>
      <c r="C1152" s="63" t="s">
        <v>1732</v>
      </c>
      <c r="E1152" s="63" t="s">
        <v>124</v>
      </c>
    </row>
    <row r="1153" s="63" customFormat="1" spans="1:5">
      <c r="A1153" s="63" t="s">
        <v>2103</v>
      </c>
      <c r="B1153" s="63" t="s">
        <v>2103</v>
      </c>
      <c r="C1153" s="63" t="s">
        <v>1732</v>
      </c>
      <c r="E1153" s="63" t="s">
        <v>124</v>
      </c>
    </row>
    <row r="1154" spans="1:5">
      <c r="A1154" t="s">
        <v>2104</v>
      </c>
      <c r="B1154" t="s">
        <v>2104</v>
      </c>
      <c r="C1154" t="s">
        <v>1732</v>
      </c>
      <c r="E1154" t="s">
        <v>124</v>
      </c>
    </row>
    <row r="1155" spans="1:5">
      <c r="A1155" t="s">
        <v>141</v>
      </c>
      <c r="B1155" t="s">
        <v>141</v>
      </c>
      <c r="C1155" t="s">
        <v>1732</v>
      </c>
      <c r="E1155" t="s">
        <v>1930</v>
      </c>
    </row>
    <row r="1156" s="63" customFormat="1" spans="1:5">
      <c r="A1156" s="63" t="s">
        <v>2105</v>
      </c>
      <c r="B1156" s="63" t="s">
        <v>2105</v>
      </c>
      <c r="C1156" s="63" t="s">
        <v>1732</v>
      </c>
      <c r="E1156" s="63" t="s">
        <v>363</v>
      </c>
    </row>
    <row r="1157" s="63" customFormat="1" spans="1:5">
      <c r="A1157" s="63" t="s">
        <v>2106</v>
      </c>
      <c r="B1157" s="63" t="s">
        <v>2106</v>
      </c>
      <c r="C1157" s="63" t="s">
        <v>1732</v>
      </c>
      <c r="E1157" s="63" t="s">
        <v>363</v>
      </c>
    </row>
    <row r="1158" spans="1:5">
      <c r="A1158" t="s">
        <v>2107</v>
      </c>
      <c r="B1158" t="s">
        <v>2107</v>
      </c>
      <c r="C1158" t="s">
        <v>1732</v>
      </c>
      <c r="E1158" t="s">
        <v>124</v>
      </c>
    </row>
    <row r="1159" spans="1:5">
      <c r="A1159" t="s">
        <v>2108</v>
      </c>
      <c r="B1159" t="s">
        <v>2108</v>
      </c>
      <c r="C1159" t="s">
        <v>1732</v>
      </c>
      <c r="E1159" t="s">
        <v>1032</v>
      </c>
    </row>
    <row r="1160" s="83" customFormat="1" spans="1:5">
      <c r="A1160" s="83" t="s">
        <v>2109</v>
      </c>
      <c r="B1160" s="83" t="s">
        <v>2109</v>
      </c>
      <c r="C1160" s="83" t="s">
        <v>1732</v>
      </c>
      <c r="E1160" s="83" t="s">
        <v>1124</v>
      </c>
    </row>
    <row r="1161" s="83" customFormat="1" spans="1:5">
      <c r="A1161" s="83" t="s">
        <v>2110</v>
      </c>
      <c r="B1161" s="83" t="s">
        <v>2110</v>
      </c>
      <c r="C1161" s="83" t="s">
        <v>1732</v>
      </c>
      <c r="E1161" s="83" t="s">
        <v>1124</v>
      </c>
    </row>
    <row r="1162" spans="1:5">
      <c r="A1162" t="s">
        <v>2111</v>
      </c>
      <c r="B1162" t="s">
        <v>2111</v>
      </c>
      <c r="C1162" t="s">
        <v>1732</v>
      </c>
      <c r="E1162" t="s">
        <v>124</v>
      </c>
    </row>
    <row r="1163" spans="1:5">
      <c r="A1163" t="s">
        <v>2112</v>
      </c>
      <c r="B1163" t="s">
        <v>2112</v>
      </c>
      <c r="C1163" t="s">
        <v>1732</v>
      </c>
      <c r="E1163" t="s">
        <v>124</v>
      </c>
    </row>
    <row r="1164" spans="1:5">
      <c r="A1164" t="s">
        <v>2113</v>
      </c>
      <c r="B1164" t="s">
        <v>2113</v>
      </c>
      <c r="C1164" t="s">
        <v>1732</v>
      </c>
      <c r="E1164" t="s">
        <v>124</v>
      </c>
    </row>
    <row r="1165" spans="1:5">
      <c r="A1165" t="s">
        <v>2114</v>
      </c>
      <c r="B1165" t="s">
        <v>2114</v>
      </c>
      <c r="C1165" t="s">
        <v>1732</v>
      </c>
      <c r="E1165" t="s">
        <v>124</v>
      </c>
    </row>
    <row r="1166" s="63" customFormat="1" spans="1:5">
      <c r="A1166" s="63" t="s">
        <v>2115</v>
      </c>
      <c r="B1166" s="63" t="s">
        <v>2115</v>
      </c>
      <c r="C1166" s="63" t="s">
        <v>1732</v>
      </c>
      <c r="E1166" s="63" t="s">
        <v>547</v>
      </c>
    </row>
    <row r="1167" s="63" customFormat="1" spans="1:5">
      <c r="A1167" s="63" t="s">
        <v>2116</v>
      </c>
      <c r="B1167" s="63" t="s">
        <v>2116</v>
      </c>
      <c r="C1167" s="63" t="s">
        <v>1732</v>
      </c>
      <c r="E1167" s="63" t="s">
        <v>475</v>
      </c>
    </row>
    <row r="1168" spans="1:5">
      <c r="A1168" t="s">
        <v>2117</v>
      </c>
      <c r="B1168" t="s">
        <v>2117</v>
      </c>
      <c r="C1168" t="s">
        <v>1732</v>
      </c>
      <c r="E1168" t="s">
        <v>124</v>
      </c>
    </row>
    <row r="1169" spans="1:5">
      <c r="A1169" t="s">
        <v>2118</v>
      </c>
      <c r="B1169" t="s">
        <v>2118</v>
      </c>
      <c r="C1169" t="s">
        <v>1732</v>
      </c>
      <c r="E1169" t="s">
        <v>124</v>
      </c>
    </row>
    <row r="1170" s="63" customFormat="1" spans="1:5">
      <c r="A1170" s="63" t="s">
        <v>2119</v>
      </c>
      <c r="B1170" s="63" t="s">
        <v>2119</v>
      </c>
      <c r="C1170" s="63" t="s">
        <v>1732</v>
      </c>
      <c r="E1170" s="63" t="s">
        <v>124</v>
      </c>
    </row>
    <row r="1171" s="63" customFormat="1" spans="1:5">
      <c r="A1171" s="63" t="s">
        <v>2120</v>
      </c>
      <c r="B1171" s="63" t="s">
        <v>2120</v>
      </c>
      <c r="C1171" s="63" t="s">
        <v>1732</v>
      </c>
      <c r="E1171" s="63" t="s">
        <v>124</v>
      </c>
    </row>
    <row r="1172" s="63" customFormat="1" spans="1:5">
      <c r="A1172" s="63" t="s">
        <v>2121</v>
      </c>
      <c r="B1172" s="63" t="s">
        <v>2121</v>
      </c>
      <c r="C1172" s="63" t="s">
        <v>1732</v>
      </c>
      <c r="E1172" s="63" t="s">
        <v>124</v>
      </c>
    </row>
    <row r="1173" s="63" customFormat="1" spans="1:5">
      <c r="A1173" s="63" t="s">
        <v>2122</v>
      </c>
      <c r="B1173" s="63" t="s">
        <v>2122</v>
      </c>
      <c r="C1173" s="63" t="s">
        <v>1732</v>
      </c>
      <c r="E1173" s="63" t="s">
        <v>124</v>
      </c>
    </row>
    <row r="1174" s="63" customFormat="1" spans="1:5">
      <c r="A1174" s="63" t="s">
        <v>2123</v>
      </c>
      <c r="B1174" s="63" t="s">
        <v>2123</v>
      </c>
      <c r="C1174" s="63" t="s">
        <v>1732</v>
      </c>
      <c r="E1174" s="63" t="s">
        <v>124</v>
      </c>
    </row>
    <row r="1175" spans="1:5">
      <c r="A1175" t="s">
        <v>2124</v>
      </c>
      <c r="B1175" t="s">
        <v>2124</v>
      </c>
      <c r="C1175" t="s">
        <v>1732</v>
      </c>
      <c r="E1175" t="s">
        <v>124</v>
      </c>
    </row>
    <row r="1176" s="63" customFormat="1" spans="1:5">
      <c r="A1176" s="63" t="s">
        <v>339</v>
      </c>
      <c r="B1176" s="63" t="s">
        <v>339</v>
      </c>
      <c r="C1176" s="63" t="s">
        <v>1732</v>
      </c>
      <c r="E1176" s="63" t="s">
        <v>124</v>
      </c>
    </row>
    <row r="1177" s="63" customFormat="1" spans="1:5">
      <c r="A1177" s="63" t="s">
        <v>340</v>
      </c>
      <c r="B1177" s="63" t="s">
        <v>340</v>
      </c>
      <c r="C1177" s="63" t="s">
        <v>1732</v>
      </c>
      <c r="E1177" s="63" t="s">
        <v>124</v>
      </c>
    </row>
    <row r="1178" s="63" customFormat="1" spans="1:5">
      <c r="A1178" s="63" t="s">
        <v>341</v>
      </c>
      <c r="B1178" s="63" t="s">
        <v>341</v>
      </c>
      <c r="C1178" s="63" t="s">
        <v>1732</v>
      </c>
      <c r="E1178" s="63" t="s">
        <v>124</v>
      </c>
    </row>
    <row r="1179" s="63" customFormat="1" spans="1:5">
      <c r="A1179" s="63" t="s">
        <v>342</v>
      </c>
      <c r="B1179" s="63" t="s">
        <v>342</v>
      </c>
      <c r="C1179" s="63" t="s">
        <v>1732</v>
      </c>
      <c r="E1179" s="63" t="s">
        <v>124</v>
      </c>
    </row>
    <row r="1180" s="63" customFormat="1" spans="1:5">
      <c r="A1180" s="63" t="s">
        <v>2125</v>
      </c>
      <c r="B1180" s="63" t="s">
        <v>2125</v>
      </c>
      <c r="C1180" s="63" t="s">
        <v>1732</v>
      </c>
      <c r="E1180" s="63" t="s">
        <v>124</v>
      </c>
    </row>
    <row r="1181" s="63" customFormat="1" spans="1:5">
      <c r="A1181" s="63" t="s">
        <v>2126</v>
      </c>
      <c r="B1181" s="63" t="s">
        <v>2126</v>
      </c>
      <c r="C1181" s="63" t="s">
        <v>1732</v>
      </c>
      <c r="E1181" s="63" t="s">
        <v>2012</v>
      </c>
    </row>
    <row r="1182" spans="1:5">
      <c r="A1182" t="s">
        <v>2127</v>
      </c>
      <c r="B1182" t="s">
        <v>2127</v>
      </c>
      <c r="C1182" t="s">
        <v>1732</v>
      </c>
      <c r="E1182" t="s">
        <v>700</v>
      </c>
    </row>
    <row r="1183" spans="1:5">
      <c r="A1183" t="s">
        <v>2128</v>
      </c>
      <c r="B1183" t="s">
        <v>2128</v>
      </c>
      <c r="C1183" t="s">
        <v>1732</v>
      </c>
      <c r="E1183" t="s">
        <v>329</v>
      </c>
    </row>
    <row r="1184" spans="1:5">
      <c r="A1184" t="s">
        <v>2129</v>
      </c>
      <c r="B1184" t="s">
        <v>2130</v>
      </c>
      <c r="C1184" t="s">
        <v>1732</v>
      </c>
      <c r="E1184" t="s">
        <v>329</v>
      </c>
    </row>
    <row r="1185" s="63" customFormat="1" spans="1:5">
      <c r="A1185" s="63" t="s">
        <v>2131</v>
      </c>
      <c r="B1185" s="63" t="s">
        <v>2131</v>
      </c>
      <c r="C1185" s="63" t="s">
        <v>1732</v>
      </c>
      <c r="E1185" s="63" t="s">
        <v>1124</v>
      </c>
    </row>
    <row r="1186" spans="1:5">
      <c r="A1186" t="s">
        <v>2132</v>
      </c>
      <c r="B1186" t="s">
        <v>2133</v>
      </c>
      <c r="C1186" t="s">
        <v>1732</v>
      </c>
      <c r="E1186" t="s">
        <v>1043</v>
      </c>
    </row>
    <row r="1187" spans="1:5">
      <c r="A1187" t="s">
        <v>2134</v>
      </c>
      <c r="B1187" t="s">
        <v>2134</v>
      </c>
      <c r="C1187" t="s">
        <v>1732</v>
      </c>
      <c r="E1187" t="s">
        <v>124</v>
      </c>
    </row>
    <row r="1188" s="63" customFormat="1" spans="1:5">
      <c r="A1188" s="63" t="s">
        <v>2135</v>
      </c>
      <c r="B1188" s="63" t="s">
        <v>769</v>
      </c>
      <c r="C1188" s="63" t="s">
        <v>1732</v>
      </c>
      <c r="E1188" s="63" t="s">
        <v>547</v>
      </c>
    </row>
    <row r="1189" s="63" customFormat="1" spans="1:5">
      <c r="A1189" s="63" t="s">
        <v>2136</v>
      </c>
      <c r="B1189" s="63" t="s">
        <v>2136</v>
      </c>
      <c r="C1189" s="63" t="s">
        <v>1732</v>
      </c>
      <c r="E1189" s="63" t="s">
        <v>124</v>
      </c>
    </row>
    <row r="1190" s="63" customFormat="1" spans="1:5">
      <c r="A1190" s="63" t="s">
        <v>730</v>
      </c>
      <c r="B1190" s="63" t="s">
        <v>730</v>
      </c>
      <c r="C1190" s="63" t="s">
        <v>1732</v>
      </c>
      <c r="E1190" s="63" t="s">
        <v>124</v>
      </c>
    </row>
    <row r="1191" s="63" customFormat="1" spans="1:5">
      <c r="A1191" s="63" t="s">
        <v>731</v>
      </c>
      <c r="B1191" s="63" t="s">
        <v>731</v>
      </c>
      <c r="C1191" s="63" t="s">
        <v>1732</v>
      </c>
      <c r="E1191" s="63" t="s">
        <v>124</v>
      </c>
    </row>
    <row r="1192" s="63" customFormat="1" spans="1:5">
      <c r="A1192" s="63" t="s">
        <v>2137</v>
      </c>
      <c r="B1192" s="63" t="s">
        <v>2137</v>
      </c>
      <c r="C1192" s="63" t="s">
        <v>1732</v>
      </c>
      <c r="E1192" s="63" t="s">
        <v>124</v>
      </c>
    </row>
    <row r="1193" s="63" customFormat="1" spans="1:5">
      <c r="A1193" s="63" t="s">
        <v>2138</v>
      </c>
      <c r="B1193" s="63" t="s">
        <v>2138</v>
      </c>
      <c r="C1193" s="63" t="s">
        <v>1732</v>
      </c>
      <c r="E1193" s="63" t="s">
        <v>124</v>
      </c>
    </row>
    <row r="1194" spans="1:5">
      <c r="A1194" t="s">
        <v>2139</v>
      </c>
      <c r="B1194" t="s">
        <v>2139</v>
      </c>
      <c r="C1194" t="s">
        <v>1732</v>
      </c>
      <c r="E1194" t="s">
        <v>124</v>
      </c>
    </row>
    <row r="1195" s="63" customFormat="1" spans="1:5">
      <c r="A1195" s="63" t="s">
        <v>2140</v>
      </c>
      <c r="B1195" s="63" t="s">
        <v>2140</v>
      </c>
      <c r="C1195" s="63" t="s">
        <v>1732</v>
      </c>
      <c r="E1195" s="63" t="s">
        <v>524</v>
      </c>
    </row>
    <row r="1196" s="63" customFormat="1" spans="1:5">
      <c r="A1196" s="63" t="s">
        <v>2141</v>
      </c>
      <c r="B1196" s="63" t="s">
        <v>2141</v>
      </c>
      <c r="C1196" s="63" t="s">
        <v>1732</v>
      </c>
      <c r="E1196" s="63" t="s">
        <v>524</v>
      </c>
    </row>
    <row r="1197" s="63" customFormat="1" spans="1:5">
      <c r="A1197" s="63" t="s">
        <v>526</v>
      </c>
      <c r="B1197" s="63" t="s">
        <v>526</v>
      </c>
      <c r="C1197" s="63" t="s">
        <v>1732</v>
      </c>
      <c r="E1197" s="63" t="s">
        <v>524</v>
      </c>
    </row>
    <row r="1198" s="63" customFormat="1" spans="1:5">
      <c r="A1198" s="63" t="s">
        <v>2142</v>
      </c>
      <c r="B1198" s="63" t="s">
        <v>2142</v>
      </c>
      <c r="C1198" s="63" t="s">
        <v>1732</v>
      </c>
      <c r="E1198" s="63" t="s">
        <v>1930</v>
      </c>
    </row>
    <row r="1199" s="63" customFormat="1" spans="1:5">
      <c r="A1199" s="63" t="s">
        <v>2143</v>
      </c>
      <c r="B1199" s="63" t="s">
        <v>2143</v>
      </c>
      <c r="C1199" s="63" t="s">
        <v>1732</v>
      </c>
      <c r="E1199" s="63" t="s">
        <v>1048</v>
      </c>
    </row>
    <row r="1200" spans="1:5">
      <c r="A1200" t="s">
        <v>2144</v>
      </c>
      <c r="B1200" t="s">
        <v>2144</v>
      </c>
      <c r="C1200" t="s">
        <v>1732</v>
      </c>
      <c r="E1200" t="s">
        <v>2145</v>
      </c>
    </row>
    <row r="1201" s="63" customFormat="1" spans="1:5">
      <c r="A1201" s="63" t="s">
        <v>612</v>
      </c>
      <c r="B1201" s="63" t="s">
        <v>612</v>
      </c>
      <c r="C1201" s="63" t="s">
        <v>1732</v>
      </c>
      <c r="E1201" s="63" t="s">
        <v>124</v>
      </c>
    </row>
    <row r="1202" s="63" customFormat="1" spans="1:5">
      <c r="A1202" s="63" t="s">
        <v>2146</v>
      </c>
      <c r="B1202" s="63" t="s">
        <v>2146</v>
      </c>
      <c r="C1202" s="63" t="s">
        <v>1732</v>
      </c>
      <c r="E1202" s="63" t="s">
        <v>124</v>
      </c>
    </row>
    <row r="1203" s="63" customFormat="1" spans="1:5">
      <c r="A1203" s="63" t="s">
        <v>632</v>
      </c>
      <c r="B1203" s="63" t="s">
        <v>632</v>
      </c>
      <c r="C1203" s="63" t="s">
        <v>1732</v>
      </c>
      <c r="E1203" s="63" t="s">
        <v>124</v>
      </c>
    </row>
    <row r="1204" s="63" customFormat="1" spans="1:5">
      <c r="A1204" s="63" t="s">
        <v>633</v>
      </c>
      <c r="B1204" s="63" t="s">
        <v>633</v>
      </c>
      <c r="C1204" s="63" t="s">
        <v>1732</v>
      </c>
      <c r="E1204" s="63" t="s">
        <v>124</v>
      </c>
    </row>
    <row r="1205" s="63" customFormat="1" spans="1:5">
      <c r="A1205" s="63" t="s">
        <v>627</v>
      </c>
      <c r="B1205" s="63" t="s">
        <v>627</v>
      </c>
      <c r="C1205" s="63" t="s">
        <v>1732</v>
      </c>
      <c r="E1205" s="63" t="s">
        <v>124</v>
      </c>
    </row>
    <row r="1206" s="63" customFormat="1" spans="1:5">
      <c r="A1206" s="63" t="s">
        <v>2147</v>
      </c>
      <c r="B1206" s="63" t="s">
        <v>2147</v>
      </c>
      <c r="C1206" s="63" t="s">
        <v>1732</v>
      </c>
      <c r="E1206" s="63" t="s">
        <v>124</v>
      </c>
    </row>
    <row r="1207" spans="1:5">
      <c r="A1207" t="s">
        <v>2148</v>
      </c>
      <c r="B1207" t="s">
        <v>2148</v>
      </c>
      <c r="C1207" t="s">
        <v>1732</v>
      </c>
      <c r="E1207" t="s">
        <v>124</v>
      </c>
    </row>
    <row r="1208" spans="1:5">
      <c r="A1208" t="s">
        <v>2149</v>
      </c>
      <c r="B1208" t="s">
        <v>2149</v>
      </c>
      <c r="C1208" t="s">
        <v>1732</v>
      </c>
      <c r="E1208" t="s">
        <v>124</v>
      </c>
    </row>
    <row r="1209" spans="1:5">
      <c r="A1209" t="s">
        <v>2150</v>
      </c>
      <c r="B1209" t="s">
        <v>2150</v>
      </c>
      <c r="C1209" t="s">
        <v>1732</v>
      </c>
      <c r="E1209" t="s">
        <v>124</v>
      </c>
    </row>
    <row r="1210" spans="1:5">
      <c r="A1210" t="s">
        <v>2151</v>
      </c>
      <c r="B1210" t="s">
        <v>2151</v>
      </c>
      <c r="C1210" t="s">
        <v>1732</v>
      </c>
      <c r="E1210" t="s">
        <v>124</v>
      </c>
    </row>
    <row r="1211" spans="1:5">
      <c r="A1211" t="s">
        <v>2152</v>
      </c>
      <c r="B1211" t="s">
        <v>2152</v>
      </c>
      <c r="C1211" t="s">
        <v>1732</v>
      </c>
      <c r="E1211" t="s">
        <v>124</v>
      </c>
    </row>
    <row r="1212" spans="1:5">
      <c r="A1212" t="s">
        <v>2153</v>
      </c>
      <c r="B1212" t="s">
        <v>2153</v>
      </c>
      <c r="C1212" t="s">
        <v>1732</v>
      </c>
      <c r="E1212" t="s">
        <v>124</v>
      </c>
    </row>
    <row r="1213" s="63" customFormat="1" spans="1:5">
      <c r="A1213" s="63" t="s">
        <v>624</v>
      </c>
      <c r="B1213" s="63" t="s">
        <v>624</v>
      </c>
      <c r="C1213" s="63" t="s">
        <v>1732</v>
      </c>
      <c r="E1213" s="63" t="s">
        <v>124</v>
      </c>
    </row>
    <row r="1214" spans="1:5">
      <c r="A1214" t="s">
        <v>2154</v>
      </c>
      <c r="B1214" t="s">
        <v>2154</v>
      </c>
      <c r="C1214" t="s">
        <v>1732</v>
      </c>
      <c r="E1214" t="s">
        <v>124</v>
      </c>
    </row>
    <row r="1215" spans="1:5">
      <c r="A1215" t="s">
        <v>641</v>
      </c>
      <c r="B1215" t="s">
        <v>641</v>
      </c>
      <c r="C1215" t="s">
        <v>1732</v>
      </c>
      <c r="E1215" t="s">
        <v>124</v>
      </c>
    </row>
    <row r="1216" s="63" customFormat="1" spans="1:5">
      <c r="A1216" s="63" t="s">
        <v>2155</v>
      </c>
      <c r="B1216" s="63" t="s">
        <v>2155</v>
      </c>
      <c r="C1216" s="63" t="s">
        <v>1732</v>
      </c>
      <c r="E1216" s="63" t="s">
        <v>475</v>
      </c>
    </row>
    <row r="1217" s="63" customFormat="1" spans="1:5">
      <c r="A1217" s="63" t="s">
        <v>343</v>
      </c>
      <c r="B1217" s="63" t="s">
        <v>343</v>
      </c>
      <c r="C1217" s="63" t="s">
        <v>1732</v>
      </c>
      <c r="E1217" s="63" t="s">
        <v>124</v>
      </c>
    </row>
    <row r="1218" s="63" customFormat="1" spans="1:5">
      <c r="A1218" s="63" t="s">
        <v>344</v>
      </c>
      <c r="B1218" s="63" t="s">
        <v>344</v>
      </c>
      <c r="C1218" s="63" t="s">
        <v>1732</v>
      </c>
      <c r="E1218" s="63" t="s">
        <v>124</v>
      </c>
    </row>
    <row r="1219" s="63" customFormat="1" spans="1:5">
      <c r="A1219" s="63" t="s">
        <v>345</v>
      </c>
      <c r="B1219" s="63" t="s">
        <v>345</v>
      </c>
      <c r="C1219" s="63" t="s">
        <v>1732</v>
      </c>
      <c r="E1219" s="63" t="s">
        <v>124</v>
      </c>
    </row>
    <row r="1220" s="63" customFormat="1" spans="1:5">
      <c r="A1220" s="63" t="s">
        <v>2156</v>
      </c>
      <c r="B1220" s="63" t="s">
        <v>2156</v>
      </c>
      <c r="C1220" s="63" t="s">
        <v>1732</v>
      </c>
      <c r="E1220" s="63" t="s">
        <v>124</v>
      </c>
    </row>
    <row r="1221" s="63" customFormat="1" spans="1:5">
      <c r="A1221" s="63" t="s">
        <v>2157</v>
      </c>
      <c r="B1221" s="63" t="s">
        <v>2157</v>
      </c>
      <c r="C1221" s="63" t="s">
        <v>1732</v>
      </c>
      <c r="E1221" s="63" t="s">
        <v>124</v>
      </c>
    </row>
    <row r="1222" s="63" customFormat="1" spans="1:5">
      <c r="A1222" s="63" t="s">
        <v>2158</v>
      </c>
      <c r="B1222" s="63" t="s">
        <v>2158</v>
      </c>
      <c r="C1222" s="63" t="s">
        <v>1732</v>
      </c>
      <c r="E1222" s="63" t="s">
        <v>310</v>
      </c>
    </row>
    <row r="1223" s="63" customFormat="1" spans="1:5">
      <c r="A1223" s="63" t="s">
        <v>2159</v>
      </c>
      <c r="B1223" s="63" t="s">
        <v>2159</v>
      </c>
      <c r="C1223" s="63" t="s">
        <v>1732</v>
      </c>
      <c r="E1223" s="63" t="s">
        <v>310</v>
      </c>
    </row>
    <row r="1224" s="63" customFormat="1" spans="1:5">
      <c r="A1224" s="63" t="s">
        <v>585</v>
      </c>
      <c r="B1224" s="63" t="s">
        <v>585</v>
      </c>
      <c r="C1224" s="63" t="s">
        <v>1732</v>
      </c>
      <c r="E1224" s="63" t="s">
        <v>124</v>
      </c>
    </row>
    <row r="1225" s="63" customFormat="1" spans="1:5">
      <c r="A1225" s="63" t="s">
        <v>586</v>
      </c>
      <c r="B1225" s="63" t="s">
        <v>586</v>
      </c>
      <c r="C1225" s="63" t="s">
        <v>1732</v>
      </c>
      <c r="E1225" s="63" t="s">
        <v>399</v>
      </c>
    </row>
    <row r="1226" s="63" customFormat="1" spans="1:5">
      <c r="A1226" s="63" t="s">
        <v>587</v>
      </c>
      <c r="B1226" s="63" t="s">
        <v>587</v>
      </c>
      <c r="C1226" s="63" t="s">
        <v>1732</v>
      </c>
      <c r="E1226" s="63" t="s">
        <v>399</v>
      </c>
    </row>
    <row r="1227" s="63" customFormat="1" spans="1:5">
      <c r="A1227" s="63" t="s">
        <v>2160</v>
      </c>
      <c r="B1227" s="63" t="s">
        <v>2160</v>
      </c>
      <c r="C1227" s="63" t="s">
        <v>1732</v>
      </c>
      <c r="E1227" s="63" t="s">
        <v>363</v>
      </c>
    </row>
    <row r="1228" s="63" customFormat="1" spans="1:5">
      <c r="A1228" s="63" t="s">
        <v>2161</v>
      </c>
      <c r="B1228" s="63" t="s">
        <v>2161</v>
      </c>
      <c r="C1228" s="63" t="s">
        <v>1732</v>
      </c>
      <c r="E1228" s="63" t="s">
        <v>363</v>
      </c>
    </row>
    <row r="1229" spans="1:5">
      <c r="A1229" t="s">
        <v>2162</v>
      </c>
      <c r="B1229" t="s">
        <v>2162</v>
      </c>
      <c r="C1229" t="s">
        <v>1732</v>
      </c>
      <c r="E1229" t="s">
        <v>124</v>
      </c>
    </row>
    <row r="1230" spans="1:5">
      <c r="A1230" t="s">
        <v>2163</v>
      </c>
      <c r="B1230" t="s">
        <v>2163</v>
      </c>
      <c r="C1230" t="s">
        <v>1732</v>
      </c>
      <c r="E1230" t="s">
        <v>803</v>
      </c>
    </row>
    <row r="1231" spans="1:5">
      <c r="A1231" t="s">
        <v>1395</v>
      </c>
      <c r="B1231" t="s">
        <v>2164</v>
      </c>
      <c r="C1231" t="s">
        <v>1732</v>
      </c>
      <c r="E1231" t="s">
        <v>124</v>
      </c>
    </row>
    <row r="1232" spans="1:5">
      <c r="A1232" t="s">
        <v>2165</v>
      </c>
      <c r="B1232" t="s">
        <v>2165</v>
      </c>
      <c r="C1232" t="s">
        <v>1732</v>
      </c>
      <c r="E1232" t="s">
        <v>124</v>
      </c>
    </row>
    <row r="1233" spans="1:5">
      <c r="A1233" t="s">
        <v>2166</v>
      </c>
      <c r="B1233" t="s">
        <v>2166</v>
      </c>
      <c r="C1233" t="s">
        <v>1732</v>
      </c>
      <c r="E1233" t="s">
        <v>124</v>
      </c>
    </row>
    <row r="1234" spans="1:5">
      <c r="A1234" t="s">
        <v>2167</v>
      </c>
      <c r="B1234" t="s">
        <v>2167</v>
      </c>
      <c r="C1234" t="s">
        <v>1732</v>
      </c>
      <c r="E1234" t="s">
        <v>124</v>
      </c>
    </row>
    <row r="1235" spans="1:5">
      <c r="A1235" t="s">
        <v>2168</v>
      </c>
      <c r="B1235" t="s">
        <v>2168</v>
      </c>
      <c r="C1235" t="s">
        <v>1732</v>
      </c>
      <c r="E1235" t="s">
        <v>124</v>
      </c>
    </row>
    <row r="1236" spans="1:5">
      <c r="A1236" t="s">
        <v>486</v>
      </c>
      <c r="B1236" t="s">
        <v>486</v>
      </c>
      <c r="C1236" t="s">
        <v>1732</v>
      </c>
      <c r="E1236" t="s">
        <v>124</v>
      </c>
    </row>
    <row r="1237" s="63" customFormat="1" spans="1:5">
      <c r="A1237" s="63" t="s">
        <v>2169</v>
      </c>
      <c r="B1237" s="63" t="s">
        <v>2169</v>
      </c>
      <c r="C1237" s="63" t="s">
        <v>1732</v>
      </c>
      <c r="E1237" s="63" t="s">
        <v>124</v>
      </c>
    </row>
    <row r="1238" s="63" customFormat="1" spans="1:5">
      <c r="A1238" s="63" t="s">
        <v>2170</v>
      </c>
      <c r="B1238" s="63" t="s">
        <v>2170</v>
      </c>
      <c r="C1238" s="63" t="s">
        <v>1732</v>
      </c>
      <c r="E1238" s="63" t="s">
        <v>124</v>
      </c>
    </row>
    <row r="1239" spans="1:5">
      <c r="A1239" t="s">
        <v>2171</v>
      </c>
      <c r="B1239" t="s">
        <v>2171</v>
      </c>
      <c r="C1239" t="s">
        <v>1732</v>
      </c>
      <c r="E1239" t="s">
        <v>124</v>
      </c>
    </row>
    <row r="1240" s="63" customFormat="1" spans="1:5">
      <c r="A1240" s="63" t="s">
        <v>2172</v>
      </c>
      <c r="B1240" s="63" t="s">
        <v>2172</v>
      </c>
      <c r="C1240" s="63" t="s">
        <v>1732</v>
      </c>
      <c r="E1240" s="63" t="s">
        <v>124</v>
      </c>
    </row>
    <row r="1241" s="63" customFormat="1" spans="1:5">
      <c r="A1241" s="63" t="s">
        <v>752</v>
      </c>
      <c r="B1241" s="63" t="s">
        <v>752</v>
      </c>
      <c r="C1241" s="63" t="s">
        <v>1732</v>
      </c>
      <c r="E1241" s="63" t="s">
        <v>124</v>
      </c>
    </row>
    <row r="1242" s="63" customFormat="1" spans="1:5">
      <c r="A1242" s="63" t="s">
        <v>694</v>
      </c>
      <c r="B1242" s="63" t="s">
        <v>694</v>
      </c>
      <c r="C1242" s="63" t="s">
        <v>1732</v>
      </c>
      <c r="E1242" s="63" t="s">
        <v>124</v>
      </c>
    </row>
    <row r="1243" spans="1:5">
      <c r="A1243" t="s">
        <v>2173</v>
      </c>
      <c r="B1243" t="s">
        <v>2173</v>
      </c>
      <c r="C1243" t="s">
        <v>1732</v>
      </c>
      <c r="E1243" t="s">
        <v>124</v>
      </c>
    </row>
    <row r="1244" spans="1:5">
      <c r="A1244" t="s">
        <v>656</v>
      </c>
      <c r="B1244" t="s">
        <v>656</v>
      </c>
      <c r="C1244" t="s">
        <v>1732</v>
      </c>
      <c r="E1244" t="s">
        <v>124</v>
      </c>
    </row>
    <row r="1245" spans="1:5">
      <c r="A1245" t="s">
        <v>2174</v>
      </c>
      <c r="B1245" t="s">
        <v>2174</v>
      </c>
      <c r="C1245" t="s">
        <v>1732</v>
      </c>
      <c r="E1245" t="s">
        <v>124</v>
      </c>
    </row>
    <row r="1246" spans="1:5">
      <c r="A1246" t="s">
        <v>2175</v>
      </c>
      <c r="B1246" t="s">
        <v>2175</v>
      </c>
      <c r="C1246" t="s">
        <v>1732</v>
      </c>
      <c r="E1246" t="s">
        <v>124</v>
      </c>
    </row>
    <row r="1247" s="63" customFormat="1" spans="1:5">
      <c r="A1247" s="63" t="s">
        <v>2176</v>
      </c>
      <c r="B1247" s="63" t="s">
        <v>2176</v>
      </c>
      <c r="C1247" s="63" t="s">
        <v>1732</v>
      </c>
      <c r="E1247" s="63" t="s">
        <v>124</v>
      </c>
    </row>
    <row r="1248" s="63" customFormat="1" spans="1:5">
      <c r="A1248" s="63" t="s">
        <v>2177</v>
      </c>
      <c r="B1248" s="63" t="s">
        <v>2177</v>
      </c>
      <c r="C1248" s="63" t="s">
        <v>1732</v>
      </c>
      <c r="E1248" s="63" t="s">
        <v>124</v>
      </c>
    </row>
    <row r="1249" s="63" customFormat="1" spans="1:5">
      <c r="A1249" s="63" t="s">
        <v>2178</v>
      </c>
      <c r="B1249" s="63" t="s">
        <v>2178</v>
      </c>
      <c r="C1249" s="63" t="s">
        <v>1732</v>
      </c>
      <c r="E1249" s="63" t="s">
        <v>124</v>
      </c>
    </row>
    <row r="1250" s="63" customFormat="1" spans="1:5">
      <c r="A1250" s="63" t="s">
        <v>2179</v>
      </c>
      <c r="B1250" s="63" t="s">
        <v>2179</v>
      </c>
      <c r="C1250" s="63" t="s">
        <v>1732</v>
      </c>
      <c r="E1250" s="63" t="s">
        <v>124</v>
      </c>
    </row>
    <row r="1251" spans="1:5">
      <c r="A1251" t="s">
        <v>2180</v>
      </c>
      <c r="B1251" t="s">
        <v>2180</v>
      </c>
      <c r="C1251" t="s">
        <v>1732</v>
      </c>
      <c r="E1251" t="s">
        <v>124</v>
      </c>
    </row>
    <row r="1252" s="63" customFormat="1" spans="1:5">
      <c r="A1252" s="63" t="s">
        <v>2181</v>
      </c>
      <c r="B1252" s="63" t="s">
        <v>2181</v>
      </c>
      <c r="C1252" s="63" t="s">
        <v>1732</v>
      </c>
      <c r="E1252" s="63" t="s">
        <v>1930</v>
      </c>
    </row>
    <row r="1253" s="63" customFormat="1" spans="1:5">
      <c r="A1253" s="63" t="s">
        <v>2182</v>
      </c>
      <c r="B1253" s="63" t="s">
        <v>2182</v>
      </c>
      <c r="C1253" s="63" t="s">
        <v>1732</v>
      </c>
      <c r="E1253" s="63" t="s">
        <v>1032</v>
      </c>
    </row>
    <row r="1254" s="63" customFormat="1" spans="1:5">
      <c r="A1254" s="63" t="s">
        <v>2183</v>
      </c>
      <c r="B1254" s="63" t="s">
        <v>2183</v>
      </c>
      <c r="C1254" s="63" t="s">
        <v>1732</v>
      </c>
      <c r="E1254" s="63" t="s">
        <v>1048</v>
      </c>
    </row>
    <row r="1255" s="63" customFormat="1" spans="1:5">
      <c r="A1255" s="63" t="s">
        <v>2184</v>
      </c>
      <c r="B1255" s="63" t="s">
        <v>2184</v>
      </c>
      <c r="C1255" s="63" t="s">
        <v>1732</v>
      </c>
      <c r="E1255" s="63" t="s">
        <v>1048</v>
      </c>
    </row>
    <row r="1256" s="63" customFormat="1" spans="1:5">
      <c r="A1256" s="63" t="s">
        <v>2185</v>
      </c>
      <c r="B1256" s="63" t="s">
        <v>2185</v>
      </c>
      <c r="C1256" s="63" t="s">
        <v>1732</v>
      </c>
      <c r="E1256" s="63" t="s">
        <v>1048</v>
      </c>
    </row>
    <row r="1257" s="63" customFormat="1" spans="1:5">
      <c r="A1257" s="63" t="s">
        <v>2186</v>
      </c>
      <c r="B1257" s="63" t="s">
        <v>2186</v>
      </c>
      <c r="C1257" s="63" t="s">
        <v>1732</v>
      </c>
      <c r="E1257" s="63" t="s">
        <v>1048</v>
      </c>
    </row>
    <row r="1258" s="63" customFormat="1" spans="1:5">
      <c r="A1258" s="63" t="s">
        <v>2187</v>
      </c>
      <c r="B1258" s="63" t="s">
        <v>2187</v>
      </c>
      <c r="C1258" s="63" t="s">
        <v>1732</v>
      </c>
      <c r="E1258" s="63" t="s">
        <v>1048</v>
      </c>
    </row>
    <row r="1259" s="63" customFormat="1" spans="1:5">
      <c r="A1259" s="63" t="s">
        <v>2188</v>
      </c>
      <c r="B1259" s="63" t="s">
        <v>2188</v>
      </c>
      <c r="C1259" s="63" t="s">
        <v>1732</v>
      </c>
      <c r="E1259" s="63" t="s">
        <v>1048</v>
      </c>
    </row>
    <row r="1260" s="63" customFormat="1" spans="1:5">
      <c r="A1260" s="63" t="s">
        <v>2189</v>
      </c>
      <c r="B1260" s="63" t="s">
        <v>2189</v>
      </c>
      <c r="C1260" s="63" t="s">
        <v>1732</v>
      </c>
      <c r="E1260" s="63" t="s">
        <v>124</v>
      </c>
    </row>
    <row r="1261" spans="1:5">
      <c r="A1261" t="s">
        <v>728</v>
      </c>
      <c r="B1261" t="s">
        <v>728</v>
      </c>
      <c r="C1261" t="s">
        <v>1732</v>
      </c>
      <c r="E1261" t="s">
        <v>124</v>
      </c>
    </row>
    <row r="1262" spans="1:5">
      <c r="A1262" t="s">
        <v>2190</v>
      </c>
      <c r="B1262" t="s">
        <v>2190</v>
      </c>
      <c r="C1262" t="s">
        <v>1732</v>
      </c>
      <c r="E1262" t="s">
        <v>124</v>
      </c>
    </row>
    <row r="1263" s="63" customFormat="1" spans="1:5">
      <c r="A1263" s="63" t="s">
        <v>315</v>
      </c>
      <c r="B1263" s="63" t="s">
        <v>315</v>
      </c>
      <c r="C1263" s="63" t="s">
        <v>1732</v>
      </c>
      <c r="E1263" s="63" t="s">
        <v>316</v>
      </c>
    </row>
    <row r="1264" s="63" customFormat="1" spans="1:5">
      <c r="A1264" s="63" t="s">
        <v>2191</v>
      </c>
      <c r="B1264" s="63" t="s">
        <v>2191</v>
      </c>
      <c r="C1264" s="63" t="s">
        <v>1732</v>
      </c>
      <c r="E1264" s="63" t="s">
        <v>124</v>
      </c>
    </row>
    <row r="1265" s="63" customFormat="1" spans="1:5">
      <c r="A1265" s="63" t="s">
        <v>2192</v>
      </c>
      <c r="B1265" s="63" t="s">
        <v>2192</v>
      </c>
      <c r="C1265" s="63" t="s">
        <v>1732</v>
      </c>
      <c r="E1265" s="63" t="s">
        <v>124</v>
      </c>
    </row>
    <row r="1266" s="63" customFormat="1" spans="1:5">
      <c r="A1266" s="63" t="s">
        <v>2193</v>
      </c>
      <c r="B1266" s="63" t="s">
        <v>2193</v>
      </c>
      <c r="C1266" s="63" t="s">
        <v>1732</v>
      </c>
      <c r="E1266" s="63" t="s">
        <v>124</v>
      </c>
    </row>
    <row r="1267" spans="1:5">
      <c r="A1267" t="s">
        <v>2194</v>
      </c>
      <c r="B1267" t="s">
        <v>2194</v>
      </c>
      <c r="C1267" t="s">
        <v>1732</v>
      </c>
      <c r="E1267" t="s">
        <v>124</v>
      </c>
    </row>
    <row r="1268" s="63" customFormat="1" spans="1:5">
      <c r="A1268" s="63" t="s">
        <v>2195</v>
      </c>
      <c r="B1268" s="63" t="s">
        <v>2195</v>
      </c>
      <c r="C1268" s="63" t="s">
        <v>1732</v>
      </c>
      <c r="E1268" s="63" t="s">
        <v>124</v>
      </c>
    </row>
    <row r="1269" s="63" customFormat="1" spans="1:5">
      <c r="A1269" s="63" t="s">
        <v>2196</v>
      </c>
      <c r="B1269" s="63" t="s">
        <v>2196</v>
      </c>
      <c r="C1269" s="63" t="s">
        <v>1732</v>
      </c>
      <c r="E1269" s="63" t="s">
        <v>124</v>
      </c>
    </row>
    <row r="1270" s="63" customFormat="1" spans="1:5">
      <c r="A1270" s="63" t="s">
        <v>2197</v>
      </c>
      <c r="B1270" s="63" t="s">
        <v>2197</v>
      </c>
      <c r="C1270" s="63" t="s">
        <v>1732</v>
      </c>
      <c r="E1270" s="63" t="s">
        <v>524</v>
      </c>
    </row>
    <row r="1271" s="63" customFormat="1" spans="1:5">
      <c r="A1271" s="63" t="s">
        <v>644</v>
      </c>
      <c r="B1271" s="63" t="s">
        <v>644</v>
      </c>
      <c r="C1271" s="63" t="s">
        <v>1732</v>
      </c>
      <c r="E1271" s="63" t="s">
        <v>524</v>
      </c>
    </row>
    <row r="1272" s="63" customFormat="1" spans="1:5">
      <c r="A1272" s="63" t="s">
        <v>599</v>
      </c>
      <c r="B1272" s="63" t="s">
        <v>599</v>
      </c>
      <c r="C1272" s="63" t="s">
        <v>1732</v>
      </c>
      <c r="E1272" s="63" t="s">
        <v>524</v>
      </c>
    </row>
    <row r="1273" s="63" customFormat="1" spans="1:5">
      <c r="A1273" s="63" t="s">
        <v>597</v>
      </c>
      <c r="B1273" s="63" t="s">
        <v>597</v>
      </c>
      <c r="C1273" s="63" t="s">
        <v>1732</v>
      </c>
      <c r="E1273" s="63" t="s">
        <v>524</v>
      </c>
    </row>
    <row r="1274" s="63" customFormat="1" spans="1:5">
      <c r="A1274" s="63" t="s">
        <v>600</v>
      </c>
      <c r="B1274" s="63" t="s">
        <v>600</v>
      </c>
      <c r="C1274" s="63" t="s">
        <v>1732</v>
      </c>
      <c r="E1274" s="63" t="s">
        <v>524</v>
      </c>
    </row>
    <row r="1275" s="63" customFormat="1" spans="1:5">
      <c r="A1275" s="63" t="s">
        <v>605</v>
      </c>
      <c r="B1275" s="63" t="s">
        <v>605</v>
      </c>
      <c r="C1275" s="63" t="s">
        <v>1732</v>
      </c>
      <c r="E1275" s="63" t="s">
        <v>524</v>
      </c>
    </row>
    <row r="1276" s="63" customFormat="1" spans="1:5">
      <c r="A1276" s="63" t="s">
        <v>613</v>
      </c>
      <c r="B1276" s="63" t="s">
        <v>613</v>
      </c>
      <c r="C1276" s="63" t="s">
        <v>1732</v>
      </c>
      <c r="E1276" s="63" t="s">
        <v>124</v>
      </c>
    </row>
    <row r="1277" spans="1:5">
      <c r="A1277" t="s">
        <v>2198</v>
      </c>
      <c r="B1277" t="s">
        <v>2198</v>
      </c>
      <c r="C1277" t="s">
        <v>1732</v>
      </c>
      <c r="E1277" t="s">
        <v>124</v>
      </c>
    </row>
    <row r="1278" spans="1:5">
      <c r="A1278" t="s">
        <v>122</v>
      </c>
      <c r="C1278" t="s">
        <v>122</v>
      </c>
    </row>
    <row r="1279" s="63" customFormat="1" spans="1:5">
      <c r="A1279" s="63" t="s">
        <v>2199</v>
      </c>
      <c r="B1279" s="63" t="s">
        <v>2199</v>
      </c>
      <c r="C1279" s="63" t="s">
        <v>122</v>
      </c>
      <c r="E1279" s="63" t="s">
        <v>124</v>
      </c>
    </row>
    <row r="1280" s="63" customFormat="1" spans="1:5">
      <c r="A1280" s="63" t="s">
        <v>2200</v>
      </c>
      <c r="B1280" s="63" t="s">
        <v>2200</v>
      </c>
      <c r="C1280" s="63" t="s">
        <v>122</v>
      </c>
      <c r="E1280" s="63" t="s">
        <v>124</v>
      </c>
    </row>
    <row r="1281" s="63" customFormat="1" spans="1:5">
      <c r="A1281" s="63" t="s">
        <v>2201</v>
      </c>
      <c r="B1281" s="63" t="s">
        <v>2201</v>
      </c>
      <c r="C1281" s="63" t="s">
        <v>122</v>
      </c>
      <c r="E1281" s="63" t="s">
        <v>124</v>
      </c>
    </row>
    <row r="1282" s="63" customFormat="1" spans="1:5">
      <c r="A1282" s="63" t="s">
        <v>2202</v>
      </c>
      <c r="B1282" s="63" t="s">
        <v>2202</v>
      </c>
      <c r="C1282" s="63" t="s">
        <v>122</v>
      </c>
      <c r="E1282" s="63" t="s">
        <v>124</v>
      </c>
    </row>
    <row r="1283" s="63" customFormat="1" spans="1:5">
      <c r="A1283" s="63" t="s">
        <v>2203</v>
      </c>
      <c r="B1283" s="63" t="s">
        <v>2204</v>
      </c>
      <c r="C1283" s="63" t="s">
        <v>122</v>
      </c>
      <c r="E1283" s="63" t="s">
        <v>124</v>
      </c>
    </row>
    <row r="1284" s="63" customFormat="1" spans="1:5">
      <c r="A1284" s="63" t="s">
        <v>2205</v>
      </c>
      <c r="B1284" s="63" t="s">
        <v>2205</v>
      </c>
      <c r="C1284" s="63" t="s">
        <v>122</v>
      </c>
      <c r="E1284" s="63" t="s">
        <v>124</v>
      </c>
    </row>
    <row r="1285" s="63" customFormat="1" spans="1:5">
      <c r="A1285" s="63" t="s">
        <v>2206</v>
      </c>
      <c r="B1285" s="63" t="s">
        <v>2206</v>
      </c>
      <c r="C1285" s="63" t="s">
        <v>122</v>
      </c>
      <c r="E1285" s="63" t="s">
        <v>124</v>
      </c>
    </row>
    <row r="1286" s="63" customFormat="1" spans="1:5">
      <c r="A1286" s="63" t="s">
        <v>1924</v>
      </c>
      <c r="B1286" s="63" t="s">
        <v>2207</v>
      </c>
      <c r="C1286" s="63" t="s">
        <v>122</v>
      </c>
      <c r="E1286" s="63" t="s">
        <v>124</v>
      </c>
    </row>
    <row r="1287" s="63" customFormat="1" spans="1:5">
      <c r="A1287" s="63" t="s">
        <v>2208</v>
      </c>
      <c r="B1287" s="63" t="s">
        <v>2208</v>
      </c>
      <c r="C1287" s="63" t="s">
        <v>122</v>
      </c>
      <c r="E1287" s="63" t="s">
        <v>124</v>
      </c>
    </row>
    <row r="1288" s="63" customFormat="1" spans="1:5">
      <c r="A1288" s="63" t="s">
        <v>2209</v>
      </c>
      <c r="B1288" s="63" t="s">
        <v>2209</v>
      </c>
      <c r="C1288" s="63" t="s">
        <v>122</v>
      </c>
      <c r="E1288" s="63" t="s">
        <v>292</v>
      </c>
    </row>
    <row r="1289" s="63" customFormat="1" spans="1:5">
      <c r="A1289" s="63" t="s">
        <v>2210</v>
      </c>
      <c r="B1289" s="63" t="s">
        <v>2210</v>
      </c>
      <c r="C1289" s="63" t="s">
        <v>122</v>
      </c>
      <c r="E1289" s="63" t="s">
        <v>124</v>
      </c>
    </row>
    <row r="1290" s="63" customFormat="1" spans="1:5">
      <c r="A1290" s="63" t="s">
        <v>2211</v>
      </c>
      <c r="B1290" s="63" t="s">
        <v>2211</v>
      </c>
      <c r="C1290" s="63" t="s">
        <v>122</v>
      </c>
      <c r="E1290" s="63" t="s">
        <v>2012</v>
      </c>
    </row>
    <row r="1291" s="63" customFormat="1" spans="1:5">
      <c r="A1291" s="63" t="s">
        <v>2212</v>
      </c>
      <c r="B1291" s="63" t="s">
        <v>2213</v>
      </c>
      <c r="C1291" s="63" t="s">
        <v>122</v>
      </c>
      <c r="E1291" s="63" t="s">
        <v>2012</v>
      </c>
    </row>
    <row r="1292" s="63" customFormat="1" spans="1:5">
      <c r="A1292" s="63" t="s">
        <v>2214</v>
      </c>
      <c r="B1292" s="63" t="s">
        <v>2214</v>
      </c>
      <c r="C1292" s="63" t="s">
        <v>122</v>
      </c>
      <c r="E1292" s="63" t="s">
        <v>124</v>
      </c>
    </row>
    <row r="1293" s="63" customFormat="1" spans="1:5">
      <c r="A1293" s="63" t="s">
        <v>2215</v>
      </c>
      <c r="B1293" s="63" t="s">
        <v>2215</v>
      </c>
      <c r="C1293" s="63" t="s">
        <v>122</v>
      </c>
      <c r="E1293" s="63" t="s">
        <v>124</v>
      </c>
    </row>
    <row r="1294" s="63" customFormat="1" spans="1:5">
      <c r="A1294" s="63" t="s">
        <v>2216</v>
      </c>
      <c r="B1294" s="63" t="s">
        <v>2216</v>
      </c>
      <c r="C1294" s="63" t="s">
        <v>122</v>
      </c>
      <c r="E1294" s="63" t="s">
        <v>124</v>
      </c>
    </row>
    <row r="1295" s="63" customFormat="1" spans="1:5">
      <c r="A1295" s="63" t="s">
        <v>2217</v>
      </c>
      <c r="B1295" s="63" t="s">
        <v>2217</v>
      </c>
      <c r="C1295" s="63" t="s">
        <v>122</v>
      </c>
      <c r="E1295" s="63" t="s">
        <v>124</v>
      </c>
    </row>
    <row r="1296" s="63" customFormat="1" spans="1:5">
      <c r="A1296" s="63" t="s">
        <v>2218</v>
      </c>
      <c r="B1296" s="63" t="s">
        <v>2218</v>
      </c>
      <c r="C1296" s="63" t="s">
        <v>122</v>
      </c>
      <c r="E1296" s="63" t="s">
        <v>2012</v>
      </c>
    </row>
    <row r="1297" s="63" customFormat="1" spans="1:5">
      <c r="A1297" s="63" t="s">
        <v>2219</v>
      </c>
      <c r="B1297" s="63" t="s">
        <v>2219</v>
      </c>
      <c r="C1297" s="63" t="s">
        <v>122</v>
      </c>
      <c r="E1297" s="63" t="s">
        <v>2012</v>
      </c>
    </row>
    <row r="1298" s="63" customFormat="1" spans="1:5">
      <c r="A1298" s="63" t="s">
        <v>2220</v>
      </c>
      <c r="B1298" s="63" t="s">
        <v>2221</v>
      </c>
      <c r="C1298" s="63" t="s">
        <v>122</v>
      </c>
      <c r="E1298" s="63" t="s">
        <v>124</v>
      </c>
    </row>
    <row r="1299" s="63" customFormat="1" spans="1:5">
      <c r="A1299" s="63" t="s">
        <v>2222</v>
      </c>
      <c r="B1299" s="63" t="s">
        <v>2222</v>
      </c>
      <c r="C1299" s="63" t="s">
        <v>122</v>
      </c>
      <c r="E1299" s="63" t="s">
        <v>2012</v>
      </c>
    </row>
    <row r="1300" s="63" customFormat="1" spans="1:5">
      <c r="A1300" s="63" t="s">
        <v>2223</v>
      </c>
      <c r="B1300" s="63" t="s">
        <v>2223</v>
      </c>
      <c r="C1300" s="63" t="s">
        <v>122</v>
      </c>
      <c r="E1300" s="63" t="s">
        <v>124</v>
      </c>
    </row>
    <row r="1301" spans="1:5">
      <c r="A1301" t="s">
        <v>156</v>
      </c>
      <c r="C1301" t="s">
        <v>156</v>
      </c>
    </row>
    <row r="1302" s="63" customFormat="1" spans="1:5">
      <c r="A1302" s="63" t="s">
        <v>2224</v>
      </c>
      <c r="B1302" s="63" t="s">
        <v>2225</v>
      </c>
      <c r="C1302" s="63" t="s">
        <v>156</v>
      </c>
      <c r="E1302" s="63" t="s">
        <v>124</v>
      </c>
    </row>
    <row r="1303" s="63" customFormat="1" spans="1:5">
      <c r="A1303" s="63" t="s">
        <v>2226</v>
      </c>
      <c r="B1303" s="63" t="s">
        <v>2226</v>
      </c>
      <c r="C1303" s="63" t="s">
        <v>156</v>
      </c>
      <c r="E1303" s="63" t="s">
        <v>1032</v>
      </c>
    </row>
    <row r="1304" s="63" customFormat="1" spans="1:5">
      <c r="A1304" s="63" t="s">
        <v>2227</v>
      </c>
      <c r="B1304" s="63" t="s">
        <v>2227</v>
      </c>
      <c r="C1304" s="63" t="s">
        <v>156</v>
      </c>
      <c r="E1304" s="63" t="s">
        <v>1048</v>
      </c>
    </row>
    <row r="1305" s="63" customFormat="1" spans="1:5">
      <c r="A1305" s="63" t="s">
        <v>2228</v>
      </c>
      <c r="B1305" s="63" t="s">
        <v>2228</v>
      </c>
      <c r="C1305" s="63" t="s">
        <v>156</v>
      </c>
      <c r="E1305" s="63" t="s">
        <v>1043</v>
      </c>
    </row>
    <row r="1306" s="63" customFormat="1" spans="1:5">
      <c r="A1306" s="63" t="s">
        <v>2229</v>
      </c>
      <c r="B1306" s="63" t="s">
        <v>2229</v>
      </c>
      <c r="C1306" s="63" t="s">
        <v>156</v>
      </c>
      <c r="E1306" s="63" t="s">
        <v>1048</v>
      </c>
    </row>
    <row r="1307" s="63" customFormat="1" spans="1:5">
      <c r="A1307" s="63" t="s">
        <v>2230</v>
      </c>
      <c r="B1307" s="63" t="s">
        <v>2230</v>
      </c>
      <c r="C1307" s="63" t="s">
        <v>156</v>
      </c>
      <c r="E1307" s="63" t="s">
        <v>1043</v>
      </c>
    </row>
    <row r="1308" s="63" customFormat="1" spans="1:5">
      <c r="A1308" s="63" t="s">
        <v>2231</v>
      </c>
      <c r="B1308" s="63" t="s">
        <v>2231</v>
      </c>
      <c r="C1308" s="63" t="s">
        <v>156</v>
      </c>
      <c r="E1308" s="63" t="s">
        <v>1043</v>
      </c>
    </row>
    <row r="1309" s="63" customFormat="1" spans="1:5">
      <c r="A1309" s="63" t="s">
        <v>2232</v>
      </c>
      <c r="B1309" s="63" t="s">
        <v>2232</v>
      </c>
      <c r="C1309" s="63" t="s">
        <v>156</v>
      </c>
      <c r="E1309" s="63" t="s">
        <v>1043</v>
      </c>
    </row>
    <row r="1310" s="63" customFormat="1" spans="1:5">
      <c r="A1310" s="63" t="s">
        <v>2233</v>
      </c>
      <c r="B1310" s="63" t="s">
        <v>2233</v>
      </c>
      <c r="C1310" s="63" t="s">
        <v>156</v>
      </c>
      <c r="E1310" s="63" t="s">
        <v>124</v>
      </c>
    </row>
    <row r="1311" s="63" customFormat="1" spans="1:5">
      <c r="A1311" s="63" t="s">
        <v>2234</v>
      </c>
      <c r="B1311" s="63" t="s">
        <v>2235</v>
      </c>
      <c r="C1311" s="63" t="s">
        <v>156</v>
      </c>
      <c r="E1311" s="63" t="s">
        <v>124</v>
      </c>
    </row>
    <row r="1312" s="83" customFormat="1" spans="1:5">
      <c r="A1312" s="83" t="s">
        <v>0</v>
      </c>
      <c r="C1312" s="83" t="s">
        <v>0</v>
      </c>
    </row>
    <row r="1313" s="63" customFormat="1" spans="1:5">
      <c r="A1313" s="63" t="s">
        <v>2236</v>
      </c>
      <c r="B1313" s="63" t="s">
        <v>2236</v>
      </c>
      <c r="C1313" s="63" t="s">
        <v>0</v>
      </c>
      <c r="E1313" s="63" t="s">
        <v>598</v>
      </c>
    </row>
    <row r="1314" s="63" customFormat="1" spans="1:5">
      <c r="A1314" s="63" t="s">
        <v>2237</v>
      </c>
      <c r="B1314" s="63" t="s">
        <v>2237</v>
      </c>
      <c r="C1314" s="63" t="s">
        <v>0</v>
      </c>
      <c r="E1314" s="63" t="s">
        <v>598</v>
      </c>
    </row>
    <row r="1315" s="63" customFormat="1" spans="1:5">
      <c r="A1315" s="63" t="s">
        <v>2238</v>
      </c>
      <c r="B1315" s="63" t="s">
        <v>2238</v>
      </c>
      <c r="C1315" s="63" t="s">
        <v>0</v>
      </c>
      <c r="E1315" s="63" t="s">
        <v>598</v>
      </c>
    </row>
    <row r="1316" s="63" customFormat="1" spans="1:5">
      <c r="A1316" s="63" t="s">
        <v>2239</v>
      </c>
      <c r="B1316" s="63" t="s">
        <v>2239</v>
      </c>
      <c r="C1316" s="63" t="s">
        <v>0</v>
      </c>
      <c r="E1316" s="63" t="s">
        <v>598</v>
      </c>
    </row>
    <row r="1317" s="63" customFormat="1" spans="1:5">
      <c r="A1317" s="63" t="s">
        <v>2240</v>
      </c>
      <c r="B1317" s="63" t="s">
        <v>2240</v>
      </c>
      <c r="C1317" s="63" t="s">
        <v>0</v>
      </c>
      <c r="E1317" s="63" t="s">
        <v>598</v>
      </c>
    </row>
    <row r="1318" s="63" customFormat="1" spans="1:5">
      <c r="A1318" s="63" t="s">
        <v>2241</v>
      </c>
      <c r="B1318" s="63" t="s">
        <v>2241</v>
      </c>
      <c r="C1318" s="63" t="s">
        <v>0</v>
      </c>
      <c r="E1318" s="63" t="s">
        <v>598</v>
      </c>
    </row>
    <row r="1319" s="63" customFormat="1" spans="1:5">
      <c r="A1319" s="63" t="s">
        <v>2242</v>
      </c>
      <c r="B1319" s="63" t="s">
        <v>2242</v>
      </c>
      <c r="C1319" s="63" t="s">
        <v>0</v>
      </c>
      <c r="E1319" s="63" t="s">
        <v>598</v>
      </c>
    </row>
    <row r="1320" s="63" customFormat="1" spans="1:5">
      <c r="A1320" s="63" t="s">
        <v>2243</v>
      </c>
      <c r="B1320" s="63" t="s">
        <v>2244</v>
      </c>
      <c r="C1320" s="63" t="s">
        <v>0</v>
      </c>
      <c r="E1320" s="63" t="s">
        <v>598</v>
      </c>
    </row>
    <row r="1321" s="63" customFormat="1" spans="1:5">
      <c r="A1321" s="63" t="s">
        <v>2245</v>
      </c>
      <c r="B1321" s="63" t="s">
        <v>2245</v>
      </c>
      <c r="C1321" s="63" t="s">
        <v>0</v>
      </c>
      <c r="E1321" s="63" t="s">
        <v>598</v>
      </c>
    </row>
    <row r="1322" s="63" customFormat="1" spans="1:5">
      <c r="A1322" s="63" t="s">
        <v>2246</v>
      </c>
      <c r="B1322" s="63" t="s">
        <v>2246</v>
      </c>
      <c r="C1322" s="63" t="s">
        <v>0</v>
      </c>
      <c r="E1322" s="63" t="s">
        <v>598</v>
      </c>
    </row>
    <row r="1323" s="63" customFormat="1" spans="1:5">
      <c r="A1323" s="63" t="s">
        <v>2247</v>
      </c>
      <c r="B1323" s="63" t="s">
        <v>2247</v>
      </c>
      <c r="C1323" s="63" t="s">
        <v>0</v>
      </c>
      <c r="E1323" s="63" t="s">
        <v>598</v>
      </c>
    </row>
    <row r="1324" s="63" customFormat="1" spans="1:5">
      <c r="A1324" s="63" t="s">
        <v>2248</v>
      </c>
      <c r="B1324" s="63" t="s">
        <v>2248</v>
      </c>
      <c r="C1324" s="63" t="s">
        <v>0</v>
      </c>
      <c r="E1324" s="63" t="s">
        <v>598</v>
      </c>
    </row>
    <row r="1325" s="63" customFormat="1" spans="1:5">
      <c r="A1325" s="63" t="s">
        <v>2249</v>
      </c>
      <c r="B1325" s="63" t="s">
        <v>2249</v>
      </c>
      <c r="C1325" s="63" t="s">
        <v>0</v>
      </c>
      <c r="E1325" s="63" t="s">
        <v>598</v>
      </c>
    </row>
    <row r="1326" s="63" customFormat="1" spans="1:5">
      <c r="A1326" s="63" t="s">
        <v>2250</v>
      </c>
      <c r="B1326" s="63" t="s">
        <v>2250</v>
      </c>
      <c r="C1326" s="63" t="s">
        <v>0</v>
      </c>
      <c r="E1326" s="63" t="s">
        <v>598</v>
      </c>
    </row>
    <row r="1327" s="63" customFormat="1" spans="1:5">
      <c r="A1327" s="63" t="s">
        <v>2251</v>
      </c>
      <c r="B1327" s="63" t="s">
        <v>2251</v>
      </c>
      <c r="C1327" s="63" t="s">
        <v>0</v>
      </c>
      <c r="E1327" s="63" t="s">
        <v>598</v>
      </c>
    </row>
    <row r="1328" s="63" customFormat="1" spans="1:5">
      <c r="A1328" s="63" t="s">
        <v>2252</v>
      </c>
      <c r="B1328" s="63" t="s">
        <v>2252</v>
      </c>
      <c r="C1328" s="63" t="s">
        <v>0</v>
      </c>
      <c r="E1328" s="63" t="s">
        <v>598</v>
      </c>
    </row>
    <row r="1329" s="63" customFormat="1" spans="1:5">
      <c r="A1329" s="63" t="s">
        <v>2253</v>
      </c>
      <c r="B1329" s="63" t="s">
        <v>2253</v>
      </c>
      <c r="C1329" s="63" t="s">
        <v>0</v>
      </c>
      <c r="E1329" s="63" t="s">
        <v>598</v>
      </c>
    </row>
    <row r="1330" s="63" customFormat="1" spans="1:5">
      <c r="A1330" s="63" t="s">
        <v>2254</v>
      </c>
      <c r="B1330" s="63" t="s">
        <v>2254</v>
      </c>
      <c r="C1330" s="63" t="s">
        <v>0</v>
      </c>
      <c r="E1330" s="63" t="s">
        <v>598</v>
      </c>
    </row>
    <row r="1331" s="63" customFormat="1" spans="1:5">
      <c r="A1331" s="63" t="s">
        <v>2255</v>
      </c>
      <c r="B1331" s="63" t="s">
        <v>2255</v>
      </c>
      <c r="C1331" s="63" t="s">
        <v>0</v>
      </c>
      <c r="E1331" s="63" t="s">
        <v>598</v>
      </c>
    </row>
    <row r="1332" s="63" customFormat="1" spans="1:5">
      <c r="A1332" s="63" t="s">
        <v>2256</v>
      </c>
      <c r="B1332" s="63" t="s">
        <v>2257</v>
      </c>
      <c r="C1332" s="63" t="s">
        <v>0</v>
      </c>
      <c r="E1332" s="63" t="s">
        <v>598</v>
      </c>
    </row>
    <row r="1333" s="63" customFormat="1" spans="1:5">
      <c r="A1333" s="63" t="s">
        <v>2258</v>
      </c>
      <c r="B1333" s="63" t="s">
        <v>2259</v>
      </c>
      <c r="C1333" s="63" t="s">
        <v>0</v>
      </c>
      <c r="E1333" s="63" t="s">
        <v>598</v>
      </c>
    </row>
    <row r="1334" s="63" customFormat="1" spans="1:5">
      <c r="A1334" s="63" t="s">
        <v>2260</v>
      </c>
      <c r="B1334" s="63" t="s">
        <v>2260</v>
      </c>
      <c r="C1334" s="63" t="s">
        <v>0</v>
      </c>
      <c r="E1334" s="63" t="s">
        <v>598</v>
      </c>
    </row>
    <row r="1335" s="63" customFormat="1" spans="1:5">
      <c r="A1335" s="63" t="s">
        <v>2261</v>
      </c>
      <c r="B1335" s="63" t="s">
        <v>2261</v>
      </c>
      <c r="C1335" s="63" t="s">
        <v>0</v>
      </c>
      <c r="E1335" s="63" t="s">
        <v>598</v>
      </c>
    </row>
    <row r="1336" s="63" customFormat="1" spans="1:5">
      <c r="A1336" s="63" t="s">
        <v>2262</v>
      </c>
      <c r="B1336" s="63" t="s">
        <v>2262</v>
      </c>
      <c r="C1336" s="63" t="s">
        <v>0</v>
      </c>
      <c r="E1336" s="63" t="s">
        <v>598</v>
      </c>
    </row>
    <row r="1337" s="63" customFormat="1" spans="1:5">
      <c r="A1337" s="63" t="s">
        <v>2263</v>
      </c>
      <c r="B1337" s="63" t="s">
        <v>2263</v>
      </c>
      <c r="C1337" s="63" t="s">
        <v>0</v>
      </c>
      <c r="E1337" s="63" t="s">
        <v>598</v>
      </c>
    </row>
    <row r="1338" s="63" customFormat="1" spans="1:5">
      <c r="A1338" s="63" t="s">
        <v>2264</v>
      </c>
      <c r="B1338" s="63" t="s">
        <v>2264</v>
      </c>
      <c r="C1338" s="63" t="s">
        <v>0</v>
      </c>
      <c r="E1338" s="63" t="s">
        <v>598</v>
      </c>
    </row>
    <row r="1339" s="63" customFormat="1" spans="1:5">
      <c r="A1339" s="63" t="s">
        <v>2265</v>
      </c>
      <c r="B1339" s="63" t="s">
        <v>2265</v>
      </c>
      <c r="C1339" s="63" t="s">
        <v>0</v>
      </c>
      <c r="E1339" s="63" t="s">
        <v>598</v>
      </c>
    </row>
    <row r="1340" spans="1:5">
      <c r="A1340" t="s">
        <v>2266</v>
      </c>
      <c r="C1340" t="s">
        <v>2266</v>
      </c>
    </row>
    <row r="1341" spans="1:5">
      <c r="A1341" t="s">
        <v>2267</v>
      </c>
      <c r="C1341" t="s">
        <v>2267</v>
      </c>
    </row>
    <row r="1342" s="63" customFormat="1" spans="1:5">
      <c r="A1342" s="63" t="s">
        <v>2268</v>
      </c>
      <c r="B1342" s="63" t="s">
        <v>2269</v>
      </c>
      <c r="C1342" s="63" t="s">
        <v>2267</v>
      </c>
      <c r="E1342" s="63" t="s">
        <v>2270</v>
      </c>
    </row>
    <row r="1343" spans="1:5">
      <c r="A1343" t="s">
        <v>2271</v>
      </c>
      <c r="C1343" t="s">
        <v>2271</v>
      </c>
    </row>
    <row r="1344" s="63" customFormat="1" spans="1:5">
      <c r="A1344" s="63" t="s">
        <v>2272</v>
      </c>
      <c r="B1344" s="63" t="s">
        <v>2273</v>
      </c>
      <c r="C1344" s="63" t="s">
        <v>2271</v>
      </c>
      <c r="E1344" s="63" t="s">
        <v>124</v>
      </c>
    </row>
    <row r="1345" s="63" customFormat="1" spans="1:5">
      <c r="A1345" s="63" t="s">
        <v>2274</v>
      </c>
      <c r="B1345" s="63" t="s">
        <v>755</v>
      </c>
      <c r="C1345" s="63" t="s">
        <v>2271</v>
      </c>
      <c r="E1345" s="63" t="s">
        <v>124</v>
      </c>
    </row>
    <row r="1346" s="63" customFormat="1" spans="1:5">
      <c r="A1346" s="63" t="s">
        <v>2275</v>
      </c>
      <c r="B1346" s="63" t="s">
        <v>689</v>
      </c>
      <c r="C1346" s="63" t="s">
        <v>2271</v>
      </c>
      <c r="E1346" s="63" t="s">
        <v>329</v>
      </c>
    </row>
    <row r="1347" s="63" customFormat="1" spans="1:5">
      <c r="A1347" s="63" t="s">
        <v>2276</v>
      </c>
      <c r="B1347" s="63" t="s">
        <v>2277</v>
      </c>
      <c r="C1347" s="63" t="s">
        <v>2271</v>
      </c>
      <c r="E1347" s="63" t="s">
        <v>124</v>
      </c>
    </row>
    <row r="1348" s="63" customFormat="1" spans="1:5">
      <c r="A1348" s="63" t="s">
        <v>2278</v>
      </c>
      <c r="B1348" s="63" t="s">
        <v>2279</v>
      </c>
      <c r="C1348" s="63" t="s">
        <v>2271</v>
      </c>
      <c r="E1348" s="63" t="s">
        <v>124</v>
      </c>
    </row>
    <row r="1349" s="63" customFormat="1" spans="1:5">
      <c r="A1349" s="63" t="s">
        <v>2280</v>
      </c>
      <c r="B1349" s="63" t="s">
        <v>777</v>
      </c>
      <c r="C1349" s="63" t="s">
        <v>2271</v>
      </c>
      <c r="E1349" s="63" t="s">
        <v>124</v>
      </c>
    </row>
    <row r="1350" s="63" customFormat="1" spans="1:5">
      <c r="A1350" s="63" t="s">
        <v>2281</v>
      </c>
      <c r="C1350" s="63" t="s">
        <v>2281</v>
      </c>
    </row>
    <row r="1351" s="63" customFormat="1" spans="1:5">
      <c r="A1351" s="63" t="s">
        <v>773</v>
      </c>
      <c r="B1351" s="63" t="s">
        <v>773</v>
      </c>
      <c r="C1351" s="63" t="s">
        <v>2281</v>
      </c>
      <c r="E1351" s="63" t="s">
        <v>124</v>
      </c>
    </row>
    <row r="1352" s="63" customFormat="1" spans="1:5">
      <c r="A1352" s="63" t="s">
        <v>779</v>
      </c>
      <c r="B1352" s="63" t="s">
        <v>779</v>
      </c>
      <c r="C1352" s="63" t="s">
        <v>2281</v>
      </c>
      <c r="E1352" s="63" t="s">
        <v>124</v>
      </c>
    </row>
    <row r="1353" s="63" customFormat="1" spans="1:5">
      <c r="A1353" s="63" t="s">
        <v>778</v>
      </c>
      <c r="B1353" s="63" t="s">
        <v>778</v>
      </c>
      <c r="C1353" s="63" t="s">
        <v>2281</v>
      </c>
      <c r="E1353" s="63" t="s">
        <v>124</v>
      </c>
    </row>
    <row r="1354" s="63" customFormat="1" spans="1:5">
      <c r="A1354" s="63" t="s">
        <v>2282</v>
      </c>
      <c r="B1354" s="63" t="s">
        <v>2282</v>
      </c>
      <c r="C1354" s="63" t="s">
        <v>2281</v>
      </c>
      <c r="E1354" s="63" t="s">
        <v>124</v>
      </c>
    </row>
    <row r="1355" s="63" customFormat="1" spans="1:5">
      <c r="A1355" s="63" t="s">
        <v>2283</v>
      </c>
      <c r="B1355" s="63" t="s">
        <v>2283</v>
      </c>
      <c r="C1355" s="63" t="s">
        <v>2281</v>
      </c>
      <c r="E1355" s="63" t="s">
        <v>124</v>
      </c>
    </row>
    <row r="1356" s="63" customFormat="1" spans="1:5">
      <c r="A1356" s="63" t="s">
        <v>2284</v>
      </c>
      <c r="B1356" s="63" t="s">
        <v>2284</v>
      </c>
      <c r="C1356" s="63" t="s">
        <v>2281</v>
      </c>
      <c r="E1356" s="63" t="s">
        <v>124</v>
      </c>
    </row>
    <row r="1357" s="63" customFormat="1" spans="1:5">
      <c r="A1357" s="63" t="s">
        <v>2285</v>
      </c>
      <c r="B1357" s="63" t="s">
        <v>2285</v>
      </c>
      <c r="C1357" s="63" t="s">
        <v>2281</v>
      </c>
      <c r="E1357" s="63" t="s">
        <v>124</v>
      </c>
    </row>
    <row r="1358" s="63" customFormat="1" spans="1:5">
      <c r="A1358" s="63" t="s">
        <v>2286</v>
      </c>
      <c r="B1358" s="63" t="s">
        <v>2286</v>
      </c>
      <c r="C1358" s="63" t="s">
        <v>2281</v>
      </c>
      <c r="E1358" s="63" t="s">
        <v>124</v>
      </c>
    </row>
    <row r="1359" s="63" customFormat="1" spans="1:5">
      <c r="A1359" s="63" t="s">
        <v>2287</v>
      </c>
      <c r="B1359" s="63" t="s">
        <v>2287</v>
      </c>
      <c r="C1359" s="63" t="s">
        <v>2281</v>
      </c>
      <c r="E1359" s="63" t="s">
        <v>124</v>
      </c>
    </row>
    <row r="1360" s="63" customFormat="1" spans="1:5">
      <c r="A1360" s="63" t="s">
        <v>2288</v>
      </c>
      <c r="B1360" s="63" t="s">
        <v>2288</v>
      </c>
      <c r="C1360" s="63" t="s">
        <v>2281</v>
      </c>
      <c r="E1360" s="63" t="s">
        <v>124</v>
      </c>
    </row>
    <row r="1361" s="63" customFormat="1" spans="1:5">
      <c r="A1361" s="63" t="s">
        <v>2289</v>
      </c>
      <c r="B1361" s="63" t="s">
        <v>2289</v>
      </c>
      <c r="C1361" s="63" t="s">
        <v>2281</v>
      </c>
      <c r="E1361" s="63" t="s">
        <v>124</v>
      </c>
    </row>
    <row r="1362" s="63" customFormat="1" spans="1:5">
      <c r="A1362" s="63" t="s">
        <v>775</v>
      </c>
      <c r="B1362" s="63" t="s">
        <v>775</v>
      </c>
      <c r="C1362" s="63" t="s">
        <v>2281</v>
      </c>
      <c r="E1362" s="63" t="s">
        <v>124</v>
      </c>
    </row>
    <row r="1363" s="63" customFormat="1" spans="1:5">
      <c r="A1363" s="63" t="s">
        <v>776</v>
      </c>
      <c r="B1363" s="63" t="s">
        <v>776</v>
      </c>
      <c r="C1363" s="63" t="s">
        <v>2281</v>
      </c>
      <c r="E1363" s="63" t="s">
        <v>124</v>
      </c>
    </row>
    <row r="1364" s="63" customFormat="1" spans="1:5">
      <c r="A1364" s="63" t="s">
        <v>772</v>
      </c>
      <c r="B1364" s="63" t="s">
        <v>772</v>
      </c>
      <c r="C1364" s="63" t="s">
        <v>2281</v>
      </c>
      <c r="E1364" s="63" t="s">
        <v>124</v>
      </c>
    </row>
    <row r="1365" s="63" customFormat="1" spans="1:5">
      <c r="A1365" s="63" t="s">
        <v>2290</v>
      </c>
      <c r="B1365" s="63" t="s">
        <v>763</v>
      </c>
      <c r="C1365" s="63" t="s">
        <v>2281</v>
      </c>
      <c r="E1365" s="63" t="s">
        <v>677</v>
      </c>
    </row>
    <row r="1366" s="63" customFormat="1" spans="1:5">
      <c r="A1366" s="63" t="s">
        <v>762</v>
      </c>
      <c r="B1366" s="63" t="s">
        <v>762</v>
      </c>
      <c r="C1366" s="63" t="s">
        <v>2281</v>
      </c>
      <c r="E1366" s="63" t="s">
        <v>702</v>
      </c>
    </row>
    <row r="1367" s="63" customFormat="1" spans="1:5">
      <c r="A1367" s="63" t="s">
        <v>761</v>
      </c>
      <c r="B1367" s="63" t="s">
        <v>761</v>
      </c>
      <c r="C1367" s="63" t="s">
        <v>2281</v>
      </c>
      <c r="E1367" s="63" t="s">
        <v>124</v>
      </c>
    </row>
    <row r="1368" s="63" customFormat="1" spans="1:5">
      <c r="A1368" s="63" t="s">
        <v>571</v>
      </c>
      <c r="B1368" s="63" t="s">
        <v>571</v>
      </c>
      <c r="C1368" s="63" t="s">
        <v>2281</v>
      </c>
      <c r="E1368" s="63" t="s">
        <v>124</v>
      </c>
    </row>
    <row r="1369" s="63" customFormat="1" spans="1:5">
      <c r="A1369" s="63" t="s">
        <v>760</v>
      </c>
      <c r="B1369" s="63" t="s">
        <v>760</v>
      </c>
      <c r="C1369" s="63" t="s">
        <v>2281</v>
      </c>
      <c r="E1369" s="63" t="s">
        <v>124</v>
      </c>
    </row>
    <row r="1370" s="63" customFormat="1" spans="1:5">
      <c r="A1370" s="63" t="s">
        <v>2291</v>
      </c>
      <c r="B1370" s="63" t="s">
        <v>770</v>
      </c>
      <c r="C1370" s="63" t="s">
        <v>2281</v>
      </c>
      <c r="E1370" s="63" t="s">
        <v>124</v>
      </c>
    </row>
    <row r="1371" s="63" customFormat="1" spans="1:5">
      <c r="A1371" s="63" t="s">
        <v>782</v>
      </c>
      <c r="B1371" s="63" t="s">
        <v>782</v>
      </c>
      <c r="C1371" s="63" t="s">
        <v>2281</v>
      </c>
      <c r="E1371" s="63" t="s">
        <v>124</v>
      </c>
    </row>
    <row r="1372" s="63" customFormat="1" spans="1:5">
      <c r="A1372" s="63" t="s">
        <v>771</v>
      </c>
      <c r="B1372" s="63" t="s">
        <v>771</v>
      </c>
      <c r="C1372" s="63" t="s">
        <v>2281</v>
      </c>
      <c r="E1372" s="63" t="s">
        <v>124</v>
      </c>
    </row>
    <row r="1373" s="63" customFormat="1" spans="1:5">
      <c r="A1373" s="63" t="s">
        <v>2292</v>
      </c>
      <c r="B1373" s="63" t="s">
        <v>2292</v>
      </c>
      <c r="C1373" s="63" t="s">
        <v>2281</v>
      </c>
      <c r="E1373" s="63" t="s">
        <v>124</v>
      </c>
    </row>
    <row r="1374" spans="1:5">
      <c r="A1374" t="s">
        <v>141</v>
      </c>
      <c r="C1374" t="s">
        <v>141</v>
      </c>
    </row>
    <row r="1375" s="63" customFormat="1" spans="1:5">
      <c r="A1375" s="63" t="s">
        <v>2293</v>
      </c>
      <c r="B1375" s="63" t="s">
        <v>2294</v>
      </c>
      <c r="C1375" s="63" t="s">
        <v>141</v>
      </c>
      <c r="E1375" s="63" t="s">
        <v>124</v>
      </c>
    </row>
    <row r="1376" s="63" customFormat="1" spans="1:5">
      <c r="A1376" s="63" t="s">
        <v>2295</v>
      </c>
      <c r="B1376" s="63" t="s">
        <v>2296</v>
      </c>
      <c r="C1376" s="63" t="s">
        <v>141</v>
      </c>
      <c r="E1376" s="63" t="s">
        <v>1043</v>
      </c>
    </row>
    <row r="1377" s="63" customFormat="1" spans="1:5">
      <c r="A1377" s="63" t="s">
        <v>2297</v>
      </c>
      <c r="B1377" s="63" t="s">
        <v>2298</v>
      </c>
      <c r="C1377" s="63" t="s">
        <v>141</v>
      </c>
      <c r="E1377" s="63" t="s">
        <v>124</v>
      </c>
    </row>
    <row r="1378" s="63" customFormat="1" spans="1:5">
      <c r="A1378" s="63" t="s">
        <v>2299</v>
      </c>
      <c r="B1378" s="63" t="s">
        <v>2299</v>
      </c>
      <c r="C1378" s="63" t="s">
        <v>141</v>
      </c>
      <c r="E1378" s="63" t="s">
        <v>532</v>
      </c>
    </row>
    <row r="1379" s="63" customFormat="1" spans="1:5">
      <c r="A1379" s="63" t="s">
        <v>2300</v>
      </c>
      <c r="B1379" s="63" t="s">
        <v>2300</v>
      </c>
      <c r="C1379" s="63" t="s">
        <v>141</v>
      </c>
      <c r="E1379" s="63" t="s">
        <v>124</v>
      </c>
    </row>
    <row r="1380" s="63" customFormat="1" spans="1:5">
      <c r="A1380" s="63" t="s">
        <v>2301</v>
      </c>
      <c r="B1380" s="63" t="s">
        <v>2301</v>
      </c>
      <c r="C1380" s="63" t="s">
        <v>141</v>
      </c>
      <c r="E1380" s="63" t="s">
        <v>124</v>
      </c>
    </row>
    <row r="1381" spans="1:5">
      <c r="A1381" t="s">
        <v>2302</v>
      </c>
      <c r="B1381" t="s">
        <v>2302</v>
      </c>
      <c r="C1381" t="s">
        <v>141</v>
      </c>
      <c r="E1381" t="s">
        <v>287</v>
      </c>
    </row>
    <row r="1382" s="63" customFormat="1" spans="1:5">
      <c r="A1382" s="63" t="s">
        <v>2303</v>
      </c>
      <c r="B1382" s="63" t="s">
        <v>2303</v>
      </c>
      <c r="C1382" s="63" t="s">
        <v>141</v>
      </c>
      <c r="E1382" s="63" t="s">
        <v>1930</v>
      </c>
    </row>
    <row r="1383" spans="1:5">
      <c r="A1383" t="s">
        <v>2304</v>
      </c>
      <c r="C1383" t="s">
        <v>2304</v>
      </c>
    </row>
    <row r="1384" spans="1:5">
      <c r="A1384" t="s">
        <v>2305</v>
      </c>
      <c r="B1384" t="s">
        <v>2305</v>
      </c>
      <c r="C1384" t="s">
        <v>2304</v>
      </c>
      <c r="E1384" t="s">
        <v>2306</v>
      </c>
    </row>
    <row r="1385" spans="1:5">
      <c r="A1385" t="s">
        <v>2307</v>
      </c>
      <c r="B1385" t="s">
        <v>2307</v>
      </c>
      <c r="C1385" t="s">
        <v>2304</v>
      </c>
      <c r="E1385" t="s">
        <v>124</v>
      </c>
    </row>
    <row r="1386" spans="1:5">
      <c r="A1386" t="s">
        <v>2308</v>
      </c>
      <c r="B1386" t="s">
        <v>2308</v>
      </c>
      <c r="C1386" t="s">
        <v>2304</v>
      </c>
      <c r="E1386" t="s">
        <v>1783</v>
      </c>
    </row>
    <row r="1387" spans="1:5">
      <c r="A1387" t="s">
        <v>2309</v>
      </c>
      <c r="B1387" t="s">
        <v>2309</v>
      </c>
      <c r="C1387" t="s">
        <v>2304</v>
      </c>
      <c r="E1387" t="s">
        <v>1124</v>
      </c>
    </row>
    <row r="1388" spans="1:5">
      <c r="A1388" t="s">
        <v>2310</v>
      </c>
      <c r="B1388" t="s">
        <v>2310</v>
      </c>
      <c r="C1388" t="s">
        <v>2304</v>
      </c>
      <c r="E1388" t="s">
        <v>124</v>
      </c>
    </row>
    <row r="1389" spans="1:5">
      <c r="A1389" t="s">
        <v>2311</v>
      </c>
      <c r="B1389" t="s">
        <v>2311</v>
      </c>
      <c r="C1389" t="s">
        <v>2304</v>
      </c>
      <c r="E1389" t="s">
        <v>1783</v>
      </c>
    </row>
    <row r="1390" spans="1:5">
      <c r="A1390" t="s">
        <v>2312</v>
      </c>
      <c r="B1390" t="s">
        <v>2312</v>
      </c>
      <c r="C1390" t="s">
        <v>2304</v>
      </c>
      <c r="E1390" t="s">
        <v>1783</v>
      </c>
    </row>
    <row r="1391" spans="1:5">
      <c r="A1391" t="s">
        <v>2313</v>
      </c>
      <c r="B1391" t="s">
        <v>2313</v>
      </c>
      <c r="C1391" t="s">
        <v>2304</v>
      </c>
      <c r="E1391" t="s">
        <v>1124</v>
      </c>
    </row>
    <row r="1392" spans="1:5">
      <c r="A1392" t="s">
        <v>2314</v>
      </c>
      <c r="B1392" t="s">
        <v>2314</v>
      </c>
      <c r="C1392" t="s">
        <v>2304</v>
      </c>
      <c r="E1392" t="s">
        <v>1124</v>
      </c>
    </row>
    <row r="1393" spans="1:5">
      <c r="A1393" t="s">
        <v>2315</v>
      </c>
      <c r="B1393" t="s">
        <v>2315</v>
      </c>
      <c r="C1393" t="s">
        <v>2304</v>
      </c>
      <c r="E1393" t="s">
        <v>1783</v>
      </c>
    </row>
    <row r="1394" spans="1:5">
      <c r="A1394" t="s">
        <v>2316</v>
      </c>
      <c r="B1394" t="s">
        <v>2316</v>
      </c>
      <c r="C1394" t="s">
        <v>2304</v>
      </c>
      <c r="E1394" t="s">
        <v>1783</v>
      </c>
    </row>
    <row r="1395" spans="1:5">
      <c r="A1395" t="s">
        <v>2317</v>
      </c>
      <c r="B1395" t="s">
        <v>2317</v>
      </c>
      <c r="C1395" t="s">
        <v>2304</v>
      </c>
      <c r="E1395" t="s">
        <v>124</v>
      </c>
    </row>
    <row r="1396" spans="1:5">
      <c r="A1396" t="s">
        <v>2318</v>
      </c>
      <c r="B1396" t="s">
        <v>2318</v>
      </c>
      <c r="C1396" t="s">
        <v>2304</v>
      </c>
      <c r="E1396" t="s">
        <v>1783</v>
      </c>
    </row>
    <row r="1397" spans="1:5">
      <c r="A1397" t="s">
        <v>2319</v>
      </c>
      <c r="B1397" t="s">
        <v>2319</v>
      </c>
      <c r="C1397" t="s">
        <v>2304</v>
      </c>
      <c r="E1397" t="s">
        <v>124</v>
      </c>
    </row>
    <row r="1398" spans="1:5">
      <c r="A1398" t="s">
        <v>2320</v>
      </c>
      <c r="B1398" t="s">
        <v>2320</v>
      </c>
      <c r="C1398" t="s">
        <v>2304</v>
      </c>
      <c r="E1398" t="s">
        <v>124</v>
      </c>
    </row>
    <row r="1399" spans="1:5">
      <c r="A1399" t="s">
        <v>2321</v>
      </c>
      <c r="B1399" t="s">
        <v>2321</v>
      </c>
      <c r="C1399" t="s">
        <v>2304</v>
      </c>
      <c r="E1399" t="s">
        <v>1124</v>
      </c>
    </row>
    <row r="1400" spans="1:5">
      <c r="A1400" t="s">
        <v>2322</v>
      </c>
      <c r="B1400" t="s">
        <v>2322</v>
      </c>
      <c r="C1400" t="s">
        <v>2304</v>
      </c>
      <c r="E1400" t="s">
        <v>1124</v>
      </c>
    </row>
    <row r="1401" spans="1:5">
      <c r="A1401" t="s">
        <v>2323</v>
      </c>
      <c r="B1401" t="s">
        <v>2323</v>
      </c>
      <c r="C1401" t="s">
        <v>2304</v>
      </c>
      <c r="E1401" t="s">
        <v>1124</v>
      </c>
    </row>
    <row r="1402" spans="1:5">
      <c r="A1402" t="s">
        <v>2324</v>
      </c>
      <c r="B1402" t="s">
        <v>2324</v>
      </c>
      <c r="C1402" t="s">
        <v>2304</v>
      </c>
      <c r="E1402" t="s">
        <v>1124</v>
      </c>
    </row>
    <row r="1403" spans="1:5">
      <c r="A1403" t="s">
        <v>2325</v>
      </c>
      <c r="B1403" t="s">
        <v>2325</v>
      </c>
      <c r="C1403" t="s">
        <v>2304</v>
      </c>
      <c r="E1403" t="s">
        <v>1124</v>
      </c>
    </row>
    <row r="1404" spans="1:5">
      <c r="A1404" t="s">
        <v>2326</v>
      </c>
      <c r="B1404" t="s">
        <v>2326</v>
      </c>
      <c r="C1404" t="s">
        <v>2304</v>
      </c>
      <c r="E1404" t="s">
        <v>1124</v>
      </c>
    </row>
    <row r="1405" spans="1:5">
      <c r="A1405" t="s">
        <v>2327</v>
      </c>
      <c r="B1405" t="s">
        <v>2327</v>
      </c>
      <c r="C1405" t="s">
        <v>2304</v>
      </c>
      <c r="E1405" t="s">
        <v>1124</v>
      </c>
    </row>
    <row r="1406" spans="1:5">
      <c r="A1406" t="s">
        <v>2328</v>
      </c>
      <c r="B1406" t="s">
        <v>2328</v>
      </c>
      <c r="C1406" t="s">
        <v>2304</v>
      </c>
      <c r="E1406" t="s">
        <v>1124</v>
      </c>
    </row>
    <row r="1407" spans="1:5">
      <c r="A1407" t="s">
        <v>2329</v>
      </c>
      <c r="B1407" t="s">
        <v>2329</v>
      </c>
      <c r="C1407" t="s">
        <v>2304</v>
      </c>
      <c r="E1407" t="s">
        <v>1124</v>
      </c>
    </row>
    <row r="1408" spans="1:5">
      <c r="A1408" t="s">
        <v>2330</v>
      </c>
      <c r="B1408" t="s">
        <v>2330</v>
      </c>
      <c r="C1408" t="s">
        <v>2304</v>
      </c>
      <c r="E1408" t="s">
        <v>1124</v>
      </c>
    </row>
    <row r="1409" spans="1:5">
      <c r="A1409" t="s">
        <v>2331</v>
      </c>
      <c r="B1409" t="s">
        <v>2331</v>
      </c>
      <c r="C1409" t="s">
        <v>2304</v>
      </c>
      <c r="E1409" t="s">
        <v>1124</v>
      </c>
    </row>
    <row r="1410" spans="1:5">
      <c r="A1410" t="s">
        <v>2332</v>
      </c>
      <c r="B1410" t="s">
        <v>2332</v>
      </c>
      <c r="C1410" t="s">
        <v>2304</v>
      </c>
      <c r="E1410" t="s">
        <v>1124</v>
      </c>
    </row>
    <row r="1411" spans="1:5">
      <c r="A1411" t="s">
        <v>2333</v>
      </c>
      <c r="B1411" t="s">
        <v>2333</v>
      </c>
      <c r="C1411" t="s">
        <v>2304</v>
      </c>
      <c r="E1411" t="s">
        <v>1124</v>
      </c>
    </row>
    <row r="1412" spans="1:5">
      <c r="A1412" t="s">
        <v>2334</v>
      </c>
      <c r="B1412" t="s">
        <v>2334</v>
      </c>
      <c r="C1412" t="s">
        <v>2304</v>
      </c>
      <c r="E1412" t="s">
        <v>1124</v>
      </c>
    </row>
    <row r="1413" spans="1:5">
      <c r="A1413" t="s">
        <v>2335</v>
      </c>
      <c r="B1413" t="s">
        <v>2335</v>
      </c>
      <c r="C1413" t="s">
        <v>2304</v>
      </c>
      <c r="E1413" t="s">
        <v>1124</v>
      </c>
    </row>
    <row r="1414" spans="1:5">
      <c r="A1414" t="s">
        <v>2336</v>
      </c>
      <c r="B1414" t="s">
        <v>2336</v>
      </c>
      <c r="C1414" t="s">
        <v>2304</v>
      </c>
      <c r="E1414" t="s">
        <v>1124</v>
      </c>
    </row>
    <row r="1415" spans="1:5">
      <c r="A1415" t="s">
        <v>2337</v>
      </c>
      <c r="B1415" t="s">
        <v>2337</v>
      </c>
      <c r="C1415" t="s">
        <v>2304</v>
      </c>
      <c r="E1415" t="s">
        <v>1124</v>
      </c>
    </row>
    <row r="1416" spans="1:5">
      <c r="A1416" t="s">
        <v>2338</v>
      </c>
      <c r="B1416" t="s">
        <v>2338</v>
      </c>
      <c r="C1416" t="s">
        <v>2304</v>
      </c>
      <c r="E1416" t="s">
        <v>1124</v>
      </c>
    </row>
    <row r="1417" spans="1:5">
      <c r="A1417" t="s">
        <v>2339</v>
      </c>
      <c r="B1417" t="s">
        <v>2339</v>
      </c>
      <c r="C1417" t="s">
        <v>2304</v>
      </c>
      <c r="E1417" t="s">
        <v>1124</v>
      </c>
    </row>
    <row r="1418" spans="1:5">
      <c r="A1418" t="s">
        <v>2340</v>
      </c>
      <c r="B1418" t="s">
        <v>2340</v>
      </c>
      <c r="C1418" t="s">
        <v>2304</v>
      </c>
      <c r="E1418" t="s">
        <v>1124</v>
      </c>
    </row>
    <row r="1419" spans="1:5">
      <c r="A1419" t="s">
        <v>2341</v>
      </c>
      <c r="B1419" t="s">
        <v>2341</v>
      </c>
      <c r="C1419" t="s">
        <v>2304</v>
      </c>
      <c r="E1419" t="s">
        <v>1124</v>
      </c>
    </row>
    <row r="1420" spans="1:5">
      <c r="A1420" t="s">
        <v>2342</v>
      </c>
      <c r="B1420" t="s">
        <v>2342</v>
      </c>
      <c r="C1420" t="s">
        <v>2304</v>
      </c>
      <c r="E1420" t="s">
        <v>1783</v>
      </c>
    </row>
    <row r="1421" spans="1:5">
      <c r="A1421" t="s">
        <v>2343</v>
      </c>
      <c r="B1421" t="s">
        <v>2343</v>
      </c>
      <c r="C1421" t="s">
        <v>2304</v>
      </c>
      <c r="E1421" t="s">
        <v>124</v>
      </c>
    </row>
    <row r="1422" spans="1:5">
      <c r="A1422" t="s">
        <v>2344</v>
      </c>
      <c r="B1422" t="s">
        <v>2344</v>
      </c>
      <c r="C1422" t="s">
        <v>2304</v>
      </c>
      <c r="E1422" t="s">
        <v>1124</v>
      </c>
    </row>
    <row r="1423" spans="1:5">
      <c r="A1423" t="s">
        <v>2345</v>
      </c>
      <c r="B1423" t="s">
        <v>2345</v>
      </c>
      <c r="C1423" t="s">
        <v>2304</v>
      </c>
      <c r="E1423" t="s">
        <v>1124</v>
      </c>
    </row>
    <row r="1424" spans="1:5">
      <c r="A1424" t="s">
        <v>2346</v>
      </c>
      <c r="B1424" t="s">
        <v>2346</v>
      </c>
      <c r="C1424" t="s">
        <v>2304</v>
      </c>
      <c r="E1424" t="s">
        <v>1124</v>
      </c>
    </row>
    <row r="1425" spans="1:5">
      <c r="A1425" t="s">
        <v>2347</v>
      </c>
      <c r="B1425" t="s">
        <v>2347</v>
      </c>
      <c r="C1425" t="s">
        <v>2304</v>
      </c>
      <c r="E1425" t="s">
        <v>1783</v>
      </c>
    </row>
    <row r="1426" spans="1:5">
      <c r="A1426" t="s">
        <v>2348</v>
      </c>
      <c r="B1426" t="s">
        <v>2348</v>
      </c>
      <c r="C1426" t="s">
        <v>2304</v>
      </c>
      <c r="E1426" t="s">
        <v>124</v>
      </c>
    </row>
    <row r="1427" spans="1:5">
      <c r="A1427" t="s">
        <v>2349</v>
      </c>
      <c r="B1427" t="s">
        <v>2349</v>
      </c>
      <c r="C1427" t="s">
        <v>2304</v>
      </c>
      <c r="E1427" t="s">
        <v>1124</v>
      </c>
    </row>
    <row r="1428" spans="1:5">
      <c r="A1428" t="s">
        <v>2350</v>
      </c>
      <c r="B1428" t="s">
        <v>2350</v>
      </c>
      <c r="C1428" t="s">
        <v>2304</v>
      </c>
      <c r="E1428" t="s">
        <v>1783</v>
      </c>
    </row>
    <row r="1429" spans="1:5">
      <c r="A1429" t="s">
        <v>2351</v>
      </c>
      <c r="B1429" t="s">
        <v>2351</v>
      </c>
      <c r="C1429" t="s">
        <v>2304</v>
      </c>
      <c r="E1429" t="s">
        <v>1783</v>
      </c>
    </row>
    <row r="1430" spans="1:5">
      <c r="A1430" t="s">
        <v>2352</v>
      </c>
      <c r="B1430" t="s">
        <v>2352</v>
      </c>
      <c r="C1430" t="s">
        <v>2304</v>
      </c>
      <c r="E1430" t="s">
        <v>1783</v>
      </c>
    </row>
    <row r="1431" spans="1:5">
      <c r="A1431" t="s">
        <v>2353</v>
      </c>
      <c r="B1431" t="s">
        <v>2353</v>
      </c>
      <c r="C1431" t="s">
        <v>2304</v>
      </c>
      <c r="E1431" t="s">
        <v>1124</v>
      </c>
    </row>
    <row r="1432" spans="1:5">
      <c r="A1432" t="s">
        <v>2354</v>
      </c>
      <c r="B1432" t="s">
        <v>2354</v>
      </c>
      <c r="C1432" t="s">
        <v>2304</v>
      </c>
      <c r="E1432" t="s">
        <v>1124</v>
      </c>
    </row>
    <row r="1433" spans="1:5">
      <c r="A1433" t="s">
        <v>2355</v>
      </c>
      <c r="B1433" t="s">
        <v>2355</v>
      </c>
      <c r="C1433" t="s">
        <v>2304</v>
      </c>
      <c r="E1433" t="s">
        <v>1124</v>
      </c>
    </row>
    <row r="1434" spans="1:5">
      <c r="A1434" t="s">
        <v>2356</v>
      </c>
      <c r="B1434" t="s">
        <v>2356</v>
      </c>
      <c r="C1434" t="s">
        <v>2304</v>
      </c>
      <c r="E1434" t="s">
        <v>1124</v>
      </c>
    </row>
    <row r="1435" spans="1:5">
      <c r="A1435" t="s">
        <v>2357</v>
      </c>
      <c r="B1435" t="s">
        <v>2357</v>
      </c>
      <c r="C1435" t="s">
        <v>2304</v>
      </c>
      <c r="E1435" t="s">
        <v>1124</v>
      </c>
    </row>
    <row r="1436" spans="1:5">
      <c r="A1436" t="s">
        <v>2358</v>
      </c>
      <c r="B1436" t="s">
        <v>2358</v>
      </c>
      <c r="C1436" t="s">
        <v>2304</v>
      </c>
      <c r="E1436" t="s">
        <v>1124</v>
      </c>
    </row>
    <row r="1437" spans="1:5">
      <c r="A1437" t="s">
        <v>2359</v>
      </c>
      <c r="B1437" t="s">
        <v>2359</v>
      </c>
      <c r="C1437" t="s">
        <v>2304</v>
      </c>
      <c r="E1437" t="s">
        <v>1124</v>
      </c>
    </row>
    <row r="1438" spans="1:5">
      <c r="A1438" t="s">
        <v>2360</v>
      </c>
      <c r="B1438" t="s">
        <v>2360</v>
      </c>
      <c r="C1438" t="s">
        <v>2304</v>
      </c>
      <c r="E1438" t="s">
        <v>1783</v>
      </c>
    </row>
    <row r="1439" spans="1:5">
      <c r="A1439" t="s">
        <v>2361</v>
      </c>
      <c r="B1439" t="s">
        <v>2361</v>
      </c>
      <c r="C1439" t="s">
        <v>2304</v>
      </c>
      <c r="E1439" t="s">
        <v>1124</v>
      </c>
    </row>
    <row r="1440" spans="1:5">
      <c r="A1440" t="s">
        <v>2362</v>
      </c>
      <c r="B1440" t="s">
        <v>2362</v>
      </c>
      <c r="C1440" t="s">
        <v>2304</v>
      </c>
      <c r="E1440" t="s">
        <v>1783</v>
      </c>
    </row>
    <row r="1441" spans="1:5">
      <c r="A1441" t="s">
        <v>2363</v>
      </c>
      <c r="B1441" t="s">
        <v>2363</v>
      </c>
      <c r="C1441" t="s">
        <v>2304</v>
      </c>
      <c r="E1441" t="s">
        <v>124</v>
      </c>
    </row>
    <row r="1442" spans="1:5">
      <c r="A1442" t="s">
        <v>2364</v>
      </c>
      <c r="B1442" t="s">
        <v>2364</v>
      </c>
      <c r="C1442" t="s">
        <v>2304</v>
      </c>
      <c r="E1442" t="s">
        <v>1783</v>
      </c>
    </row>
    <row r="1443" spans="1:5">
      <c r="A1443" t="s">
        <v>2365</v>
      </c>
      <c r="B1443" t="s">
        <v>2365</v>
      </c>
      <c r="C1443" t="s">
        <v>2304</v>
      </c>
      <c r="E1443" t="s">
        <v>1783</v>
      </c>
    </row>
    <row r="1444" spans="1:5">
      <c r="A1444" t="s">
        <v>2366</v>
      </c>
      <c r="B1444" t="s">
        <v>2367</v>
      </c>
      <c r="C1444" t="s">
        <v>2304</v>
      </c>
      <c r="E1444" t="s">
        <v>124</v>
      </c>
    </row>
    <row r="1445" spans="1:5">
      <c r="A1445" t="s">
        <v>2368</v>
      </c>
      <c r="B1445" t="s">
        <v>2368</v>
      </c>
      <c r="C1445" t="s">
        <v>2304</v>
      </c>
      <c r="E1445" t="s">
        <v>124</v>
      </c>
    </row>
    <row r="1446" spans="1:5">
      <c r="A1446" t="s">
        <v>2369</v>
      </c>
      <c r="B1446" t="s">
        <v>2369</v>
      </c>
      <c r="C1446" t="s">
        <v>2304</v>
      </c>
      <c r="E1446" t="s">
        <v>2370</v>
      </c>
    </row>
    <row r="1447" spans="1:5">
      <c r="A1447" t="s">
        <v>2371</v>
      </c>
      <c r="B1447" t="s">
        <v>2371</v>
      </c>
      <c r="C1447" t="s">
        <v>2304</v>
      </c>
      <c r="E1447" t="s">
        <v>124</v>
      </c>
    </row>
    <row r="1448" spans="1:5">
      <c r="A1448" t="s">
        <v>2372</v>
      </c>
      <c r="B1448" t="s">
        <v>2372</v>
      </c>
      <c r="C1448" t="s">
        <v>2304</v>
      </c>
      <c r="E1448" t="s">
        <v>124</v>
      </c>
    </row>
    <row r="1449" spans="1:5">
      <c r="A1449" t="s">
        <v>2373</v>
      </c>
      <c r="B1449" t="s">
        <v>2374</v>
      </c>
      <c r="C1449" t="s">
        <v>2304</v>
      </c>
      <c r="E1449" t="s">
        <v>124</v>
      </c>
    </row>
    <row r="1450" spans="1:5">
      <c r="A1450" t="s">
        <v>2375</v>
      </c>
      <c r="B1450" t="s">
        <v>2376</v>
      </c>
      <c r="C1450" t="s">
        <v>2304</v>
      </c>
      <c r="E1450" t="s">
        <v>124</v>
      </c>
    </row>
    <row r="1451" spans="1:5">
      <c r="A1451" t="s">
        <v>914</v>
      </c>
      <c r="B1451" t="s">
        <v>914</v>
      </c>
      <c r="C1451" t="s">
        <v>2304</v>
      </c>
      <c r="E1451" t="s">
        <v>124</v>
      </c>
    </row>
    <row r="1452" spans="1:5">
      <c r="A1452" t="s">
        <v>2377</v>
      </c>
      <c r="B1452" t="s">
        <v>2377</v>
      </c>
      <c r="C1452" t="s">
        <v>2304</v>
      </c>
      <c r="E1452" t="s">
        <v>124</v>
      </c>
    </row>
    <row r="1453" spans="1:5">
      <c r="A1453" t="s">
        <v>929</v>
      </c>
      <c r="B1453" t="s">
        <v>929</v>
      </c>
      <c r="C1453" t="s">
        <v>2304</v>
      </c>
      <c r="E1453" t="s">
        <v>124</v>
      </c>
    </row>
    <row r="1454" spans="1:5">
      <c r="A1454" t="s">
        <v>2378</v>
      </c>
      <c r="B1454" t="s">
        <v>2378</v>
      </c>
      <c r="C1454" t="s">
        <v>2304</v>
      </c>
      <c r="E1454" t="s">
        <v>287</v>
      </c>
    </row>
    <row r="1455" spans="1:5">
      <c r="A1455" t="s">
        <v>2379</v>
      </c>
      <c r="B1455" t="s">
        <v>2379</v>
      </c>
      <c r="C1455" t="s">
        <v>2304</v>
      </c>
      <c r="E1455" t="s">
        <v>287</v>
      </c>
    </row>
    <row r="1456" spans="1:5">
      <c r="A1456" t="s">
        <v>2380</v>
      </c>
      <c r="B1456" t="s">
        <v>2380</v>
      </c>
      <c r="C1456" t="s">
        <v>2304</v>
      </c>
      <c r="E1456" t="s">
        <v>287</v>
      </c>
    </row>
    <row r="1457" spans="1:5">
      <c r="A1457" t="s">
        <v>2381</v>
      </c>
      <c r="B1457" t="s">
        <v>2381</v>
      </c>
      <c r="C1457" t="s">
        <v>2304</v>
      </c>
      <c r="E1457" t="s">
        <v>1783</v>
      </c>
    </row>
    <row r="1458" spans="1:5">
      <c r="A1458" t="s">
        <v>2382</v>
      </c>
      <c r="B1458" t="s">
        <v>2382</v>
      </c>
      <c r="C1458" t="s">
        <v>2304</v>
      </c>
      <c r="E1458" t="s">
        <v>1783</v>
      </c>
    </row>
    <row r="1459" spans="1:5">
      <c r="A1459" t="s">
        <v>2383</v>
      </c>
      <c r="B1459" t="s">
        <v>2384</v>
      </c>
      <c r="C1459" t="s">
        <v>2304</v>
      </c>
      <c r="E1459" t="s">
        <v>1124</v>
      </c>
    </row>
    <row r="1460" spans="1:5">
      <c r="A1460" t="s">
        <v>2385</v>
      </c>
      <c r="B1460" t="s">
        <v>2385</v>
      </c>
      <c r="C1460" t="s">
        <v>2304</v>
      </c>
      <c r="E1460" t="s">
        <v>1124</v>
      </c>
    </row>
    <row r="1461" spans="1:5">
      <c r="A1461" t="s">
        <v>2386</v>
      </c>
      <c r="B1461" t="s">
        <v>2386</v>
      </c>
      <c r="C1461" t="s">
        <v>2304</v>
      </c>
      <c r="E1461" t="s">
        <v>1124</v>
      </c>
    </row>
    <row r="1462" spans="1:5">
      <c r="A1462" t="s">
        <v>2387</v>
      </c>
      <c r="B1462" t="s">
        <v>2387</v>
      </c>
      <c r="C1462" t="s">
        <v>2304</v>
      </c>
      <c r="E1462" t="s">
        <v>124</v>
      </c>
    </row>
    <row r="1463" spans="1:5">
      <c r="A1463" t="s">
        <v>2388</v>
      </c>
      <c r="B1463" t="s">
        <v>2388</v>
      </c>
      <c r="C1463" t="s">
        <v>2304</v>
      </c>
      <c r="E1463" t="s">
        <v>1124</v>
      </c>
    </row>
    <row r="1464" spans="1:5">
      <c r="A1464" t="s">
        <v>2389</v>
      </c>
      <c r="B1464" t="s">
        <v>2389</v>
      </c>
      <c r="C1464" t="s">
        <v>2304</v>
      </c>
      <c r="E1464" t="s">
        <v>1124</v>
      </c>
    </row>
    <row r="1465" spans="1:5">
      <c r="A1465" t="s">
        <v>2390</v>
      </c>
      <c r="B1465" t="s">
        <v>2391</v>
      </c>
      <c r="C1465" t="s">
        <v>2304</v>
      </c>
      <c r="E1465" t="s">
        <v>1124</v>
      </c>
    </row>
    <row r="1466" spans="1:5">
      <c r="A1466" t="s">
        <v>2392</v>
      </c>
      <c r="B1466" t="s">
        <v>2392</v>
      </c>
      <c r="C1466" t="s">
        <v>2304</v>
      </c>
      <c r="E1466" t="s">
        <v>1124</v>
      </c>
    </row>
    <row r="1467" spans="1:5">
      <c r="A1467" t="s">
        <v>2393</v>
      </c>
      <c r="B1467" t="s">
        <v>2393</v>
      </c>
      <c r="C1467" t="s">
        <v>2304</v>
      </c>
      <c r="E1467" t="s">
        <v>1124</v>
      </c>
    </row>
    <row r="1468" spans="1:5">
      <c r="A1468" t="s">
        <v>2394</v>
      </c>
      <c r="B1468" t="s">
        <v>2394</v>
      </c>
      <c r="C1468" t="s">
        <v>2304</v>
      </c>
      <c r="E1468" t="s">
        <v>1124</v>
      </c>
    </row>
    <row r="1469" spans="1:5">
      <c r="A1469" t="s">
        <v>2395</v>
      </c>
      <c r="B1469" t="s">
        <v>2395</v>
      </c>
      <c r="C1469" t="s">
        <v>2304</v>
      </c>
      <c r="E1469" t="s">
        <v>1124</v>
      </c>
    </row>
    <row r="1470" spans="1:5">
      <c r="A1470" t="s">
        <v>2396</v>
      </c>
      <c r="B1470" t="s">
        <v>2396</v>
      </c>
      <c r="C1470" t="s">
        <v>2304</v>
      </c>
      <c r="E1470" t="s">
        <v>1124</v>
      </c>
    </row>
    <row r="1471" spans="1:5">
      <c r="A1471" t="s">
        <v>2397</v>
      </c>
      <c r="B1471" t="s">
        <v>2397</v>
      </c>
      <c r="C1471" t="s">
        <v>2304</v>
      </c>
      <c r="E1471" t="s">
        <v>1124</v>
      </c>
    </row>
    <row r="1472" spans="1:5">
      <c r="A1472" t="s">
        <v>2398</v>
      </c>
      <c r="B1472" t="s">
        <v>2398</v>
      </c>
      <c r="C1472" t="s">
        <v>2304</v>
      </c>
      <c r="E1472" t="s">
        <v>1124</v>
      </c>
    </row>
    <row r="1473" spans="1:5">
      <c r="A1473" t="s">
        <v>2399</v>
      </c>
      <c r="B1473" t="s">
        <v>2399</v>
      </c>
      <c r="C1473" t="s">
        <v>2304</v>
      </c>
      <c r="E1473" t="s">
        <v>1124</v>
      </c>
    </row>
    <row r="1474" spans="1:5">
      <c r="A1474" t="s">
        <v>2400</v>
      </c>
      <c r="B1474" t="s">
        <v>2401</v>
      </c>
      <c r="C1474" t="s">
        <v>2304</v>
      </c>
      <c r="E1474" t="s">
        <v>1124</v>
      </c>
    </row>
    <row r="1475" spans="1:5">
      <c r="A1475" t="s">
        <v>2402</v>
      </c>
      <c r="B1475" t="s">
        <v>2402</v>
      </c>
      <c r="C1475" t="s">
        <v>2304</v>
      </c>
      <c r="E1475" t="s">
        <v>1124</v>
      </c>
    </row>
    <row r="1476" spans="1:5">
      <c r="A1476" t="s">
        <v>2403</v>
      </c>
      <c r="B1476" t="s">
        <v>2403</v>
      </c>
      <c r="C1476" t="s">
        <v>2304</v>
      </c>
      <c r="E1476" t="s">
        <v>1124</v>
      </c>
    </row>
    <row r="1477" spans="1:5">
      <c r="A1477" t="s">
        <v>2404</v>
      </c>
      <c r="B1477" t="s">
        <v>2404</v>
      </c>
      <c r="C1477" t="s">
        <v>2304</v>
      </c>
      <c r="E1477" t="s">
        <v>1124</v>
      </c>
    </row>
    <row r="1478" spans="1:5">
      <c r="A1478" t="s">
        <v>2405</v>
      </c>
      <c r="B1478" t="s">
        <v>2405</v>
      </c>
      <c r="C1478" t="s">
        <v>2304</v>
      </c>
      <c r="E1478" t="s">
        <v>1124</v>
      </c>
    </row>
    <row r="1479" spans="1:5">
      <c r="A1479" t="s">
        <v>2406</v>
      </c>
      <c r="B1479" t="s">
        <v>2406</v>
      </c>
      <c r="C1479" t="s">
        <v>2304</v>
      </c>
      <c r="E1479" t="s">
        <v>1124</v>
      </c>
    </row>
    <row r="1480" spans="1:5">
      <c r="A1480" t="s">
        <v>2407</v>
      </c>
      <c r="B1480" t="s">
        <v>2407</v>
      </c>
      <c r="C1480" t="s">
        <v>2304</v>
      </c>
      <c r="E1480" t="s">
        <v>1783</v>
      </c>
    </row>
    <row r="1481" spans="1:5">
      <c r="A1481" t="s">
        <v>2408</v>
      </c>
      <c r="B1481" t="s">
        <v>2408</v>
      </c>
      <c r="C1481" t="s">
        <v>2304</v>
      </c>
      <c r="E1481" t="s">
        <v>1124</v>
      </c>
    </row>
    <row r="1482" spans="1:5">
      <c r="A1482" t="s">
        <v>2409</v>
      </c>
      <c r="B1482" t="s">
        <v>2409</v>
      </c>
      <c r="C1482" t="s">
        <v>2304</v>
      </c>
      <c r="E1482" t="s">
        <v>1124</v>
      </c>
    </row>
    <row r="1483" spans="1:5">
      <c r="A1483" t="s">
        <v>2410</v>
      </c>
      <c r="B1483" t="s">
        <v>2411</v>
      </c>
      <c r="C1483" t="s">
        <v>2304</v>
      </c>
      <c r="E1483" t="s">
        <v>316</v>
      </c>
    </row>
    <row r="1484" spans="1:5">
      <c r="A1484" t="s">
        <v>2412</v>
      </c>
      <c r="B1484" t="s">
        <v>2412</v>
      </c>
      <c r="C1484" t="s">
        <v>2304</v>
      </c>
      <c r="E1484" t="s">
        <v>287</v>
      </c>
    </row>
    <row r="1485" spans="1:5">
      <c r="A1485" t="s">
        <v>950</v>
      </c>
      <c r="B1485" t="s">
        <v>950</v>
      </c>
      <c r="C1485" t="s">
        <v>2304</v>
      </c>
      <c r="E1485" t="s">
        <v>124</v>
      </c>
    </row>
    <row r="1486" spans="1:5">
      <c r="A1486" t="s">
        <v>2413</v>
      </c>
      <c r="B1486" t="s">
        <v>2413</v>
      </c>
      <c r="C1486" t="s">
        <v>2304</v>
      </c>
      <c r="E1486" t="s">
        <v>124</v>
      </c>
    </row>
    <row r="1487" spans="1:5">
      <c r="A1487" t="s">
        <v>2414</v>
      </c>
      <c r="B1487" t="s">
        <v>2414</v>
      </c>
      <c r="C1487" t="s">
        <v>2304</v>
      </c>
      <c r="E1487" t="s">
        <v>124</v>
      </c>
    </row>
    <row r="1488" spans="1:5">
      <c r="A1488" t="s">
        <v>2415</v>
      </c>
      <c r="B1488" t="s">
        <v>936</v>
      </c>
      <c r="C1488" t="s">
        <v>2304</v>
      </c>
      <c r="E1488" t="s">
        <v>124</v>
      </c>
    </row>
    <row r="1489" spans="1:5">
      <c r="A1489" t="s">
        <v>2416</v>
      </c>
      <c r="B1489" t="s">
        <v>2417</v>
      </c>
      <c r="C1489" t="s">
        <v>2304</v>
      </c>
      <c r="E1489" t="s">
        <v>287</v>
      </c>
    </row>
    <row r="1490" spans="1:5">
      <c r="A1490" t="s">
        <v>2418</v>
      </c>
      <c r="B1490" t="s">
        <v>2418</v>
      </c>
      <c r="C1490" t="s">
        <v>2304</v>
      </c>
      <c r="E1490" t="s">
        <v>287</v>
      </c>
    </row>
    <row r="1491" spans="1:5">
      <c r="A1491" t="s">
        <v>2419</v>
      </c>
      <c r="B1491" t="s">
        <v>2420</v>
      </c>
      <c r="C1491" t="s">
        <v>2304</v>
      </c>
      <c r="E1491" t="s">
        <v>124</v>
      </c>
    </row>
    <row r="1492" spans="1:5">
      <c r="A1492" t="s">
        <v>2421</v>
      </c>
      <c r="B1492" t="s">
        <v>2422</v>
      </c>
      <c r="C1492" t="s">
        <v>2304</v>
      </c>
      <c r="E1492" t="s">
        <v>1124</v>
      </c>
    </row>
    <row r="1493" spans="1:5">
      <c r="A1493" t="s">
        <v>2423</v>
      </c>
      <c r="B1493" t="s">
        <v>2424</v>
      </c>
      <c r="C1493" t="s">
        <v>2304</v>
      </c>
      <c r="E1493" t="s">
        <v>1124</v>
      </c>
    </row>
    <row r="1494" spans="1:5">
      <c r="A1494" t="s">
        <v>2425</v>
      </c>
      <c r="B1494" t="s">
        <v>2426</v>
      </c>
      <c r="C1494" t="s">
        <v>2304</v>
      </c>
      <c r="E1494" t="s">
        <v>1124</v>
      </c>
    </row>
    <row r="1495" spans="1:5">
      <c r="A1495" t="s">
        <v>2427</v>
      </c>
      <c r="B1495" t="s">
        <v>2428</v>
      </c>
      <c r="C1495" t="s">
        <v>2304</v>
      </c>
      <c r="E1495" t="s">
        <v>1124</v>
      </c>
    </row>
    <row r="1496" spans="1:5">
      <c r="A1496" t="s">
        <v>2429</v>
      </c>
      <c r="B1496" t="s">
        <v>2430</v>
      </c>
      <c r="C1496" t="s">
        <v>2304</v>
      </c>
      <c r="E1496" t="s">
        <v>1124</v>
      </c>
    </row>
    <row r="1497" spans="1:5">
      <c r="A1497" t="s">
        <v>2431</v>
      </c>
      <c r="B1497" t="s">
        <v>2432</v>
      </c>
      <c r="C1497" t="s">
        <v>2304</v>
      </c>
      <c r="E1497" t="s">
        <v>1124</v>
      </c>
    </row>
    <row r="1498" spans="1:5">
      <c r="A1498" t="s">
        <v>2433</v>
      </c>
      <c r="B1498" t="s">
        <v>2434</v>
      </c>
      <c r="C1498" t="s">
        <v>2304</v>
      </c>
      <c r="E1498" t="s">
        <v>1124</v>
      </c>
    </row>
    <row r="1499" spans="1:5">
      <c r="A1499" t="s">
        <v>2435</v>
      </c>
      <c r="B1499" t="s">
        <v>2436</v>
      </c>
      <c r="C1499" t="s">
        <v>2304</v>
      </c>
      <c r="E1499" t="s">
        <v>1783</v>
      </c>
    </row>
    <row r="1500" spans="1:5">
      <c r="A1500" t="s">
        <v>2437</v>
      </c>
      <c r="B1500" t="s">
        <v>2438</v>
      </c>
      <c r="C1500" t="s">
        <v>2304</v>
      </c>
      <c r="E1500" t="s">
        <v>1783</v>
      </c>
    </row>
    <row r="1501" spans="1:5">
      <c r="A1501" t="s">
        <v>2439</v>
      </c>
      <c r="B1501" t="s">
        <v>2440</v>
      </c>
      <c r="C1501" t="s">
        <v>2304</v>
      </c>
      <c r="E1501" t="s">
        <v>1124</v>
      </c>
    </row>
    <row r="1502" spans="1:5">
      <c r="A1502" t="s">
        <v>2441</v>
      </c>
      <c r="B1502" t="s">
        <v>2442</v>
      </c>
      <c r="C1502" t="s">
        <v>2304</v>
      </c>
      <c r="E1502" t="s">
        <v>1124</v>
      </c>
    </row>
    <row r="1503" spans="1:5">
      <c r="A1503" t="s">
        <v>2443</v>
      </c>
      <c r="B1503" t="s">
        <v>2444</v>
      </c>
      <c r="C1503" t="s">
        <v>2304</v>
      </c>
      <c r="E1503" t="s">
        <v>1124</v>
      </c>
    </row>
    <row r="1504" spans="1:5">
      <c r="A1504" t="s">
        <v>2445</v>
      </c>
      <c r="B1504" t="s">
        <v>2446</v>
      </c>
      <c r="C1504" t="s">
        <v>2304</v>
      </c>
      <c r="E1504" t="s">
        <v>1124</v>
      </c>
    </row>
    <row r="1505" spans="1:5">
      <c r="A1505" t="s">
        <v>2447</v>
      </c>
      <c r="B1505" t="s">
        <v>2448</v>
      </c>
      <c r="C1505" t="s">
        <v>2304</v>
      </c>
      <c r="E1505" t="s">
        <v>1124</v>
      </c>
    </row>
    <row r="1506" spans="1:5">
      <c r="A1506" t="s">
        <v>2449</v>
      </c>
      <c r="B1506" t="s">
        <v>2450</v>
      </c>
      <c r="C1506" t="s">
        <v>2304</v>
      </c>
      <c r="E1506" t="s">
        <v>1124</v>
      </c>
    </row>
    <row r="1507" spans="1:5">
      <c r="A1507" t="s">
        <v>2451</v>
      </c>
      <c r="B1507" t="s">
        <v>2452</v>
      </c>
      <c r="C1507" t="s">
        <v>2304</v>
      </c>
      <c r="E1507" t="s">
        <v>1124</v>
      </c>
    </row>
    <row r="1508" spans="1:5">
      <c r="A1508" t="s">
        <v>2453</v>
      </c>
      <c r="B1508" t="s">
        <v>2454</v>
      </c>
      <c r="C1508" t="s">
        <v>2304</v>
      </c>
      <c r="E1508" t="s">
        <v>1124</v>
      </c>
    </row>
    <row r="1509" spans="1:5">
      <c r="A1509" t="s">
        <v>2455</v>
      </c>
      <c r="B1509" t="s">
        <v>2456</v>
      </c>
      <c r="C1509" t="s">
        <v>2304</v>
      </c>
      <c r="E1509" t="s">
        <v>1124</v>
      </c>
    </row>
    <row r="1510" spans="1:5">
      <c r="A1510" t="s">
        <v>2457</v>
      </c>
      <c r="B1510" t="s">
        <v>2458</v>
      </c>
      <c r="C1510" t="s">
        <v>2304</v>
      </c>
      <c r="E1510" t="s">
        <v>1124</v>
      </c>
    </row>
    <row r="1511" spans="1:5">
      <c r="A1511" t="s">
        <v>2459</v>
      </c>
      <c r="B1511" t="s">
        <v>2460</v>
      </c>
      <c r="C1511" t="s">
        <v>2304</v>
      </c>
      <c r="E1511" t="s">
        <v>1124</v>
      </c>
    </row>
    <row r="1512" spans="1:5">
      <c r="A1512" t="s">
        <v>2461</v>
      </c>
      <c r="B1512" t="s">
        <v>2462</v>
      </c>
      <c r="C1512" t="s">
        <v>2304</v>
      </c>
      <c r="E1512" t="s">
        <v>1124</v>
      </c>
    </row>
    <row r="1513" spans="1:5">
      <c r="A1513" t="s">
        <v>2463</v>
      </c>
      <c r="B1513" t="s">
        <v>2464</v>
      </c>
      <c r="C1513" t="s">
        <v>2304</v>
      </c>
      <c r="E1513" t="s">
        <v>1124</v>
      </c>
    </row>
    <row r="1514" spans="1:5">
      <c r="A1514" t="s">
        <v>2465</v>
      </c>
      <c r="B1514" t="s">
        <v>2466</v>
      </c>
      <c r="C1514" t="s">
        <v>2304</v>
      </c>
      <c r="E1514" t="s">
        <v>1124</v>
      </c>
    </row>
    <row r="1515" spans="1:5">
      <c r="A1515" t="s">
        <v>2467</v>
      </c>
      <c r="B1515" t="s">
        <v>2468</v>
      </c>
      <c r="C1515" t="s">
        <v>2304</v>
      </c>
      <c r="E1515" t="s">
        <v>1124</v>
      </c>
    </row>
    <row r="1516" spans="1:5">
      <c r="A1516" t="s">
        <v>2469</v>
      </c>
      <c r="B1516" t="s">
        <v>2470</v>
      </c>
      <c r="C1516" t="s">
        <v>2304</v>
      </c>
      <c r="E1516" t="s">
        <v>1783</v>
      </c>
    </row>
    <row r="1517" spans="1:5">
      <c r="A1517" t="s">
        <v>2471</v>
      </c>
      <c r="B1517" t="s">
        <v>2471</v>
      </c>
      <c r="C1517" t="s">
        <v>2304</v>
      </c>
      <c r="E1517" t="s">
        <v>1124</v>
      </c>
    </row>
    <row r="1518" spans="1:5">
      <c r="A1518" t="s">
        <v>890</v>
      </c>
      <c r="B1518" t="s">
        <v>890</v>
      </c>
      <c r="C1518" t="s">
        <v>2304</v>
      </c>
      <c r="E1518" t="s">
        <v>124</v>
      </c>
    </row>
    <row r="1519" spans="1:5">
      <c r="A1519" t="s">
        <v>440</v>
      </c>
      <c r="B1519" t="s">
        <v>440</v>
      </c>
      <c r="C1519" t="s">
        <v>2304</v>
      </c>
      <c r="E1519" t="s">
        <v>124</v>
      </c>
    </row>
    <row r="1520" spans="1:5">
      <c r="A1520" t="s">
        <v>947</v>
      </c>
      <c r="B1520" t="s">
        <v>947</v>
      </c>
      <c r="C1520" t="s">
        <v>2304</v>
      </c>
      <c r="E1520" t="s">
        <v>124</v>
      </c>
    </row>
    <row r="1521" spans="1:5">
      <c r="A1521" t="s">
        <v>903</v>
      </c>
      <c r="B1521" t="s">
        <v>903</v>
      </c>
      <c r="C1521" t="s">
        <v>2304</v>
      </c>
      <c r="E1521" t="s">
        <v>124</v>
      </c>
    </row>
    <row r="1522" spans="1:5">
      <c r="A1522" t="s">
        <v>2472</v>
      </c>
      <c r="B1522" t="s">
        <v>2472</v>
      </c>
      <c r="C1522" t="s">
        <v>2304</v>
      </c>
      <c r="E1522" t="s">
        <v>287</v>
      </c>
    </row>
    <row r="1523" spans="1:5">
      <c r="A1523" t="s">
        <v>2473</v>
      </c>
      <c r="B1523" t="s">
        <v>2473</v>
      </c>
      <c r="C1523" t="s">
        <v>2304</v>
      </c>
      <c r="E1523" t="s">
        <v>287</v>
      </c>
    </row>
    <row r="1524" spans="1:5">
      <c r="A1524" t="s">
        <v>2474</v>
      </c>
      <c r="B1524" t="s">
        <v>896</v>
      </c>
      <c r="C1524" t="s">
        <v>2304</v>
      </c>
      <c r="E1524" t="s">
        <v>124</v>
      </c>
    </row>
    <row r="1525" spans="1:5">
      <c r="A1525" t="s">
        <v>2475</v>
      </c>
      <c r="B1525" t="s">
        <v>2475</v>
      </c>
      <c r="C1525" t="s">
        <v>2304</v>
      </c>
      <c r="E1525" t="s">
        <v>1124</v>
      </c>
    </row>
    <row r="1526" spans="1:5">
      <c r="A1526" t="s">
        <v>2476</v>
      </c>
      <c r="B1526" t="s">
        <v>2476</v>
      </c>
      <c r="C1526" t="s">
        <v>2304</v>
      </c>
      <c r="E1526" t="s">
        <v>1783</v>
      </c>
    </row>
    <row r="1527" spans="1:5">
      <c r="A1527" t="s">
        <v>952</v>
      </c>
      <c r="B1527" t="s">
        <v>952</v>
      </c>
      <c r="C1527" t="s">
        <v>2304</v>
      </c>
      <c r="E1527" t="s">
        <v>124</v>
      </c>
    </row>
    <row r="1528" spans="1:5">
      <c r="A1528" t="s">
        <v>2477</v>
      </c>
      <c r="B1528" t="s">
        <v>963</v>
      </c>
      <c r="C1528" t="s">
        <v>2304</v>
      </c>
      <c r="E1528" t="s">
        <v>124</v>
      </c>
    </row>
    <row r="1529" spans="1:5">
      <c r="A1529" t="s">
        <v>946</v>
      </c>
      <c r="B1529" t="s">
        <v>946</v>
      </c>
      <c r="C1529" t="s">
        <v>2304</v>
      </c>
      <c r="E1529" t="s">
        <v>124</v>
      </c>
    </row>
    <row r="1530" spans="1:5">
      <c r="A1530" t="s">
        <v>945</v>
      </c>
      <c r="B1530" t="s">
        <v>945</v>
      </c>
      <c r="C1530" t="s">
        <v>2304</v>
      </c>
      <c r="E1530" t="s">
        <v>124</v>
      </c>
    </row>
    <row r="1531" spans="1:5">
      <c r="A1531" t="s">
        <v>2478</v>
      </c>
      <c r="B1531" t="s">
        <v>2478</v>
      </c>
      <c r="C1531" t="s">
        <v>2304</v>
      </c>
      <c r="E1531" t="s">
        <v>124</v>
      </c>
    </row>
    <row r="1532" spans="1:5">
      <c r="A1532" t="s">
        <v>2479</v>
      </c>
      <c r="B1532" t="s">
        <v>2479</v>
      </c>
      <c r="C1532" t="s">
        <v>2304</v>
      </c>
      <c r="E1532" t="s">
        <v>124</v>
      </c>
    </row>
    <row r="1533" spans="1:5">
      <c r="A1533" t="s">
        <v>2480</v>
      </c>
      <c r="B1533" t="s">
        <v>910</v>
      </c>
      <c r="C1533" t="s">
        <v>2304</v>
      </c>
      <c r="E1533" t="s">
        <v>124</v>
      </c>
    </row>
    <row r="1534" spans="1:5">
      <c r="A1534" t="s">
        <v>2481</v>
      </c>
      <c r="B1534" t="s">
        <v>2481</v>
      </c>
      <c r="C1534" t="s">
        <v>2304</v>
      </c>
      <c r="E1534" t="s">
        <v>803</v>
      </c>
    </row>
    <row r="1535" spans="1:5">
      <c r="A1535" t="s">
        <v>2482</v>
      </c>
      <c r="B1535" t="s">
        <v>2482</v>
      </c>
      <c r="C1535" t="s">
        <v>2304</v>
      </c>
      <c r="E1535" t="s">
        <v>1124</v>
      </c>
    </row>
    <row r="1536" spans="1:5">
      <c r="A1536" t="s">
        <v>2483</v>
      </c>
      <c r="B1536" t="s">
        <v>2483</v>
      </c>
      <c r="C1536" t="s">
        <v>2304</v>
      </c>
      <c r="E1536" t="s">
        <v>1783</v>
      </c>
    </row>
    <row r="1537" spans="1:5">
      <c r="A1537" t="s">
        <v>2484</v>
      </c>
      <c r="B1537" t="s">
        <v>2484</v>
      </c>
      <c r="C1537" t="s">
        <v>2304</v>
      </c>
      <c r="E1537" t="s">
        <v>1124</v>
      </c>
    </row>
    <row r="1538" spans="1:5">
      <c r="A1538" t="s">
        <v>2485</v>
      </c>
      <c r="B1538" t="s">
        <v>2485</v>
      </c>
      <c r="C1538" t="s">
        <v>2304</v>
      </c>
      <c r="E1538" t="s">
        <v>124</v>
      </c>
    </row>
    <row r="1539" spans="1:5">
      <c r="A1539" t="s">
        <v>2486</v>
      </c>
      <c r="B1539" t="s">
        <v>2486</v>
      </c>
      <c r="C1539" t="s">
        <v>2304</v>
      </c>
      <c r="E1539" t="s">
        <v>1124</v>
      </c>
    </row>
    <row r="1540" spans="1:5">
      <c r="A1540" t="s">
        <v>2487</v>
      </c>
      <c r="B1540" t="s">
        <v>2487</v>
      </c>
      <c r="C1540" t="s">
        <v>2304</v>
      </c>
      <c r="E1540" t="s">
        <v>1124</v>
      </c>
    </row>
    <row r="1541" spans="1:5">
      <c r="A1541" t="s">
        <v>2488</v>
      </c>
      <c r="B1541" t="s">
        <v>2489</v>
      </c>
      <c r="C1541" t="s">
        <v>2304</v>
      </c>
      <c r="E1541" t="s">
        <v>1124</v>
      </c>
    </row>
    <row r="1542" spans="1:5">
      <c r="A1542" t="s">
        <v>2490</v>
      </c>
      <c r="B1542" t="s">
        <v>2490</v>
      </c>
      <c r="C1542" t="s">
        <v>2304</v>
      </c>
      <c r="E1542" t="s">
        <v>1124</v>
      </c>
    </row>
    <row r="1543" spans="1:5">
      <c r="A1543" t="s">
        <v>2491</v>
      </c>
      <c r="B1543" t="s">
        <v>2491</v>
      </c>
      <c r="C1543" t="s">
        <v>2304</v>
      </c>
      <c r="E1543" t="s">
        <v>287</v>
      </c>
    </row>
    <row r="1544" spans="1:5">
      <c r="A1544" t="s">
        <v>2492</v>
      </c>
      <c r="B1544" t="s">
        <v>2492</v>
      </c>
      <c r="C1544" t="s">
        <v>2304</v>
      </c>
      <c r="E1544" t="s">
        <v>1124</v>
      </c>
    </row>
    <row r="1545" spans="1:5">
      <c r="A1545" t="s">
        <v>2493</v>
      </c>
      <c r="B1545" t="s">
        <v>2494</v>
      </c>
      <c r="C1545" t="s">
        <v>2304</v>
      </c>
      <c r="E1545" t="s">
        <v>124</v>
      </c>
    </row>
    <row r="1546" spans="1:5">
      <c r="A1546" t="s">
        <v>2495</v>
      </c>
      <c r="B1546" t="s">
        <v>2495</v>
      </c>
      <c r="C1546" t="s">
        <v>2304</v>
      </c>
      <c r="E1546" t="s">
        <v>1124</v>
      </c>
    </row>
    <row r="1547" spans="1:5">
      <c r="A1547" t="s">
        <v>2496</v>
      </c>
      <c r="B1547" t="s">
        <v>2496</v>
      </c>
      <c r="C1547" t="s">
        <v>2304</v>
      </c>
      <c r="E1547" t="s">
        <v>1124</v>
      </c>
    </row>
    <row r="1548" spans="1:5">
      <c r="A1548" t="s">
        <v>2497</v>
      </c>
      <c r="B1548" t="s">
        <v>2497</v>
      </c>
      <c r="C1548" t="s">
        <v>2304</v>
      </c>
      <c r="E1548" t="s">
        <v>1783</v>
      </c>
    </row>
    <row r="1549" spans="1:5">
      <c r="A1549" t="s">
        <v>2498</v>
      </c>
      <c r="B1549" t="s">
        <v>2498</v>
      </c>
      <c r="C1549" t="s">
        <v>2304</v>
      </c>
      <c r="E1549" t="s">
        <v>1124</v>
      </c>
    </row>
    <row r="1550" spans="1:5">
      <c r="A1550" t="s">
        <v>2499</v>
      </c>
      <c r="B1550" t="s">
        <v>2499</v>
      </c>
      <c r="C1550" t="s">
        <v>2304</v>
      </c>
      <c r="E1550" t="s">
        <v>1783</v>
      </c>
    </row>
    <row r="1551" spans="1:5">
      <c r="A1551" t="s">
        <v>2500</v>
      </c>
      <c r="B1551" t="s">
        <v>2500</v>
      </c>
      <c r="C1551" t="s">
        <v>2304</v>
      </c>
      <c r="E1551" t="s">
        <v>1783</v>
      </c>
    </row>
    <row r="1552" spans="1:5">
      <c r="A1552" t="s">
        <v>2501</v>
      </c>
      <c r="B1552" t="s">
        <v>2501</v>
      </c>
      <c r="C1552" t="s">
        <v>2304</v>
      </c>
      <c r="E1552" t="s">
        <v>1783</v>
      </c>
    </row>
    <row r="1553" spans="1:5">
      <c r="A1553" t="s">
        <v>2502</v>
      </c>
      <c r="B1553" t="s">
        <v>2502</v>
      </c>
      <c r="C1553" t="s">
        <v>2304</v>
      </c>
      <c r="E1553" t="s">
        <v>1124</v>
      </c>
    </row>
    <row r="1554" spans="1:5">
      <c r="A1554" t="s">
        <v>2503</v>
      </c>
      <c r="B1554" t="s">
        <v>2503</v>
      </c>
      <c r="C1554" t="s">
        <v>2304</v>
      </c>
      <c r="E1554" t="s">
        <v>1124</v>
      </c>
    </row>
    <row r="1555" spans="1:5">
      <c r="A1555" t="s">
        <v>2504</v>
      </c>
      <c r="B1555" t="s">
        <v>2504</v>
      </c>
      <c r="C1555" t="s">
        <v>2304</v>
      </c>
      <c r="E1555" t="s">
        <v>1124</v>
      </c>
    </row>
    <row r="1556" spans="1:5">
      <c r="A1556" t="s">
        <v>926</v>
      </c>
      <c r="B1556" t="s">
        <v>926</v>
      </c>
      <c r="C1556" t="s">
        <v>2304</v>
      </c>
      <c r="E1556" t="s">
        <v>124</v>
      </c>
    </row>
    <row r="1557" spans="1:5">
      <c r="A1557" t="s">
        <v>923</v>
      </c>
      <c r="B1557" t="s">
        <v>923</v>
      </c>
      <c r="C1557" t="s">
        <v>2304</v>
      </c>
      <c r="E1557" t="s">
        <v>124</v>
      </c>
    </row>
    <row r="1558" spans="1:5">
      <c r="A1558" t="s">
        <v>924</v>
      </c>
      <c r="B1558" t="s">
        <v>924</v>
      </c>
      <c r="C1558" t="s">
        <v>2304</v>
      </c>
      <c r="E1558" t="s">
        <v>124</v>
      </c>
    </row>
    <row r="1559" spans="1:5">
      <c r="A1559" t="s">
        <v>2505</v>
      </c>
      <c r="B1559" t="s">
        <v>925</v>
      </c>
      <c r="C1559" t="s">
        <v>2304</v>
      </c>
      <c r="E1559" t="s">
        <v>124</v>
      </c>
    </row>
    <row r="1560" spans="1:5">
      <c r="A1560" t="s">
        <v>928</v>
      </c>
      <c r="B1560" t="s">
        <v>928</v>
      </c>
      <c r="C1560" t="s">
        <v>2304</v>
      </c>
      <c r="E1560" t="s">
        <v>124</v>
      </c>
    </row>
    <row r="1561" spans="1:5">
      <c r="A1561" t="s">
        <v>927</v>
      </c>
      <c r="B1561" t="s">
        <v>927</v>
      </c>
      <c r="C1561" t="s">
        <v>2304</v>
      </c>
      <c r="E1561" t="s">
        <v>124</v>
      </c>
    </row>
    <row r="1562" spans="1:5">
      <c r="A1562" t="s">
        <v>2506</v>
      </c>
      <c r="B1562" t="s">
        <v>2506</v>
      </c>
      <c r="C1562" t="s">
        <v>2304</v>
      </c>
      <c r="E1562" t="s">
        <v>287</v>
      </c>
    </row>
    <row r="1563" spans="1:5">
      <c r="A1563" t="s">
        <v>2507</v>
      </c>
      <c r="B1563" t="s">
        <v>2507</v>
      </c>
      <c r="C1563" t="s">
        <v>2304</v>
      </c>
      <c r="E1563" t="s">
        <v>287</v>
      </c>
    </row>
    <row r="1564" spans="1:5">
      <c r="A1564" t="s">
        <v>2508</v>
      </c>
      <c r="B1564" t="s">
        <v>2508</v>
      </c>
      <c r="C1564" t="s">
        <v>2304</v>
      </c>
      <c r="E1564" t="s">
        <v>124</v>
      </c>
    </row>
    <row r="1565" spans="1:5">
      <c r="A1565" t="s">
        <v>2509</v>
      </c>
      <c r="B1565" t="s">
        <v>2509</v>
      </c>
      <c r="C1565" t="s">
        <v>2304</v>
      </c>
      <c r="E1565" t="s">
        <v>1783</v>
      </c>
    </row>
    <row r="1566" spans="1:5">
      <c r="A1566" t="s">
        <v>2510</v>
      </c>
      <c r="B1566" t="s">
        <v>2510</v>
      </c>
      <c r="C1566" t="s">
        <v>2304</v>
      </c>
      <c r="E1566" t="s">
        <v>1783</v>
      </c>
    </row>
    <row r="1567" spans="1:5">
      <c r="A1567" t="s">
        <v>902</v>
      </c>
      <c r="B1567" t="s">
        <v>902</v>
      </c>
      <c r="C1567" t="s">
        <v>2304</v>
      </c>
      <c r="E1567" t="s">
        <v>124</v>
      </c>
    </row>
    <row r="1568" spans="1:5">
      <c r="A1568" t="s">
        <v>2511</v>
      </c>
      <c r="B1568" t="s">
        <v>2511</v>
      </c>
      <c r="C1568" t="s">
        <v>2304</v>
      </c>
      <c r="E1568" t="s">
        <v>124</v>
      </c>
    </row>
    <row r="1569" spans="1:5">
      <c r="A1569" t="s">
        <v>958</v>
      </c>
      <c r="B1569" t="s">
        <v>958</v>
      </c>
      <c r="C1569" t="s">
        <v>2304</v>
      </c>
      <c r="E1569" t="s">
        <v>124</v>
      </c>
    </row>
    <row r="1570" spans="1:5">
      <c r="A1570" t="s">
        <v>935</v>
      </c>
      <c r="B1570" t="s">
        <v>935</v>
      </c>
      <c r="C1570" t="s">
        <v>2304</v>
      </c>
      <c r="E1570" t="s">
        <v>124</v>
      </c>
    </row>
    <row r="1571" spans="1:5">
      <c r="A1571" t="s">
        <v>2512</v>
      </c>
      <c r="B1571" t="s">
        <v>2512</v>
      </c>
      <c r="C1571" t="s">
        <v>2304</v>
      </c>
      <c r="E1571" t="s">
        <v>287</v>
      </c>
    </row>
    <row r="1572" spans="1:5">
      <c r="A1572" t="s">
        <v>2513</v>
      </c>
      <c r="B1572" t="s">
        <v>2513</v>
      </c>
      <c r="C1572" t="s">
        <v>2304</v>
      </c>
      <c r="E1572" t="s">
        <v>287</v>
      </c>
    </row>
    <row r="1573" spans="1:5">
      <c r="A1573" t="s">
        <v>2514</v>
      </c>
      <c r="B1573" t="s">
        <v>2514</v>
      </c>
      <c r="C1573" t="s">
        <v>2304</v>
      </c>
      <c r="E1573" t="s">
        <v>287</v>
      </c>
    </row>
    <row r="1574" spans="1:5">
      <c r="A1574" t="s">
        <v>2515</v>
      </c>
      <c r="B1574" t="s">
        <v>2515</v>
      </c>
      <c r="C1574" t="s">
        <v>2304</v>
      </c>
      <c r="E1574" t="s">
        <v>124</v>
      </c>
    </row>
    <row r="1575" spans="1:5">
      <c r="A1575" t="s">
        <v>959</v>
      </c>
      <c r="B1575" t="s">
        <v>959</v>
      </c>
      <c r="C1575" t="s">
        <v>2304</v>
      </c>
      <c r="E1575" t="s">
        <v>124</v>
      </c>
    </row>
    <row r="1576" spans="1:5">
      <c r="A1576" t="s">
        <v>2516</v>
      </c>
      <c r="B1576" t="s">
        <v>2516</v>
      </c>
      <c r="C1576" t="s">
        <v>2304</v>
      </c>
      <c r="E1576" t="s">
        <v>124</v>
      </c>
    </row>
    <row r="1577" spans="1:5">
      <c r="A1577" t="s">
        <v>2517</v>
      </c>
      <c r="B1577" t="s">
        <v>2517</v>
      </c>
      <c r="C1577" t="s">
        <v>2304</v>
      </c>
      <c r="E1577" t="s">
        <v>124</v>
      </c>
    </row>
    <row r="1578" spans="1:5">
      <c r="A1578" t="s">
        <v>2518</v>
      </c>
      <c r="B1578" t="s">
        <v>2518</v>
      </c>
      <c r="C1578" t="s">
        <v>2304</v>
      </c>
      <c r="E1578" t="s">
        <v>124</v>
      </c>
    </row>
    <row r="1579" spans="1:5">
      <c r="A1579" t="s">
        <v>2519</v>
      </c>
      <c r="B1579" t="s">
        <v>2519</v>
      </c>
      <c r="C1579" t="s">
        <v>2304</v>
      </c>
      <c r="E1579" t="s">
        <v>124</v>
      </c>
    </row>
    <row r="1580" spans="1:5">
      <c r="A1580" t="s">
        <v>2520</v>
      </c>
      <c r="B1580" t="s">
        <v>2520</v>
      </c>
      <c r="C1580" t="s">
        <v>2304</v>
      </c>
      <c r="E1580" t="s">
        <v>1124</v>
      </c>
    </row>
    <row r="1581" spans="1:5">
      <c r="A1581" t="s">
        <v>2521</v>
      </c>
      <c r="B1581" t="s">
        <v>2521</v>
      </c>
      <c r="C1581" t="s">
        <v>2304</v>
      </c>
      <c r="E1581" t="s">
        <v>1124</v>
      </c>
    </row>
    <row r="1582" spans="1:5">
      <c r="A1582" t="s">
        <v>2522</v>
      </c>
      <c r="B1582" t="s">
        <v>2522</v>
      </c>
      <c r="C1582" t="s">
        <v>2304</v>
      </c>
      <c r="E1582" t="s">
        <v>1124</v>
      </c>
    </row>
    <row r="1583" spans="1:5">
      <c r="A1583" t="s">
        <v>2523</v>
      </c>
      <c r="B1583" t="s">
        <v>2523</v>
      </c>
      <c r="C1583" t="s">
        <v>2304</v>
      </c>
      <c r="E1583" t="s">
        <v>1124</v>
      </c>
    </row>
    <row r="1584" spans="1:5">
      <c r="A1584" t="s">
        <v>2524</v>
      </c>
      <c r="B1584" t="s">
        <v>2524</v>
      </c>
      <c r="C1584" t="s">
        <v>2304</v>
      </c>
      <c r="E1584" t="s">
        <v>1124</v>
      </c>
    </row>
    <row r="1585" spans="1:5">
      <c r="A1585" t="s">
        <v>2525</v>
      </c>
      <c r="B1585" t="s">
        <v>2525</v>
      </c>
      <c r="C1585" t="s">
        <v>2304</v>
      </c>
      <c r="E1585" t="s">
        <v>124</v>
      </c>
    </row>
    <row r="1586" spans="1:5">
      <c r="A1586" t="s">
        <v>2526</v>
      </c>
      <c r="B1586" t="s">
        <v>2526</v>
      </c>
      <c r="C1586" t="s">
        <v>2304</v>
      </c>
      <c r="E1586" t="s">
        <v>1783</v>
      </c>
    </row>
    <row r="1587" spans="1:5">
      <c r="A1587" t="s">
        <v>2527</v>
      </c>
      <c r="B1587" t="s">
        <v>2527</v>
      </c>
      <c r="C1587" t="s">
        <v>2304</v>
      </c>
      <c r="E1587" t="s">
        <v>1783</v>
      </c>
    </row>
    <row r="1588" spans="1:5">
      <c r="A1588" t="s">
        <v>2528</v>
      </c>
      <c r="B1588" t="s">
        <v>2528</v>
      </c>
      <c r="C1588" t="s">
        <v>2304</v>
      </c>
      <c r="E1588" t="s">
        <v>124</v>
      </c>
    </row>
    <row r="1589" spans="1:5">
      <c r="A1589" t="s">
        <v>2529</v>
      </c>
      <c r="B1589" t="s">
        <v>2530</v>
      </c>
      <c r="C1589" t="s">
        <v>2304</v>
      </c>
      <c r="E1589" t="s">
        <v>1124</v>
      </c>
    </row>
    <row r="1590" spans="1:5">
      <c r="A1590" t="s">
        <v>2531</v>
      </c>
      <c r="B1590" t="s">
        <v>2531</v>
      </c>
      <c r="C1590" t="s">
        <v>2304</v>
      </c>
      <c r="E1590" t="s">
        <v>1124</v>
      </c>
    </row>
    <row r="1591" spans="1:5">
      <c r="A1591" t="s">
        <v>2532</v>
      </c>
      <c r="B1591" t="s">
        <v>2532</v>
      </c>
      <c r="C1591" t="s">
        <v>2304</v>
      </c>
      <c r="E1591" t="s">
        <v>124</v>
      </c>
    </row>
    <row r="1592" spans="1:5">
      <c r="A1592" t="s">
        <v>2533</v>
      </c>
      <c r="B1592" t="s">
        <v>2533</v>
      </c>
      <c r="C1592" t="s">
        <v>2304</v>
      </c>
      <c r="E1592" t="s">
        <v>1124</v>
      </c>
    </row>
    <row r="1593" spans="1:5">
      <c r="A1593" t="s">
        <v>2534</v>
      </c>
      <c r="B1593" t="s">
        <v>2534</v>
      </c>
      <c r="C1593" t="s">
        <v>2304</v>
      </c>
      <c r="E1593" t="s">
        <v>124</v>
      </c>
    </row>
    <row r="1594" spans="1:5">
      <c r="A1594" t="s">
        <v>961</v>
      </c>
      <c r="B1594" t="s">
        <v>961</v>
      </c>
      <c r="C1594" t="s">
        <v>2304</v>
      </c>
      <c r="E1594" t="s">
        <v>124</v>
      </c>
    </row>
    <row r="1595" spans="1:5">
      <c r="A1595" t="s">
        <v>2535</v>
      </c>
      <c r="B1595" t="s">
        <v>2535</v>
      </c>
      <c r="C1595" t="s">
        <v>2304</v>
      </c>
      <c r="E1595" t="s">
        <v>287</v>
      </c>
    </row>
    <row r="1596" spans="1:5">
      <c r="A1596" t="s">
        <v>2536</v>
      </c>
      <c r="B1596" t="s">
        <v>2536</v>
      </c>
      <c r="C1596" t="s">
        <v>2304</v>
      </c>
      <c r="E1596" t="s">
        <v>124</v>
      </c>
    </row>
    <row r="1597" spans="1:5">
      <c r="A1597" t="s">
        <v>913</v>
      </c>
      <c r="B1597" t="s">
        <v>913</v>
      </c>
      <c r="C1597" t="s">
        <v>2304</v>
      </c>
      <c r="E1597" t="s">
        <v>124</v>
      </c>
    </row>
    <row r="1598" spans="1:5">
      <c r="A1598" t="s">
        <v>2537</v>
      </c>
      <c r="B1598" t="s">
        <v>2537</v>
      </c>
      <c r="C1598" t="s">
        <v>2304</v>
      </c>
      <c r="E1598" t="s">
        <v>124</v>
      </c>
    </row>
    <row r="1599" spans="1:5">
      <c r="A1599" t="s">
        <v>2538</v>
      </c>
      <c r="B1599" t="s">
        <v>2538</v>
      </c>
      <c r="C1599" t="s">
        <v>2304</v>
      </c>
      <c r="E1599" t="s">
        <v>1124</v>
      </c>
    </row>
    <row r="1600" spans="1:5">
      <c r="A1600" t="s">
        <v>2539</v>
      </c>
      <c r="B1600" t="s">
        <v>2539</v>
      </c>
      <c r="C1600" t="s">
        <v>2304</v>
      </c>
      <c r="E1600" t="s">
        <v>1124</v>
      </c>
    </row>
    <row r="1601" spans="1:5">
      <c r="A1601" t="s">
        <v>2540</v>
      </c>
      <c r="B1601" t="s">
        <v>2540</v>
      </c>
      <c r="C1601" t="s">
        <v>2304</v>
      </c>
      <c r="E1601" t="s">
        <v>124</v>
      </c>
    </row>
    <row r="1602" spans="1:5">
      <c r="A1602" t="s">
        <v>2541</v>
      </c>
      <c r="B1602" t="s">
        <v>2541</v>
      </c>
      <c r="C1602" t="s">
        <v>2304</v>
      </c>
      <c r="E1602" t="s">
        <v>124</v>
      </c>
    </row>
    <row r="1603" spans="1:5">
      <c r="A1603" t="s">
        <v>2542</v>
      </c>
      <c r="B1603" t="s">
        <v>2542</v>
      </c>
      <c r="C1603" t="s">
        <v>2304</v>
      </c>
      <c r="E1603" t="s">
        <v>124</v>
      </c>
    </row>
    <row r="1604" spans="1:5">
      <c r="A1604" t="s">
        <v>2543</v>
      </c>
      <c r="B1604" t="s">
        <v>2543</v>
      </c>
      <c r="C1604" t="s">
        <v>2304</v>
      </c>
      <c r="E1604" t="s">
        <v>124</v>
      </c>
    </row>
    <row r="1605" spans="1:5">
      <c r="A1605" t="s">
        <v>2544</v>
      </c>
      <c r="B1605" t="s">
        <v>2544</v>
      </c>
      <c r="C1605" t="s">
        <v>2304</v>
      </c>
      <c r="E1605" t="s">
        <v>124</v>
      </c>
    </row>
    <row r="1606" spans="1:5">
      <c r="A1606" t="s">
        <v>2545</v>
      </c>
      <c r="B1606" t="s">
        <v>2545</v>
      </c>
      <c r="C1606" t="s">
        <v>2304</v>
      </c>
      <c r="E1606" t="s">
        <v>124</v>
      </c>
    </row>
    <row r="1607" spans="1:5">
      <c r="A1607" t="s">
        <v>2546</v>
      </c>
      <c r="B1607" t="s">
        <v>2546</v>
      </c>
      <c r="C1607" t="s">
        <v>2304</v>
      </c>
      <c r="E1607" t="s">
        <v>124</v>
      </c>
    </row>
    <row r="1608" spans="1:5">
      <c r="A1608" t="s">
        <v>2547</v>
      </c>
      <c r="B1608" t="s">
        <v>2547</v>
      </c>
      <c r="C1608" t="s">
        <v>2304</v>
      </c>
      <c r="E1608" t="s">
        <v>124</v>
      </c>
    </row>
    <row r="1609" spans="1:5">
      <c r="A1609" t="s">
        <v>2548</v>
      </c>
      <c r="B1609" t="s">
        <v>2548</v>
      </c>
      <c r="C1609" t="s">
        <v>2304</v>
      </c>
      <c r="E1609" t="s">
        <v>287</v>
      </c>
    </row>
    <row r="1610" spans="1:5">
      <c r="A1610" t="s">
        <v>2549</v>
      </c>
      <c r="B1610" t="s">
        <v>2550</v>
      </c>
      <c r="C1610" t="s">
        <v>2304</v>
      </c>
      <c r="E1610" t="s">
        <v>316</v>
      </c>
    </row>
    <row r="1611" spans="1:5">
      <c r="A1611" t="s">
        <v>2551</v>
      </c>
      <c r="B1611" t="s">
        <v>2551</v>
      </c>
      <c r="C1611" t="s">
        <v>2304</v>
      </c>
      <c r="E1611" t="s">
        <v>287</v>
      </c>
    </row>
    <row r="1612" spans="1:5">
      <c r="A1612" t="s">
        <v>2552</v>
      </c>
      <c r="B1612" t="s">
        <v>2552</v>
      </c>
      <c r="C1612" t="s">
        <v>2304</v>
      </c>
      <c r="E1612" t="s">
        <v>124</v>
      </c>
    </row>
    <row r="1613" spans="1:5">
      <c r="A1613" t="s">
        <v>2553</v>
      </c>
      <c r="B1613" t="s">
        <v>2553</v>
      </c>
      <c r="C1613" t="s">
        <v>2304</v>
      </c>
      <c r="E1613" t="s">
        <v>547</v>
      </c>
    </row>
    <row r="1614" spans="1:5">
      <c r="A1614" t="s">
        <v>891</v>
      </c>
      <c r="B1614" t="s">
        <v>891</v>
      </c>
      <c r="C1614" t="s">
        <v>2304</v>
      </c>
      <c r="E1614" t="s">
        <v>124</v>
      </c>
    </row>
    <row r="1615" spans="1:5">
      <c r="A1615" t="s">
        <v>2554</v>
      </c>
      <c r="B1615" t="s">
        <v>2555</v>
      </c>
      <c r="C1615" t="s">
        <v>2304</v>
      </c>
      <c r="E1615" t="s">
        <v>124</v>
      </c>
    </row>
    <row r="1616" spans="1:5">
      <c r="A1616" t="s">
        <v>2556</v>
      </c>
      <c r="B1616" t="s">
        <v>2556</v>
      </c>
      <c r="C1616" t="s">
        <v>2304</v>
      </c>
      <c r="E1616" t="s">
        <v>124</v>
      </c>
    </row>
    <row r="1617" spans="1:5">
      <c r="A1617" t="s">
        <v>2557</v>
      </c>
      <c r="B1617" t="s">
        <v>2557</v>
      </c>
      <c r="C1617" t="s">
        <v>2304</v>
      </c>
      <c r="E1617" t="s">
        <v>1124</v>
      </c>
    </row>
    <row r="1618" spans="1:5">
      <c r="A1618" t="s">
        <v>2558</v>
      </c>
      <c r="B1618" t="s">
        <v>2558</v>
      </c>
      <c r="C1618" t="s">
        <v>2304</v>
      </c>
      <c r="E1618" t="s">
        <v>1124</v>
      </c>
    </row>
    <row r="1619" spans="1:5">
      <c r="A1619" t="s">
        <v>2559</v>
      </c>
      <c r="B1619" t="s">
        <v>909</v>
      </c>
      <c r="C1619" t="s">
        <v>2304</v>
      </c>
      <c r="E1619" t="s">
        <v>124</v>
      </c>
    </row>
    <row r="1620" spans="1:5">
      <c r="A1620" t="s">
        <v>2560</v>
      </c>
      <c r="B1620" t="s">
        <v>2560</v>
      </c>
      <c r="C1620" t="s">
        <v>2304</v>
      </c>
      <c r="E1620" t="s">
        <v>287</v>
      </c>
    </row>
    <row r="1621" spans="1:5">
      <c r="A1621" t="s">
        <v>2561</v>
      </c>
      <c r="B1621" t="s">
        <v>2561</v>
      </c>
      <c r="C1621" t="s">
        <v>2304</v>
      </c>
      <c r="E1621" t="s">
        <v>1124</v>
      </c>
    </row>
    <row r="1622" spans="1:5">
      <c r="A1622" t="s">
        <v>2562</v>
      </c>
      <c r="B1622" t="s">
        <v>2563</v>
      </c>
      <c r="C1622" t="s">
        <v>2304</v>
      </c>
      <c r="E1622" t="s">
        <v>124</v>
      </c>
    </row>
    <row r="1623" spans="1:5">
      <c r="A1623" t="s">
        <v>2564</v>
      </c>
      <c r="B1623" t="s">
        <v>2564</v>
      </c>
      <c r="C1623" t="s">
        <v>2304</v>
      </c>
      <c r="E1623" t="s">
        <v>287</v>
      </c>
    </row>
    <row r="1624" spans="1:5">
      <c r="A1624" t="s">
        <v>2565</v>
      </c>
      <c r="B1624" t="s">
        <v>912</v>
      </c>
      <c r="C1624" t="s">
        <v>2304</v>
      </c>
      <c r="E1624" t="s">
        <v>124</v>
      </c>
    </row>
    <row r="1625" spans="1:5">
      <c r="A1625" t="s">
        <v>2566</v>
      </c>
      <c r="B1625" t="s">
        <v>2566</v>
      </c>
      <c r="C1625" t="s">
        <v>2304</v>
      </c>
      <c r="E1625" t="s">
        <v>2306</v>
      </c>
    </row>
    <row r="1626" spans="1:5">
      <c r="A1626" t="s">
        <v>2567</v>
      </c>
      <c r="B1626" t="s">
        <v>2567</v>
      </c>
      <c r="C1626" t="s">
        <v>2304</v>
      </c>
      <c r="E1626" t="s">
        <v>1783</v>
      </c>
    </row>
    <row r="1627" spans="1:5">
      <c r="A1627" t="s">
        <v>907</v>
      </c>
      <c r="B1627" t="s">
        <v>907</v>
      </c>
      <c r="C1627" t="s">
        <v>2304</v>
      </c>
      <c r="E1627" t="s">
        <v>124</v>
      </c>
    </row>
    <row r="1628" spans="1:5">
      <c r="A1628" t="s">
        <v>2568</v>
      </c>
      <c r="B1628" t="s">
        <v>2568</v>
      </c>
      <c r="C1628" t="s">
        <v>2304</v>
      </c>
      <c r="E1628" t="s">
        <v>124</v>
      </c>
    </row>
    <row r="1629" spans="1:5">
      <c r="A1629" t="s">
        <v>2569</v>
      </c>
      <c r="B1629" t="s">
        <v>2569</v>
      </c>
      <c r="C1629" t="s">
        <v>2304</v>
      </c>
      <c r="E1629" t="s">
        <v>1124</v>
      </c>
    </row>
    <row r="1630" spans="1:5">
      <c r="A1630" t="s">
        <v>2570</v>
      </c>
      <c r="B1630" t="s">
        <v>2570</v>
      </c>
      <c r="C1630" t="s">
        <v>2304</v>
      </c>
      <c r="E1630" t="s">
        <v>287</v>
      </c>
    </row>
    <row r="1631" spans="1:5">
      <c r="A1631" t="s">
        <v>957</v>
      </c>
      <c r="B1631" t="s">
        <v>957</v>
      </c>
      <c r="C1631" t="s">
        <v>2304</v>
      </c>
      <c r="E1631" t="s">
        <v>124</v>
      </c>
    </row>
    <row r="1632" spans="1:5">
      <c r="A1632" t="s">
        <v>2571</v>
      </c>
      <c r="B1632" t="s">
        <v>2571</v>
      </c>
      <c r="C1632" t="s">
        <v>2304</v>
      </c>
      <c r="E1632" t="s">
        <v>1124</v>
      </c>
    </row>
    <row r="1633" spans="1:5">
      <c r="A1633" t="s">
        <v>2572</v>
      </c>
      <c r="B1633" t="s">
        <v>2572</v>
      </c>
      <c r="C1633" t="s">
        <v>2304</v>
      </c>
      <c r="E1633" t="s">
        <v>1124</v>
      </c>
    </row>
    <row r="1634" spans="1:5">
      <c r="A1634" t="s">
        <v>2573</v>
      </c>
      <c r="B1634" t="s">
        <v>2573</v>
      </c>
      <c r="C1634" t="s">
        <v>2304</v>
      </c>
      <c r="E1634" t="s">
        <v>1124</v>
      </c>
    </row>
    <row r="1635" spans="1:5">
      <c r="A1635" t="s">
        <v>2574</v>
      </c>
      <c r="B1635" t="s">
        <v>2574</v>
      </c>
      <c r="C1635" t="s">
        <v>2304</v>
      </c>
      <c r="E1635" t="s">
        <v>1783</v>
      </c>
    </row>
    <row r="1636" spans="1:5">
      <c r="A1636" t="s">
        <v>2575</v>
      </c>
      <c r="B1636" t="s">
        <v>2575</v>
      </c>
      <c r="C1636" t="s">
        <v>2304</v>
      </c>
      <c r="E1636" t="s">
        <v>1124</v>
      </c>
    </row>
    <row r="1637" spans="1:5">
      <c r="A1637" t="s">
        <v>2576</v>
      </c>
      <c r="B1637" t="s">
        <v>2576</v>
      </c>
      <c r="C1637" t="s">
        <v>2304</v>
      </c>
      <c r="E1637" t="s">
        <v>1124</v>
      </c>
    </row>
    <row r="1638" spans="1:5">
      <c r="A1638" t="s">
        <v>2577</v>
      </c>
      <c r="B1638" t="s">
        <v>2577</v>
      </c>
      <c r="C1638" t="s">
        <v>2304</v>
      </c>
      <c r="E1638" t="s">
        <v>1124</v>
      </c>
    </row>
    <row r="1639" spans="1:5">
      <c r="A1639" t="s">
        <v>2578</v>
      </c>
      <c r="B1639" t="s">
        <v>2578</v>
      </c>
      <c r="C1639" t="s">
        <v>2304</v>
      </c>
      <c r="E1639" t="s">
        <v>1783</v>
      </c>
    </row>
    <row r="1640" spans="1:5">
      <c r="A1640" t="s">
        <v>2579</v>
      </c>
      <c r="B1640" t="s">
        <v>2579</v>
      </c>
      <c r="C1640" t="s">
        <v>2304</v>
      </c>
      <c r="E1640" t="s">
        <v>1124</v>
      </c>
    </row>
    <row r="1641" spans="1:5">
      <c r="A1641" t="s">
        <v>2580</v>
      </c>
      <c r="B1641" t="s">
        <v>2580</v>
      </c>
      <c r="C1641" t="s">
        <v>2304</v>
      </c>
      <c r="E1641" t="s">
        <v>1124</v>
      </c>
    </row>
    <row r="1642" spans="1:5">
      <c r="A1642" t="s">
        <v>2581</v>
      </c>
      <c r="B1642" t="s">
        <v>2581</v>
      </c>
      <c r="C1642" t="s">
        <v>2304</v>
      </c>
      <c r="E1642" t="s">
        <v>1783</v>
      </c>
    </row>
    <row r="1643" spans="1:5">
      <c r="A1643" t="s">
        <v>2582</v>
      </c>
      <c r="B1643" t="s">
        <v>2582</v>
      </c>
      <c r="C1643" t="s">
        <v>2304</v>
      </c>
      <c r="E1643" t="s">
        <v>1124</v>
      </c>
    </row>
    <row r="1644" spans="1:5">
      <c r="A1644" t="s">
        <v>2583</v>
      </c>
      <c r="B1644" t="s">
        <v>2583</v>
      </c>
      <c r="C1644" t="s">
        <v>2304</v>
      </c>
      <c r="E1644" t="s">
        <v>1783</v>
      </c>
    </row>
    <row r="1645" spans="1:5">
      <c r="A1645" t="s">
        <v>2584</v>
      </c>
      <c r="B1645" t="s">
        <v>2584</v>
      </c>
      <c r="C1645" t="s">
        <v>2304</v>
      </c>
      <c r="E1645" t="s">
        <v>1783</v>
      </c>
    </row>
    <row r="1646" spans="1:5">
      <c r="A1646" t="s">
        <v>2585</v>
      </c>
      <c r="B1646" t="s">
        <v>2585</v>
      </c>
      <c r="C1646" t="s">
        <v>2304</v>
      </c>
      <c r="E1646" t="s">
        <v>1124</v>
      </c>
    </row>
    <row r="1647" spans="1:5">
      <c r="A1647" t="s">
        <v>2586</v>
      </c>
      <c r="B1647" t="s">
        <v>2586</v>
      </c>
      <c r="C1647" t="s">
        <v>2304</v>
      </c>
      <c r="E1647" t="s">
        <v>1124</v>
      </c>
    </row>
    <row r="1648" spans="1:5">
      <c r="A1648" t="s">
        <v>2587</v>
      </c>
      <c r="B1648" t="s">
        <v>2587</v>
      </c>
      <c r="C1648" t="s">
        <v>2304</v>
      </c>
      <c r="E1648" t="s">
        <v>1783</v>
      </c>
    </row>
    <row r="1649" spans="1:5">
      <c r="A1649" t="s">
        <v>2588</v>
      </c>
      <c r="B1649" t="s">
        <v>2588</v>
      </c>
      <c r="C1649" t="s">
        <v>2304</v>
      </c>
      <c r="E1649" t="s">
        <v>1124</v>
      </c>
    </row>
    <row r="1650" spans="1:5">
      <c r="A1650" t="s">
        <v>2589</v>
      </c>
      <c r="B1650" t="s">
        <v>2589</v>
      </c>
      <c r="C1650" t="s">
        <v>2304</v>
      </c>
      <c r="E1650" t="s">
        <v>1124</v>
      </c>
    </row>
    <row r="1651" spans="1:5">
      <c r="A1651" t="s">
        <v>2590</v>
      </c>
      <c r="B1651" t="s">
        <v>2590</v>
      </c>
      <c r="C1651" t="s">
        <v>2304</v>
      </c>
      <c r="E1651" t="s">
        <v>1124</v>
      </c>
    </row>
    <row r="1652" spans="1:5">
      <c r="A1652" t="s">
        <v>2591</v>
      </c>
      <c r="B1652" t="s">
        <v>2591</v>
      </c>
      <c r="C1652" t="s">
        <v>2304</v>
      </c>
      <c r="E1652" t="s">
        <v>1783</v>
      </c>
    </row>
    <row r="1653" spans="1:5">
      <c r="A1653" t="s">
        <v>2592</v>
      </c>
      <c r="B1653" t="s">
        <v>2592</v>
      </c>
      <c r="C1653" t="s">
        <v>2304</v>
      </c>
      <c r="E1653" t="s">
        <v>1124</v>
      </c>
    </row>
    <row r="1654" spans="1:5">
      <c r="A1654" t="s">
        <v>2593</v>
      </c>
      <c r="B1654" t="s">
        <v>2593</v>
      </c>
      <c r="C1654" t="s">
        <v>2304</v>
      </c>
      <c r="E1654" t="s">
        <v>1124</v>
      </c>
    </row>
    <row r="1655" spans="1:5">
      <c r="A1655" t="s">
        <v>2594</v>
      </c>
      <c r="B1655" t="s">
        <v>2594</v>
      </c>
      <c r="C1655" t="s">
        <v>2304</v>
      </c>
      <c r="E1655" t="s">
        <v>124</v>
      </c>
    </row>
    <row r="1656" spans="1:5">
      <c r="A1656" t="s">
        <v>2595</v>
      </c>
      <c r="B1656" t="s">
        <v>2595</v>
      </c>
      <c r="C1656" t="s">
        <v>2304</v>
      </c>
      <c r="E1656" t="s">
        <v>1124</v>
      </c>
    </row>
    <row r="1657" spans="1:5">
      <c r="A1657" t="s">
        <v>2596</v>
      </c>
      <c r="B1657" t="s">
        <v>2596</v>
      </c>
      <c r="C1657" t="s">
        <v>2304</v>
      </c>
      <c r="E1657" t="s">
        <v>1124</v>
      </c>
    </row>
    <row r="1658" spans="1:5">
      <c r="A1658" t="s">
        <v>2597</v>
      </c>
      <c r="B1658" t="s">
        <v>2597</v>
      </c>
      <c r="C1658" t="s">
        <v>2304</v>
      </c>
      <c r="E1658" t="s">
        <v>1124</v>
      </c>
    </row>
    <row r="1659" spans="1:5">
      <c r="A1659" t="s">
        <v>2598</v>
      </c>
      <c r="B1659" t="s">
        <v>2598</v>
      </c>
      <c r="C1659" t="s">
        <v>2304</v>
      </c>
      <c r="E1659" t="s">
        <v>1124</v>
      </c>
    </row>
    <row r="1660" spans="1:5">
      <c r="A1660" t="s">
        <v>2599</v>
      </c>
      <c r="B1660" t="s">
        <v>2599</v>
      </c>
      <c r="C1660" t="s">
        <v>2304</v>
      </c>
      <c r="E1660" t="s">
        <v>1124</v>
      </c>
    </row>
    <row r="1661" spans="1:5">
      <c r="A1661" t="s">
        <v>2600</v>
      </c>
      <c r="B1661" t="s">
        <v>2601</v>
      </c>
      <c r="C1661" t="s">
        <v>2304</v>
      </c>
      <c r="E1661" t="s">
        <v>124</v>
      </c>
    </row>
    <row r="1662" spans="1:5">
      <c r="A1662" t="s">
        <v>2602</v>
      </c>
      <c r="B1662" t="s">
        <v>2603</v>
      </c>
      <c r="C1662" t="s">
        <v>2304</v>
      </c>
      <c r="E1662" t="s">
        <v>124</v>
      </c>
    </row>
    <row r="1663" spans="1:5">
      <c r="A1663" t="s">
        <v>2604</v>
      </c>
      <c r="B1663" t="s">
        <v>2604</v>
      </c>
      <c r="C1663" t="s">
        <v>2304</v>
      </c>
      <c r="E1663" t="s">
        <v>124</v>
      </c>
    </row>
    <row r="1664" spans="1:5">
      <c r="A1664" t="s">
        <v>2605</v>
      </c>
      <c r="B1664" t="s">
        <v>2605</v>
      </c>
      <c r="C1664" t="s">
        <v>2304</v>
      </c>
      <c r="E1664" t="s">
        <v>1124</v>
      </c>
    </row>
    <row r="1665" spans="1:5">
      <c r="A1665" t="s">
        <v>2606</v>
      </c>
      <c r="B1665" t="s">
        <v>2606</v>
      </c>
      <c r="C1665" t="s">
        <v>2304</v>
      </c>
      <c r="E1665" t="s">
        <v>287</v>
      </c>
    </row>
    <row r="1666" spans="1:5">
      <c r="A1666" t="s">
        <v>2607</v>
      </c>
      <c r="B1666" t="s">
        <v>2607</v>
      </c>
      <c r="C1666" t="s">
        <v>2304</v>
      </c>
      <c r="E1666" t="s">
        <v>1124</v>
      </c>
    </row>
    <row r="1667" spans="1:5">
      <c r="A1667" t="s">
        <v>2608</v>
      </c>
      <c r="B1667" t="s">
        <v>2608</v>
      </c>
      <c r="C1667" t="s">
        <v>2304</v>
      </c>
      <c r="E1667" t="s">
        <v>1124</v>
      </c>
    </row>
    <row r="1668" spans="1:5">
      <c r="A1668" t="s">
        <v>2609</v>
      </c>
      <c r="B1668" t="s">
        <v>2609</v>
      </c>
      <c r="C1668" t="s">
        <v>2304</v>
      </c>
      <c r="E1668" t="s">
        <v>1124</v>
      </c>
    </row>
    <row r="1669" spans="1:5">
      <c r="A1669" t="s">
        <v>2610</v>
      </c>
      <c r="B1669" t="s">
        <v>2610</v>
      </c>
      <c r="C1669" t="s">
        <v>2304</v>
      </c>
      <c r="E1669" t="s">
        <v>124</v>
      </c>
    </row>
    <row r="1670" spans="1:5">
      <c r="A1670" t="s">
        <v>2611</v>
      </c>
      <c r="B1670" t="s">
        <v>2611</v>
      </c>
      <c r="C1670" t="s">
        <v>2304</v>
      </c>
      <c r="E1670" t="s">
        <v>1783</v>
      </c>
    </row>
    <row r="1671" spans="1:5">
      <c r="A1671" t="s">
        <v>2612</v>
      </c>
      <c r="B1671" t="s">
        <v>2612</v>
      </c>
      <c r="C1671" t="s">
        <v>2304</v>
      </c>
      <c r="E1671" t="s">
        <v>287</v>
      </c>
    </row>
    <row r="1672" spans="1:5">
      <c r="A1672" t="s">
        <v>2613</v>
      </c>
      <c r="B1672" t="s">
        <v>2613</v>
      </c>
      <c r="C1672" t="s">
        <v>2304</v>
      </c>
      <c r="E1672" t="s">
        <v>287</v>
      </c>
    </row>
    <row r="1673" spans="1:5">
      <c r="A1673" t="s">
        <v>2614</v>
      </c>
      <c r="B1673" t="s">
        <v>2614</v>
      </c>
      <c r="C1673" t="s">
        <v>2304</v>
      </c>
      <c r="E1673" t="s">
        <v>287</v>
      </c>
    </row>
    <row r="1674" spans="1:5">
      <c r="A1674" t="s">
        <v>2615</v>
      </c>
      <c r="B1674" t="s">
        <v>2615</v>
      </c>
      <c r="C1674" t="s">
        <v>2304</v>
      </c>
      <c r="E1674" t="s">
        <v>1124</v>
      </c>
    </row>
    <row r="1675" spans="1:5">
      <c r="A1675" t="s">
        <v>2616</v>
      </c>
      <c r="B1675" t="s">
        <v>2616</v>
      </c>
      <c r="C1675" t="s">
        <v>2304</v>
      </c>
      <c r="E1675" t="s">
        <v>2370</v>
      </c>
    </row>
    <row r="1676" spans="1:5">
      <c r="A1676" t="s">
        <v>2617</v>
      </c>
      <c r="B1676" t="s">
        <v>2617</v>
      </c>
      <c r="C1676" t="s">
        <v>2304</v>
      </c>
      <c r="E1676" t="s">
        <v>1124</v>
      </c>
    </row>
    <row r="1677" spans="1:5">
      <c r="A1677" t="s">
        <v>2618</v>
      </c>
      <c r="B1677" t="s">
        <v>2618</v>
      </c>
      <c r="C1677" t="s">
        <v>2304</v>
      </c>
      <c r="E1677" t="s">
        <v>1783</v>
      </c>
    </row>
    <row r="1678" spans="1:5">
      <c r="A1678" t="s">
        <v>2619</v>
      </c>
      <c r="B1678" t="s">
        <v>2619</v>
      </c>
      <c r="C1678" t="s">
        <v>2304</v>
      </c>
      <c r="E1678" t="s">
        <v>1783</v>
      </c>
    </row>
    <row r="1679" spans="1:5">
      <c r="A1679" t="s">
        <v>2620</v>
      </c>
      <c r="B1679" t="s">
        <v>2620</v>
      </c>
      <c r="C1679" t="s">
        <v>2304</v>
      </c>
      <c r="E1679" t="s">
        <v>1783</v>
      </c>
    </row>
    <row r="1680" s="63" customFormat="1" spans="1:5">
      <c r="A1680" s="63" t="s">
        <v>2621</v>
      </c>
      <c r="B1680" s="63" t="s">
        <v>2622</v>
      </c>
      <c r="C1680" s="63" t="s">
        <v>2304</v>
      </c>
      <c r="E1680" s="63" t="s">
        <v>124</v>
      </c>
    </row>
    <row r="1681" s="63" customFormat="1" spans="1:5">
      <c r="A1681" s="63" t="s">
        <v>2623</v>
      </c>
      <c r="B1681" s="63" t="s">
        <v>2623</v>
      </c>
      <c r="C1681" s="63" t="s">
        <v>2304</v>
      </c>
      <c r="E1681" s="63" t="s">
        <v>2624</v>
      </c>
    </row>
    <row r="1682" s="63" customFormat="1" spans="1:5">
      <c r="A1682" s="63" t="s">
        <v>785</v>
      </c>
      <c r="B1682" s="63" t="s">
        <v>785</v>
      </c>
      <c r="C1682" s="63" t="s">
        <v>2304</v>
      </c>
      <c r="E1682" s="63" t="s">
        <v>377</v>
      </c>
    </row>
    <row r="1683" s="63" customFormat="1" spans="1:5">
      <c r="A1683" s="63" t="s">
        <v>788</v>
      </c>
      <c r="B1683" s="63" t="s">
        <v>788</v>
      </c>
      <c r="C1683" s="63" t="s">
        <v>2304</v>
      </c>
      <c r="E1683" s="63" t="s">
        <v>377</v>
      </c>
    </row>
    <row r="1684" s="63" customFormat="1" spans="1:5">
      <c r="A1684" s="63" t="s">
        <v>2625</v>
      </c>
      <c r="B1684" s="63" t="s">
        <v>789</v>
      </c>
      <c r="C1684" s="63" t="s">
        <v>2304</v>
      </c>
      <c r="E1684" s="63" t="s">
        <v>124</v>
      </c>
    </row>
    <row r="1685" s="63" customFormat="1" spans="1:5">
      <c r="A1685" s="63" t="s">
        <v>2626</v>
      </c>
      <c r="B1685" s="63" t="s">
        <v>2626</v>
      </c>
      <c r="C1685" s="63" t="s">
        <v>2304</v>
      </c>
      <c r="E1685" s="63" t="s">
        <v>805</v>
      </c>
    </row>
    <row r="1686" s="63" customFormat="1" spans="1:5">
      <c r="A1686" s="63" t="s">
        <v>2627</v>
      </c>
      <c r="B1686" s="63" t="s">
        <v>2627</v>
      </c>
      <c r="C1686" s="63" t="s">
        <v>2304</v>
      </c>
      <c r="E1686" s="63" t="s">
        <v>803</v>
      </c>
    </row>
    <row r="1687" s="63" customFormat="1" spans="1:5">
      <c r="A1687" s="63" t="s">
        <v>2628</v>
      </c>
      <c r="B1687" s="63" t="s">
        <v>2628</v>
      </c>
      <c r="C1687" s="63" t="s">
        <v>2304</v>
      </c>
      <c r="E1687" s="63" t="s">
        <v>805</v>
      </c>
    </row>
    <row r="1688" spans="1:5">
      <c r="A1688" t="s">
        <v>2629</v>
      </c>
      <c r="B1688" t="s">
        <v>2630</v>
      </c>
      <c r="C1688" t="s">
        <v>2304</v>
      </c>
      <c r="E1688" t="s">
        <v>1124</v>
      </c>
    </row>
    <row r="1689" spans="1:5">
      <c r="A1689" t="s">
        <v>2631</v>
      </c>
      <c r="B1689" t="s">
        <v>2631</v>
      </c>
      <c r="C1689" t="s">
        <v>2304</v>
      </c>
      <c r="E1689" t="s">
        <v>1124</v>
      </c>
    </row>
    <row r="1690" spans="1:5">
      <c r="A1690" t="s">
        <v>2632</v>
      </c>
      <c r="B1690" t="s">
        <v>2632</v>
      </c>
      <c r="C1690" t="s">
        <v>2304</v>
      </c>
      <c r="E1690" t="s">
        <v>287</v>
      </c>
    </row>
    <row r="1691" spans="1:5">
      <c r="A1691" t="s">
        <v>898</v>
      </c>
      <c r="B1691" t="s">
        <v>898</v>
      </c>
      <c r="C1691" t="s">
        <v>2304</v>
      </c>
      <c r="E1691" t="s">
        <v>124</v>
      </c>
    </row>
    <row r="1692" spans="1:5">
      <c r="A1692" t="s">
        <v>897</v>
      </c>
      <c r="B1692" t="s">
        <v>897</v>
      </c>
      <c r="C1692" t="s">
        <v>2304</v>
      </c>
      <c r="E1692" t="s">
        <v>124</v>
      </c>
    </row>
    <row r="1693" spans="1:5">
      <c r="A1693" t="s">
        <v>932</v>
      </c>
      <c r="B1693" t="s">
        <v>932</v>
      </c>
      <c r="C1693" t="s">
        <v>2304</v>
      </c>
      <c r="E1693" t="s">
        <v>124</v>
      </c>
    </row>
    <row r="1694" spans="1:5">
      <c r="A1694" t="s">
        <v>2633</v>
      </c>
      <c r="B1694" t="s">
        <v>964</v>
      </c>
      <c r="C1694" t="s">
        <v>2304</v>
      </c>
      <c r="E1694" t="s">
        <v>124</v>
      </c>
    </row>
    <row r="1695" spans="1:5">
      <c r="A1695" t="s">
        <v>2634</v>
      </c>
      <c r="B1695" t="s">
        <v>2634</v>
      </c>
      <c r="C1695" t="s">
        <v>2304</v>
      </c>
      <c r="E1695" t="s">
        <v>1783</v>
      </c>
    </row>
    <row r="1696" spans="1:5">
      <c r="A1696" t="s">
        <v>904</v>
      </c>
      <c r="B1696" t="s">
        <v>904</v>
      </c>
      <c r="C1696" t="s">
        <v>2304</v>
      </c>
      <c r="E1696" t="s">
        <v>124</v>
      </c>
    </row>
    <row r="1697" spans="1:5">
      <c r="A1697" t="s">
        <v>2635</v>
      </c>
      <c r="B1697" t="s">
        <v>2636</v>
      </c>
      <c r="C1697" t="s">
        <v>2304</v>
      </c>
      <c r="E1697" t="s">
        <v>124</v>
      </c>
    </row>
    <row r="1698" spans="1:5">
      <c r="A1698" t="s">
        <v>2637</v>
      </c>
      <c r="B1698" t="s">
        <v>2638</v>
      </c>
      <c r="C1698" t="s">
        <v>2304</v>
      </c>
      <c r="E1698" t="s">
        <v>124</v>
      </c>
    </row>
    <row r="1699" spans="1:5">
      <c r="A1699" t="s">
        <v>2639</v>
      </c>
      <c r="B1699" t="s">
        <v>2639</v>
      </c>
      <c r="C1699" t="s">
        <v>2304</v>
      </c>
      <c r="E1699" t="s">
        <v>124</v>
      </c>
    </row>
    <row r="1700" spans="1:5">
      <c r="A1700" t="s">
        <v>2640</v>
      </c>
      <c r="B1700" t="s">
        <v>2640</v>
      </c>
      <c r="C1700" t="s">
        <v>2304</v>
      </c>
      <c r="E1700" t="s">
        <v>803</v>
      </c>
    </row>
    <row r="1701" spans="1:5">
      <c r="A1701" t="s">
        <v>2641</v>
      </c>
      <c r="B1701" t="s">
        <v>2641</v>
      </c>
      <c r="C1701" t="s">
        <v>2304</v>
      </c>
      <c r="E1701" t="s">
        <v>1783</v>
      </c>
    </row>
    <row r="1702" spans="1:5">
      <c r="A1702" t="s">
        <v>2642</v>
      </c>
      <c r="B1702" t="s">
        <v>2642</v>
      </c>
      <c r="C1702" t="s">
        <v>2304</v>
      </c>
      <c r="E1702" t="s">
        <v>124</v>
      </c>
    </row>
    <row r="1703" spans="1:5">
      <c r="A1703" t="s">
        <v>2643</v>
      </c>
      <c r="B1703" t="s">
        <v>2644</v>
      </c>
      <c r="C1703" t="s">
        <v>2304</v>
      </c>
      <c r="E1703" t="s">
        <v>2645</v>
      </c>
    </row>
    <row r="1704" spans="1:5">
      <c r="A1704" t="s">
        <v>2646</v>
      </c>
      <c r="B1704" t="s">
        <v>2646</v>
      </c>
      <c r="C1704" t="s">
        <v>2304</v>
      </c>
      <c r="E1704" t="s">
        <v>124</v>
      </c>
    </row>
    <row r="1705" spans="1:5">
      <c r="A1705" t="s">
        <v>2647</v>
      </c>
      <c r="B1705" t="s">
        <v>2648</v>
      </c>
      <c r="C1705" t="s">
        <v>2304</v>
      </c>
      <c r="E1705" t="s">
        <v>377</v>
      </c>
    </row>
    <row r="1706" spans="1:5">
      <c r="A1706" t="s">
        <v>2649</v>
      </c>
      <c r="B1706" t="s">
        <v>2649</v>
      </c>
      <c r="C1706" t="s">
        <v>2304</v>
      </c>
      <c r="E1706" t="s">
        <v>124</v>
      </c>
    </row>
    <row r="1707" spans="1:5">
      <c r="A1707" t="s">
        <v>2650</v>
      </c>
      <c r="B1707" t="s">
        <v>2650</v>
      </c>
      <c r="C1707" t="s">
        <v>2304</v>
      </c>
      <c r="E1707" t="s">
        <v>124</v>
      </c>
    </row>
    <row r="1708" spans="1:5">
      <c r="A1708" t="s">
        <v>2651</v>
      </c>
      <c r="B1708" t="s">
        <v>2651</v>
      </c>
      <c r="C1708" t="s">
        <v>2304</v>
      </c>
      <c r="E1708" t="s">
        <v>124</v>
      </c>
    </row>
    <row r="1709" spans="1:5">
      <c r="A1709" t="s">
        <v>2652</v>
      </c>
      <c r="B1709" t="s">
        <v>2652</v>
      </c>
      <c r="C1709" t="s">
        <v>2304</v>
      </c>
      <c r="E1709" t="s">
        <v>124</v>
      </c>
    </row>
    <row r="1710" spans="1:5">
      <c r="A1710" t="s">
        <v>893</v>
      </c>
      <c r="B1710" t="s">
        <v>893</v>
      </c>
      <c r="C1710" t="s">
        <v>2304</v>
      </c>
      <c r="E1710" t="s">
        <v>124</v>
      </c>
    </row>
    <row r="1711" spans="1:5">
      <c r="A1711" t="s">
        <v>2653</v>
      </c>
      <c r="B1711" t="s">
        <v>2654</v>
      </c>
      <c r="C1711" t="s">
        <v>2304</v>
      </c>
      <c r="E1711" t="s">
        <v>124</v>
      </c>
    </row>
    <row r="1712" spans="1:5">
      <c r="A1712" t="s">
        <v>2655</v>
      </c>
      <c r="B1712" t="s">
        <v>916</v>
      </c>
      <c r="C1712" t="s">
        <v>2304</v>
      </c>
      <c r="E1712" t="s">
        <v>124</v>
      </c>
    </row>
    <row r="1713" spans="1:5">
      <c r="A1713" t="s">
        <v>2656</v>
      </c>
      <c r="B1713" t="s">
        <v>2656</v>
      </c>
      <c r="C1713" t="s">
        <v>2304</v>
      </c>
      <c r="E1713" t="s">
        <v>124</v>
      </c>
    </row>
    <row r="1714" spans="1:5">
      <c r="A1714" t="s">
        <v>2657</v>
      </c>
      <c r="B1714" t="s">
        <v>2657</v>
      </c>
      <c r="C1714" t="s">
        <v>2304</v>
      </c>
      <c r="E1714" t="s">
        <v>124</v>
      </c>
    </row>
    <row r="1715" spans="1:5">
      <c r="A1715" t="s">
        <v>2658</v>
      </c>
      <c r="B1715" t="s">
        <v>2658</v>
      </c>
      <c r="C1715" t="s">
        <v>2304</v>
      </c>
      <c r="E1715" t="s">
        <v>124</v>
      </c>
    </row>
    <row r="1716" spans="1:5">
      <c r="A1716" t="s">
        <v>2659</v>
      </c>
      <c r="B1716" t="s">
        <v>2659</v>
      </c>
      <c r="C1716" t="s">
        <v>2304</v>
      </c>
      <c r="E1716" t="s">
        <v>1124</v>
      </c>
    </row>
    <row r="1717" spans="1:5">
      <c r="A1717" t="s">
        <v>2660</v>
      </c>
      <c r="B1717" t="s">
        <v>2660</v>
      </c>
      <c r="C1717" t="s">
        <v>2304</v>
      </c>
      <c r="E1717" t="s">
        <v>1124</v>
      </c>
    </row>
    <row r="1718" spans="1:5">
      <c r="A1718" t="s">
        <v>2661</v>
      </c>
      <c r="B1718" t="s">
        <v>2661</v>
      </c>
      <c r="C1718" t="s">
        <v>2304</v>
      </c>
      <c r="E1718" t="s">
        <v>1783</v>
      </c>
    </row>
    <row r="1719" spans="1:5">
      <c r="A1719" t="s">
        <v>894</v>
      </c>
      <c r="B1719" t="s">
        <v>894</v>
      </c>
      <c r="C1719" t="s">
        <v>2304</v>
      </c>
      <c r="E1719" t="s">
        <v>124</v>
      </c>
    </row>
    <row r="1720" spans="1:5">
      <c r="A1720" t="s">
        <v>2662</v>
      </c>
      <c r="B1720" t="s">
        <v>2662</v>
      </c>
      <c r="C1720" t="s">
        <v>2304</v>
      </c>
      <c r="E1720" t="s">
        <v>1124</v>
      </c>
    </row>
    <row r="1721" spans="1:5">
      <c r="A1721" t="s">
        <v>2663</v>
      </c>
      <c r="B1721" t="s">
        <v>2663</v>
      </c>
      <c r="C1721" t="s">
        <v>2304</v>
      </c>
      <c r="E1721" t="s">
        <v>1124</v>
      </c>
    </row>
    <row r="1722" spans="1:5">
      <c r="A1722" t="s">
        <v>2664</v>
      </c>
      <c r="B1722" t="s">
        <v>2664</v>
      </c>
      <c r="C1722" t="s">
        <v>2304</v>
      </c>
      <c r="E1722" t="s">
        <v>1124</v>
      </c>
    </row>
    <row r="1723" spans="1:5">
      <c r="A1723" t="s">
        <v>2665</v>
      </c>
      <c r="B1723" t="s">
        <v>2665</v>
      </c>
      <c r="C1723" t="s">
        <v>2304</v>
      </c>
      <c r="E1723" t="s">
        <v>1124</v>
      </c>
    </row>
    <row r="1724" spans="1:5">
      <c r="A1724" t="s">
        <v>2666</v>
      </c>
      <c r="B1724" t="s">
        <v>2666</v>
      </c>
      <c r="C1724" t="s">
        <v>2304</v>
      </c>
      <c r="E1724" t="s">
        <v>1124</v>
      </c>
    </row>
    <row r="1725" spans="1:5">
      <c r="A1725" t="s">
        <v>2667</v>
      </c>
      <c r="B1725" t="s">
        <v>2667</v>
      </c>
      <c r="C1725" t="s">
        <v>2304</v>
      </c>
      <c r="E1725" t="s">
        <v>124</v>
      </c>
    </row>
    <row r="1726" spans="1:5">
      <c r="A1726" t="s">
        <v>889</v>
      </c>
      <c r="B1726" t="s">
        <v>889</v>
      </c>
      <c r="C1726" t="s">
        <v>2304</v>
      </c>
      <c r="E1726" t="s">
        <v>124</v>
      </c>
    </row>
    <row r="1727" spans="1:5">
      <c r="A1727" t="s">
        <v>917</v>
      </c>
      <c r="B1727" t="s">
        <v>917</v>
      </c>
      <c r="C1727" t="s">
        <v>2304</v>
      </c>
      <c r="E1727" t="s">
        <v>124</v>
      </c>
    </row>
    <row r="1728" spans="1:5">
      <c r="A1728" t="s">
        <v>2668</v>
      </c>
      <c r="B1728" t="s">
        <v>2668</v>
      </c>
      <c r="C1728" t="s">
        <v>2304</v>
      </c>
      <c r="E1728" t="s">
        <v>124</v>
      </c>
    </row>
    <row r="1729" spans="1:5">
      <c r="A1729" t="s">
        <v>2669</v>
      </c>
      <c r="B1729" t="s">
        <v>2669</v>
      </c>
      <c r="C1729" t="s">
        <v>2304</v>
      </c>
      <c r="E1729" t="s">
        <v>124</v>
      </c>
    </row>
    <row r="1730" spans="1:5">
      <c r="A1730" t="s">
        <v>2670</v>
      </c>
      <c r="B1730" t="s">
        <v>2671</v>
      </c>
      <c r="C1730" t="s">
        <v>2304</v>
      </c>
      <c r="E1730" t="s">
        <v>124</v>
      </c>
    </row>
    <row r="1731" spans="1:5">
      <c r="A1731" t="s">
        <v>2672</v>
      </c>
      <c r="B1731" t="s">
        <v>2672</v>
      </c>
      <c r="C1731" t="s">
        <v>2304</v>
      </c>
      <c r="E1731" t="s">
        <v>1124</v>
      </c>
    </row>
    <row r="1732" spans="1:5">
      <c r="A1732" t="s">
        <v>2673</v>
      </c>
      <c r="B1732" t="s">
        <v>2673</v>
      </c>
      <c r="C1732" t="s">
        <v>2304</v>
      </c>
      <c r="E1732" t="s">
        <v>2674</v>
      </c>
    </row>
    <row r="1733" spans="1:5">
      <c r="A1733" t="s">
        <v>2675</v>
      </c>
      <c r="B1733" t="s">
        <v>2675</v>
      </c>
      <c r="C1733" t="s">
        <v>2304</v>
      </c>
      <c r="E1733" t="s">
        <v>1783</v>
      </c>
    </row>
    <row r="1734" spans="1:5">
      <c r="A1734" t="s">
        <v>2676</v>
      </c>
      <c r="B1734" t="s">
        <v>2676</v>
      </c>
      <c r="C1734" t="s">
        <v>2304</v>
      </c>
      <c r="E1734" t="s">
        <v>1783</v>
      </c>
    </row>
    <row r="1735" spans="1:5">
      <c r="A1735" t="s">
        <v>2677</v>
      </c>
      <c r="B1735" t="s">
        <v>2677</v>
      </c>
      <c r="C1735" t="s">
        <v>2304</v>
      </c>
      <c r="E1735" t="s">
        <v>1124</v>
      </c>
    </row>
    <row r="1736" spans="1:5">
      <c r="A1736" t="s">
        <v>2678</v>
      </c>
      <c r="B1736" t="s">
        <v>948</v>
      </c>
      <c r="C1736" t="s">
        <v>2304</v>
      </c>
      <c r="E1736" t="s">
        <v>124</v>
      </c>
    </row>
    <row r="1737" spans="1:5">
      <c r="A1737" t="s">
        <v>2679</v>
      </c>
      <c r="B1737" t="s">
        <v>920</v>
      </c>
      <c r="C1737" t="s">
        <v>2304</v>
      </c>
      <c r="E1737" t="s">
        <v>124</v>
      </c>
    </row>
    <row r="1738" spans="1:5">
      <c r="A1738" t="s">
        <v>2680</v>
      </c>
      <c r="B1738" t="s">
        <v>2680</v>
      </c>
      <c r="C1738" t="s">
        <v>2304</v>
      </c>
      <c r="E1738" t="s">
        <v>805</v>
      </c>
    </row>
    <row r="1739" spans="1:5">
      <c r="A1739" t="s">
        <v>887</v>
      </c>
      <c r="B1739" t="s">
        <v>887</v>
      </c>
      <c r="C1739" t="s">
        <v>2304</v>
      </c>
      <c r="E1739" t="s">
        <v>124</v>
      </c>
    </row>
    <row r="1740" spans="1:5">
      <c r="A1740" t="s">
        <v>2681</v>
      </c>
      <c r="B1740" t="s">
        <v>2681</v>
      </c>
      <c r="C1740" t="s">
        <v>2304</v>
      </c>
      <c r="E1740" t="s">
        <v>124</v>
      </c>
    </row>
    <row r="1741" spans="1:5">
      <c r="A1741" t="s">
        <v>2682</v>
      </c>
      <c r="B1741" t="s">
        <v>2682</v>
      </c>
      <c r="C1741" t="s">
        <v>2304</v>
      </c>
      <c r="E1741" t="s">
        <v>124</v>
      </c>
    </row>
    <row r="1742" spans="1:5">
      <c r="A1742" t="s">
        <v>2683</v>
      </c>
      <c r="B1742" t="s">
        <v>2683</v>
      </c>
      <c r="C1742" t="s">
        <v>2304</v>
      </c>
      <c r="E1742" t="s">
        <v>124</v>
      </c>
    </row>
    <row r="1743" spans="1:5">
      <c r="A1743" t="s">
        <v>2684</v>
      </c>
      <c r="B1743" t="s">
        <v>2684</v>
      </c>
      <c r="C1743" t="s">
        <v>2304</v>
      </c>
      <c r="E1743" t="s">
        <v>377</v>
      </c>
    </row>
    <row r="1744" spans="1:5">
      <c r="A1744" t="s">
        <v>2685</v>
      </c>
      <c r="B1744" t="s">
        <v>2685</v>
      </c>
      <c r="C1744" t="s">
        <v>2304</v>
      </c>
      <c r="E1744" t="s">
        <v>377</v>
      </c>
    </row>
    <row r="1745" spans="1:5">
      <c r="A1745" t="s">
        <v>2686</v>
      </c>
      <c r="B1745" t="s">
        <v>2686</v>
      </c>
      <c r="C1745" t="s">
        <v>2304</v>
      </c>
      <c r="E1745" t="s">
        <v>124</v>
      </c>
    </row>
    <row r="1746" spans="1:5">
      <c r="A1746" t="s">
        <v>906</v>
      </c>
      <c r="B1746" t="s">
        <v>906</v>
      </c>
      <c r="C1746" t="s">
        <v>2304</v>
      </c>
      <c r="E1746" t="s">
        <v>124</v>
      </c>
    </row>
    <row r="1747" spans="1:5">
      <c r="A1747" t="s">
        <v>942</v>
      </c>
      <c r="B1747" t="s">
        <v>942</v>
      </c>
      <c r="C1747" t="s">
        <v>2304</v>
      </c>
      <c r="E1747" t="s">
        <v>124</v>
      </c>
    </row>
    <row r="1748" spans="1:5">
      <c r="A1748" t="s">
        <v>2687</v>
      </c>
      <c r="B1748" t="s">
        <v>2687</v>
      </c>
      <c r="C1748" t="s">
        <v>2304</v>
      </c>
      <c r="E1748" t="s">
        <v>1124</v>
      </c>
    </row>
    <row r="1749" spans="1:5">
      <c r="A1749" t="s">
        <v>2688</v>
      </c>
      <c r="B1749" t="s">
        <v>2688</v>
      </c>
      <c r="C1749" t="s">
        <v>2304</v>
      </c>
      <c r="E1749" t="s">
        <v>1124</v>
      </c>
    </row>
    <row r="1750" spans="1:5">
      <c r="A1750" t="s">
        <v>2689</v>
      </c>
      <c r="B1750" t="s">
        <v>2689</v>
      </c>
      <c r="C1750" t="s">
        <v>2304</v>
      </c>
      <c r="E1750" t="s">
        <v>1124</v>
      </c>
    </row>
    <row r="1751" spans="1:5">
      <c r="A1751" t="s">
        <v>2690</v>
      </c>
      <c r="B1751" t="s">
        <v>2690</v>
      </c>
      <c r="C1751" t="s">
        <v>2304</v>
      </c>
      <c r="E1751" t="s">
        <v>1783</v>
      </c>
    </row>
    <row r="1752" spans="1:5">
      <c r="A1752" t="s">
        <v>2691</v>
      </c>
      <c r="B1752" t="s">
        <v>2691</v>
      </c>
      <c r="C1752" t="s">
        <v>2304</v>
      </c>
      <c r="E1752" t="s">
        <v>1783</v>
      </c>
    </row>
    <row r="1753" spans="1:5">
      <c r="A1753" t="s">
        <v>2692</v>
      </c>
      <c r="B1753" t="s">
        <v>2692</v>
      </c>
      <c r="C1753" t="s">
        <v>2304</v>
      </c>
      <c r="E1753" t="s">
        <v>1124</v>
      </c>
    </row>
    <row r="1754" spans="1:5">
      <c r="A1754" t="s">
        <v>2693</v>
      </c>
      <c r="B1754" t="s">
        <v>2693</v>
      </c>
      <c r="C1754" t="s">
        <v>2304</v>
      </c>
      <c r="E1754" t="s">
        <v>1124</v>
      </c>
    </row>
    <row r="1755" spans="1:5">
      <c r="A1755" t="s">
        <v>2694</v>
      </c>
      <c r="B1755" t="s">
        <v>2694</v>
      </c>
      <c r="C1755" t="s">
        <v>2304</v>
      </c>
      <c r="E1755" t="s">
        <v>1124</v>
      </c>
    </row>
    <row r="1756" spans="1:5">
      <c r="A1756" t="s">
        <v>2695</v>
      </c>
      <c r="B1756" t="s">
        <v>2695</v>
      </c>
      <c r="C1756" t="s">
        <v>2304</v>
      </c>
      <c r="E1756" t="s">
        <v>1783</v>
      </c>
    </row>
    <row r="1757" spans="1:5">
      <c r="A1757" t="s">
        <v>2696</v>
      </c>
      <c r="B1757" t="s">
        <v>2696</v>
      </c>
      <c r="C1757" t="s">
        <v>2304</v>
      </c>
      <c r="E1757" t="s">
        <v>1124</v>
      </c>
    </row>
    <row r="1758" spans="1:5">
      <c r="A1758" t="s">
        <v>2697</v>
      </c>
      <c r="B1758" t="s">
        <v>2697</v>
      </c>
      <c r="C1758" t="s">
        <v>2304</v>
      </c>
      <c r="E1758" t="s">
        <v>1124</v>
      </c>
    </row>
    <row r="1759" spans="1:5">
      <c r="A1759" t="s">
        <v>2698</v>
      </c>
      <c r="B1759" t="s">
        <v>2698</v>
      </c>
      <c r="C1759" t="s">
        <v>2304</v>
      </c>
      <c r="E1759" t="s">
        <v>1124</v>
      </c>
    </row>
    <row r="1760" spans="1:5">
      <c r="A1760" t="s">
        <v>2699</v>
      </c>
      <c r="B1760" t="s">
        <v>2699</v>
      </c>
      <c r="C1760" t="s">
        <v>2304</v>
      </c>
      <c r="E1760" t="s">
        <v>1124</v>
      </c>
    </row>
    <row r="1761" spans="1:5">
      <c r="A1761" t="s">
        <v>2700</v>
      </c>
      <c r="B1761" t="s">
        <v>2700</v>
      </c>
      <c r="C1761" t="s">
        <v>2304</v>
      </c>
      <c r="E1761" t="s">
        <v>1783</v>
      </c>
    </row>
    <row r="1762" spans="1:5">
      <c r="A1762" t="s">
        <v>2701</v>
      </c>
      <c r="B1762" t="s">
        <v>2701</v>
      </c>
      <c r="C1762" t="s">
        <v>2304</v>
      </c>
      <c r="E1762" t="s">
        <v>1124</v>
      </c>
    </row>
    <row r="1763" spans="1:5">
      <c r="A1763" t="s">
        <v>2702</v>
      </c>
      <c r="B1763" t="s">
        <v>2702</v>
      </c>
      <c r="C1763" t="s">
        <v>2304</v>
      </c>
      <c r="E1763" t="s">
        <v>1124</v>
      </c>
    </row>
    <row r="1764" spans="1:5">
      <c r="A1764" t="s">
        <v>2703</v>
      </c>
      <c r="B1764" t="s">
        <v>2703</v>
      </c>
      <c r="C1764" t="s">
        <v>2304</v>
      </c>
      <c r="E1764" t="s">
        <v>124</v>
      </c>
    </row>
    <row r="1765" spans="1:5">
      <c r="A1765" t="s">
        <v>2704</v>
      </c>
      <c r="B1765" t="s">
        <v>2704</v>
      </c>
      <c r="C1765" t="s">
        <v>2304</v>
      </c>
      <c r="E1765" t="s">
        <v>124</v>
      </c>
    </row>
    <row r="1766" spans="1:5">
      <c r="A1766" t="s">
        <v>2705</v>
      </c>
      <c r="B1766" t="s">
        <v>2705</v>
      </c>
      <c r="C1766" t="s">
        <v>2304</v>
      </c>
      <c r="E1766" t="s">
        <v>124</v>
      </c>
    </row>
    <row r="1767" spans="1:5">
      <c r="A1767" t="s">
        <v>2706</v>
      </c>
      <c r="B1767" t="s">
        <v>2706</v>
      </c>
      <c r="C1767" t="s">
        <v>2304</v>
      </c>
      <c r="E1767" t="s">
        <v>124</v>
      </c>
    </row>
    <row r="1768" spans="1:5">
      <c r="A1768" t="s">
        <v>2707</v>
      </c>
      <c r="B1768" t="s">
        <v>2707</v>
      </c>
      <c r="C1768" t="s">
        <v>2304</v>
      </c>
      <c r="E1768" t="s">
        <v>124</v>
      </c>
    </row>
    <row r="1769" spans="1:5">
      <c r="A1769" t="s">
        <v>2708</v>
      </c>
      <c r="B1769" t="s">
        <v>941</v>
      </c>
      <c r="C1769" t="s">
        <v>2304</v>
      </c>
      <c r="E1769" t="s">
        <v>124</v>
      </c>
    </row>
    <row r="1770" spans="1:5">
      <c r="A1770" t="s">
        <v>2709</v>
      </c>
      <c r="B1770" t="s">
        <v>2709</v>
      </c>
      <c r="C1770" t="s">
        <v>2304</v>
      </c>
      <c r="E1770" t="s">
        <v>287</v>
      </c>
    </row>
    <row r="1771" spans="1:5">
      <c r="A1771" t="s">
        <v>2710</v>
      </c>
      <c r="B1771" t="s">
        <v>2710</v>
      </c>
      <c r="C1771" t="s">
        <v>2304</v>
      </c>
      <c r="E1771" t="s">
        <v>287</v>
      </c>
    </row>
    <row r="1772" spans="1:5">
      <c r="A1772" t="s">
        <v>2711</v>
      </c>
      <c r="B1772" t="s">
        <v>2711</v>
      </c>
      <c r="C1772" t="s">
        <v>2304</v>
      </c>
      <c r="E1772" t="s">
        <v>124</v>
      </c>
    </row>
    <row r="1773" spans="1:5">
      <c r="A1773" t="s">
        <v>2712</v>
      </c>
      <c r="B1773" t="s">
        <v>2712</v>
      </c>
      <c r="C1773" t="s">
        <v>2304</v>
      </c>
      <c r="E1773" t="s">
        <v>1124</v>
      </c>
    </row>
    <row r="1774" spans="1:5">
      <c r="A1774" t="s">
        <v>2713</v>
      </c>
      <c r="B1774" t="s">
        <v>2713</v>
      </c>
      <c r="C1774" t="s">
        <v>2304</v>
      </c>
      <c r="E1774" t="s">
        <v>124</v>
      </c>
    </row>
    <row r="1775" spans="1:5">
      <c r="A1775" t="s">
        <v>2714</v>
      </c>
      <c r="B1775" t="s">
        <v>2714</v>
      </c>
      <c r="C1775" t="s">
        <v>2304</v>
      </c>
      <c r="E1775" t="s">
        <v>124</v>
      </c>
    </row>
    <row r="1776" spans="1:5">
      <c r="A1776" t="s">
        <v>2715</v>
      </c>
      <c r="B1776" t="s">
        <v>2715</v>
      </c>
      <c r="C1776" t="s">
        <v>2304</v>
      </c>
      <c r="E1776" t="s">
        <v>1124</v>
      </c>
    </row>
    <row r="1777" spans="1:5">
      <c r="A1777" t="s">
        <v>2716</v>
      </c>
      <c r="B1777" t="s">
        <v>2716</v>
      </c>
      <c r="C1777" t="s">
        <v>2304</v>
      </c>
      <c r="E1777" t="s">
        <v>1124</v>
      </c>
    </row>
    <row r="1778" spans="1:5">
      <c r="A1778" t="s">
        <v>2717</v>
      </c>
      <c r="B1778" t="s">
        <v>2717</v>
      </c>
      <c r="C1778" t="s">
        <v>2304</v>
      </c>
      <c r="E1778" t="s">
        <v>1124</v>
      </c>
    </row>
    <row r="1779" spans="1:5">
      <c r="A1779" t="s">
        <v>2718</v>
      </c>
      <c r="B1779" t="s">
        <v>2718</v>
      </c>
      <c r="C1779" t="s">
        <v>2304</v>
      </c>
      <c r="E1779" t="s">
        <v>1124</v>
      </c>
    </row>
    <row r="1780" spans="1:5">
      <c r="A1780" t="s">
        <v>2719</v>
      </c>
      <c r="B1780" t="s">
        <v>2719</v>
      </c>
      <c r="C1780" t="s">
        <v>2304</v>
      </c>
      <c r="E1780" t="s">
        <v>1124</v>
      </c>
    </row>
    <row r="1781" spans="1:5">
      <c r="A1781" t="s">
        <v>2720</v>
      </c>
      <c r="B1781" t="s">
        <v>905</v>
      </c>
      <c r="C1781" t="s">
        <v>2304</v>
      </c>
      <c r="E1781" t="s">
        <v>124</v>
      </c>
    </row>
    <row r="1782" spans="1:5">
      <c r="A1782" t="s">
        <v>2721</v>
      </c>
      <c r="B1782" t="s">
        <v>2721</v>
      </c>
      <c r="C1782" t="s">
        <v>2304</v>
      </c>
      <c r="E1782" t="s">
        <v>287</v>
      </c>
    </row>
    <row r="1783" spans="1:5">
      <c r="A1783" t="s">
        <v>2722</v>
      </c>
      <c r="B1783" t="s">
        <v>2722</v>
      </c>
      <c r="C1783" t="s">
        <v>2304</v>
      </c>
      <c r="E1783" t="s">
        <v>287</v>
      </c>
    </row>
    <row r="1784" spans="1:5">
      <c r="A1784" t="s">
        <v>2723</v>
      </c>
      <c r="B1784" t="s">
        <v>2723</v>
      </c>
      <c r="C1784" t="s">
        <v>2304</v>
      </c>
      <c r="E1784" t="s">
        <v>287</v>
      </c>
    </row>
    <row r="1785" spans="1:5">
      <c r="A1785" t="s">
        <v>2724</v>
      </c>
      <c r="B1785" t="s">
        <v>2725</v>
      </c>
      <c r="C1785" t="s">
        <v>2304</v>
      </c>
      <c r="E1785" t="s">
        <v>1124</v>
      </c>
    </row>
    <row r="1786" spans="1:5">
      <c r="A1786" t="s">
        <v>2726</v>
      </c>
      <c r="B1786" t="s">
        <v>2726</v>
      </c>
      <c r="C1786" t="s">
        <v>2304</v>
      </c>
      <c r="E1786" t="s">
        <v>124</v>
      </c>
    </row>
    <row r="1787" spans="1:5">
      <c r="A1787" t="s">
        <v>953</v>
      </c>
      <c r="B1787" t="s">
        <v>953</v>
      </c>
      <c r="C1787" t="s">
        <v>2304</v>
      </c>
      <c r="E1787" t="s">
        <v>124</v>
      </c>
    </row>
    <row r="1788" spans="1:5">
      <c r="A1788" t="s">
        <v>2727</v>
      </c>
      <c r="B1788" t="s">
        <v>2727</v>
      </c>
      <c r="C1788" t="s">
        <v>2304</v>
      </c>
      <c r="E1788" t="s">
        <v>1783</v>
      </c>
    </row>
    <row r="1789" spans="1:5">
      <c r="A1789" t="s">
        <v>2728</v>
      </c>
      <c r="B1789" t="s">
        <v>2728</v>
      </c>
      <c r="C1789" t="s">
        <v>2304</v>
      </c>
      <c r="E1789" t="s">
        <v>1783</v>
      </c>
    </row>
    <row r="1790" spans="1:5">
      <c r="A1790" t="s">
        <v>2729</v>
      </c>
      <c r="B1790" t="s">
        <v>2729</v>
      </c>
      <c r="C1790" t="s">
        <v>2304</v>
      </c>
      <c r="E1790" t="s">
        <v>1124</v>
      </c>
    </row>
    <row r="1791" spans="1:5">
      <c r="A1791" t="s">
        <v>2730</v>
      </c>
      <c r="B1791" t="s">
        <v>2730</v>
      </c>
      <c r="C1791" t="s">
        <v>2304</v>
      </c>
      <c r="E1791" t="s">
        <v>1783</v>
      </c>
    </row>
    <row r="1792" spans="1:5">
      <c r="A1792" t="s">
        <v>2731</v>
      </c>
      <c r="B1792" t="s">
        <v>2731</v>
      </c>
      <c r="C1792" t="s">
        <v>2304</v>
      </c>
      <c r="E1792" t="s">
        <v>124</v>
      </c>
    </row>
    <row r="1793" spans="1:5">
      <c r="A1793" t="s">
        <v>2732</v>
      </c>
      <c r="B1793" t="s">
        <v>2732</v>
      </c>
      <c r="C1793" t="s">
        <v>2304</v>
      </c>
      <c r="E1793" t="s">
        <v>287</v>
      </c>
    </row>
    <row r="1794" spans="1:5">
      <c r="A1794" t="s">
        <v>895</v>
      </c>
      <c r="B1794" t="s">
        <v>895</v>
      </c>
      <c r="C1794" t="s">
        <v>2304</v>
      </c>
      <c r="E1794" t="s">
        <v>124</v>
      </c>
    </row>
    <row r="1795" spans="1:5">
      <c r="A1795" t="s">
        <v>2733</v>
      </c>
      <c r="B1795" t="s">
        <v>2733</v>
      </c>
      <c r="C1795" t="s">
        <v>2304</v>
      </c>
      <c r="E1795" t="s">
        <v>124</v>
      </c>
    </row>
    <row r="1796" spans="1:5">
      <c r="A1796" t="s">
        <v>2734</v>
      </c>
      <c r="B1796" t="s">
        <v>2734</v>
      </c>
      <c r="C1796" t="s">
        <v>2304</v>
      </c>
      <c r="E1796" t="s">
        <v>124</v>
      </c>
    </row>
    <row r="1797" spans="1:5">
      <c r="A1797" t="s">
        <v>2735</v>
      </c>
      <c r="B1797" t="s">
        <v>2735</v>
      </c>
      <c r="C1797" t="s">
        <v>2304</v>
      </c>
      <c r="E1797" t="s">
        <v>287</v>
      </c>
    </row>
    <row r="1798" spans="1:5">
      <c r="A1798" t="s">
        <v>2736</v>
      </c>
      <c r="B1798" t="s">
        <v>2736</v>
      </c>
      <c r="C1798" t="s">
        <v>2304</v>
      </c>
      <c r="E1798" t="s">
        <v>287</v>
      </c>
    </row>
    <row r="1799" spans="1:5">
      <c r="A1799" t="s">
        <v>2737</v>
      </c>
      <c r="B1799" t="s">
        <v>2737</v>
      </c>
      <c r="C1799" t="s">
        <v>2304</v>
      </c>
      <c r="E1799" t="s">
        <v>287</v>
      </c>
    </row>
    <row r="1800" spans="1:5">
      <c r="A1800" t="s">
        <v>2738</v>
      </c>
      <c r="B1800" t="s">
        <v>2738</v>
      </c>
      <c r="C1800" t="s">
        <v>2304</v>
      </c>
      <c r="E1800" t="s">
        <v>124</v>
      </c>
    </row>
    <row r="1801" spans="1:5">
      <c r="A1801" t="s">
        <v>2739</v>
      </c>
      <c r="B1801" t="s">
        <v>901</v>
      </c>
      <c r="C1801" t="s">
        <v>2304</v>
      </c>
      <c r="E1801" t="s">
        <v>124</v>
      </c>
    </row>
    <row r="1802" spans="1:5">
      <c r="A1802" t="s">
        <v>2740</v>
      </c>
      <c r="B1802" t="s">
        <v>2741</v>
      </c>
      <c r="C1802" t="s">
        <v>2304</v>
      </c>
      <c r="E1802" t="s">
        <v>124</v>
      </c>
    </row>
    <row r="1803" spans="1:5">
      <c r="A1803" t="s">
        <v>922</v>
      </c>
      <c r="B1803" t="s">
        <v>922</v>
      </c>
      <c r="C1803" t="s">
        <v>2304</v>
      </c>
      <c r="E1803" t="s">
        <v>124</v>
      </c>
    </row>
    <row r="1804" spans="1:5">
      <c r="A1804" t="s">
        <v>2742</v>
      </c>
      <c r="B1804" t="s">
        <v>2743</v>
      </c>
      <c r="C1804" t="s">
        <v>2304</v>
      </c>
      <c r="E1804" t="s">
        <v>124</v>
      </c>
    </row>
    <row r="1805" spans="1:5">
      <c r="A1805" t="s">
        <v>2744</v>
      </c>
      <c r="B1805" t="s">
        <v>2744</v>
      </c>
      <c r="C1805" t="s">
        <v>2304</v>
      </c>
      <c r="E1805" t="s">
        <v>124</v>
      </c>
    </row>
    <row r="1806" spans="1:5">
      <c r="A1806" t="s">
        <v>2745</v>
      </c>
      <c r="B1806" t="s">
        <v>930</v>
      </c>
      <c r="C1806" t="s">
        <v>2304</v>
      </c>
      <c r="E1806" t="s">
        <v>124</v>
      </c>
    </row>
    <row r="1807" spans="1:5">
      <c r="A1807" t="s">
        <v>2746</v>
      </c>
      <c r="B1807" t="s">
        <v>2746</v>
      </c>
      <c r="C1807" t="s">
        <v>2304</v>
      </c>
      <c r="E1807" t="s">
        <v>124</v>
      </c>
    </row>
    <row r="1808" spans="1:5">
      <c r="A1808" t="s">
        <v>951</v>
      </c>
      <c r="B1808" t="s">
        <v>951</v>
      </c>
      <c r="C1808" t="s">
        <v>2304</v>
      </c>
      <c r="E1808" t="s">
        <v>124</v>
      </c>
    </row>
    <row r="1809" spans="1:5">
      <c r="A1809" t="s">
        <v>2747</v>
      </c>
      <c r="B1809" t="s">
        <v>2747</v>
      </c>
      <c r="C1809" t="s">
        <v>2304</v>
      </c>
      <c r="E1809" t="s">
        <v>1783</v>
      </c>
    </row>
    <row r="1810" spans="1:5">
      <c r="A1810" t="s">
        <v>2748</v>
      </c>
      <c r="B1810" t="s">
        <v>2748</v>
      </c>
      <c r="C1810" t="s">
        <v>2304</v>
      </c>
      <c r="E1810" t="s">
        <v>124</v>
      </c>
    </row>
    <row r="1811" spans="1:5">
      <c r="A1811" t="s">
        <v>2749</v>
      </c>
      <c r="B1811" t="s">
        <v>2749</v>
      </c>
      <c r="C1811" t="s">
        <v>2304</v>
      </c>
      <c r="E1811" t="s">
        <v>124</v>
      </c>
    </row>
    <row r="1812" spans="1:5">
      <c r="A1812" t="s">
        <v>2750</v>
      </c>
      <c r="B1812" t="s">
        <v>2750</v>
      </c>
      <c r="C1812" t="s">
        <v>2304</v>
      </c>
      <c r="E1812" t="s">
        <v>124</v>
      </c>
    </row>
    <row r="1813" spans="1:5">
      <c r="A1813" t="s">
        <v>2751</v>
      </c>
      <c r="B1813" t="s">
        <v>2751</v>
      </c>
      <c r="C1813" t="s">
        <v>2304</v>
      </c>
      <c r="E1813" t="s">
        <v>124</v>
      </c>
    </row>
    <row r="1814" spans="1:5">
      <c r="A1814" t="s">
        <v>2752</v>
      </c>
      <c r="B1814" t="s">
        <v>2752</v>
      </c>
      <c r="C1814" t="s">
        <v>2304</v>
      </c>
      <c r="E1814" t="s">
        <v>124</v>
      </c>
    </row>
    <row r="1815" spans="1:5">
      <c r="A1815" t="s">
        <v>2753</v>
      </c>
      <c r="B1815" t="s">
        <v>2753</v>
      </c>
      <c r="C1815" t="s">
        <v>2304</v>
      </c>
      <c r="E1815" t="s">
        <v>805</v>
      </c>
    </row>
    <row r="1816" spans="1:5">
      <c r="A1816" t="s">
        <v>2754</v>
      </c>
      <c r="B1816" t="s">
        <v>2754</v>
      </c>
      <c r="C1816" t="s">
        <v>2304</v>
      </c>
      <c r="E1816" t="s">
        <v>124</v>
      </c>
    </row>
    <row r="1817" spans="1:5">
      <c r="A1817" t="s">
        <v>2755</v>
      </c>
      <c r="B1817" t="s">
        <v>2756</v>
      </c>
      <c r="C1817" t="s">
        <v>2304</v>
      </c>
      <c r="E1817" t="s">
        <v>805</v>
      </c>
    </row>
    <row r="1818" spans="1:5">
      <c r="A1818" t="s">
        <v>2757</v>
      </c>
      <c r="B1818" t="s">
        <v>2757</v>
      </c>
      <c r="C1818" t="s">
        <v>2304</v>
      </c>
      <c r="E1818" t="s">
        <v>124</v>
      </c>
    </row>
    <row r="1819" spans="1:5">
      <c r="A1819" t="s">
        <v>2758</v>
      </c>
      <c r="B1819" t="s">
        <v>2758</v>
      </c>
      <c r="C1819" t="s">
        <v>2304</v>
      </c>
      <c r="E1819" t="s">
        <v>287</v>
      </c>
    </row>
    <row r="1820" spans="1:5">
      <c r="A1820" t="s">
        <v>2759</v>
      </c>
      <c r="B1820" t="s">
        <v>2760</v>
      </c>
      <c r="C1820" t="s">
        <v>2304</v>
      </c>
      <c r="E1820" t="s">
        <v>124</v>
      </c>
    </row>
    <row r="1821" spans="1:5">
      <c r="A1821" t="s">
        <v>2761</v>
      </c>
      <c r="B1821" t="s">
        <v>2762</v>
      </c>
      <c r="C1821" t="s">
        <v>2304</v>
      </c>
      <c r="E1821" t="s">
        <v>124</v>
      </c>
    </row>
    <row r="1822" spans="1:5">
      <c r="A1822" t="s">
        <v>2763</v>
      </c>
      <c r="B1822" t="s">
        <v>2763</v>
      </c>
      <c r="C1822" t="s">
        <v>2304</v>
      </c>
      <c r="E1822" t="s">
        <v>124</v>
      </c>
    </row>
    <row r="1823" spans="1:5">
      <c r="A1823" t="s">
        <v>2764</v>
      </c>
      <c r="B1823" t="s">
        <v>2764</v>
      </c>
      <c r="C1823" t="s">
        <v>2304</v>
      </c>
      <c r="E1823" t="s">
        <v>1124</v>
      </c>
    </row>
    <row r="1824" spans="1:5">
      <c r="A1824" t="s">
        <v>2765</v>
      </c>
      <c r="B1824" t="s">
        <v>2765</v>
      </c>
      <c r="C1824" t="s">
        <v>2304</v>
      </c>
      <c r="E1824" t="s">
        <v>1124</v>
      </c>
    </row>
    <row r="1825" spans="1:5">
      <c r="A1825" t="s">
        <v>2766</v>
      </c>
      <c r="B1825" t="s">
        <v>2766</v>
      </c>
      <c r="C1825" t="s">
        <v>2304</v>
      </c>
      <c r="E1825" t="s">
        <v>287</v>
      </c>
    </row>
    <row r="1826" spans="1:5">
      <c r="A1826" t="s">
        <v>2767</v>
      </c>
      <c r="B1826" t="s">
        <v>2767</v>
      </c>
      <c r="C1826" t="s">
        <v>2304</v>
      </c>
      <c r="E1826" t="s">
        <v>1124</v>
      </c>
    </row>
    <row r="1827" spans="1:5">
      <c r="A1827" t="s">
        <v>2768</v>
      </c>
      <c r="B1827" t="s">
        <v>2768</v>
      </c>
      <c r="C1827" t="s">
        <v>2304</v>
      </c>
      <c r="E1827" t="s">
        <v>1124</v>
      </c>
    </row>
    <row r="1828" spans="1:5">
      <c r="A1828" t="s">
        <v>2429</v>
      </c>
      <c r="B1828" t="s">
        <v>2429</v>
      </c>
      <c r="C1828" t="s">
        <v>2304</v>
      </c>
      <c r="E1828" t="s">
        <v>1124</v>
      </c>
    </row>
    <row r="1829" spans="1:5">
      <c r="A1829" t="s">
        <v>2431</v>
      </c>
      <c r="B1829" t="s">
        <v>2431</v>
      </c>
      <c r="C1829" t="s">
        <v>2304</v>
      </c>
      <c r="E1829" t="s">
        <v>1124</v>
      </c>
    </row>
    <row r="1830" spans="1:5">
      <c r="A1830" t="s">
        <v>2769</v>
      </c>
      <c r="B1830" t="s">
        <v>2769</v>
      </c>
      <c r="C1830" t="s">
        <v>2304</v>
      </c>
      <c r="E1830" t="s">
        <v>1124</v>
      </c>
    </row>
    <row r="1831" spans="1:5">
      <c r="A1831" t="s">
        <v>2770</v>
      </c>
      <c r="B1831" t="s">
        <v>2770</v>
      </c>
      <c r="C1831" t="s">
        <v>2304</v>
      </c>
      <c r="E1831" t="s">
        <v>1124</v>
      </c>
    </row>
    <row r="1832" spans="1:5">
      <c r="A1832" t="s">
        <v>2771</v>
      </c>
      <c r="B1832" t="s">
        <v>2771</v>
      </c>
      <c r="C1832" t="s">
        <v>2304</v>
      </c>
      <c r="E1832" t="s">
        <v>1124</v>
      </c>
    </row>
    <row r="1833" spans="1:5">
      <c r="A1833" t="s">
        <v>2772</v>
      </c>
      <c r="B1833" t="s">
        <v>2772</v>
      </c>
      <c r="C1833" t="s">
        <v>2304</v>
      </c>
      <c r="E1833" t="s">
        <v>1124</v>
      </c>
    </row>
    <row r="1834" spans="1:5">
      <c r="A1834" t="s">
        <v>2773</v>
      </c>
      <c r="B1834" t="s">
        <v>2773</v>
      </c>
      <c r="C1834" t="s">
        <v>2304</v>
      </c>
      <c r="E1834" t="s">
        <v>1124</v>
      </c>
    </row>
    <row r="1835" spans="1:5">
      <c r="A1835" t="s">
        <v>2774</v>
      </c>
      <c r="B1835" t="s">
        <v>2774</v>
      </c>
      <c r="C1835" t="s">
        <v>2304</v>
      </c>
      <c r="E1835" t="s">
        <v>1124</v>
      </c>
    </row>
    <row r="1836" spans="1:5">
      <c r="A1836" t="s">
        <v>2775</v>
      </c>
      <c r="B1836" t="s">
        <v>2775</v>
      </c>
      <c r="C1836" t="s">
        <v>2304</v>
      </c>
      <c r="E1836" t="s">
        <v>1124</v>
      </c>
    </row>
    <row r="1837" spans="1:5">
      <c r="A1837" t="s">
        <v>2776</v>
      </c>
      <c r="B1837" t="s">
        <v>2776</v>
      </c>
      <c r="C1837" t="s">
        <v>2304</v>
      </c>
      <c r="E1837" t="s">
        <v>1124</v>
      </c>
    </row>
    <row r="1838" spans="1:5">
      <c r="A1838" t="s">
        <v>2777</v>
      </c>
      <c r="B1838" t="s">
        <v>2777</v>
      </c>
      <c r="C1838" t="s">
        <v>2304</v>
      </c>
      <c r="E1838" t="s">
        <v>1124</v>
      </c>
    </row>
    <row r="1839" spans="1:5">
      <c r="A1839" t="s">
        <v>2778</v>
      </c>
      <c r="B1839" t="s">
        <v>2778</v>
      </c>
      <c r="C1839" t="s">
        <v>2304</v>
      </c>
      <c r="E1839" t="s">
        <v>287</v>
      </c>
    </row>
    <row r="1840" spans="1:5">
      <c r="A1840" t="s">
        <v>2779</v>
      </c>
      <c r="B1840" t="s">
        <v>2779</v>
      </c>
      <c r="C1840" t="s">
        <v>2304</v>
      </c>
      <c r="E1840" t="s">
        <v>1124</v>
      </c>
    </row>
    <row r="1841" spans="1:5">
      <c r="A1841" t="s">
        <v>2780</v>
      </c>
      <c r="B1841" t="s">
        <v>2780</v>
      </c>
      <c r="C1841" t="s">
        <v>2304</v>
      </c>
      <c r="E1841" t="s">
        <v>124</v>
      </c>
    </row>
    <row r="1842" spans="1:5">
      <c r="A1842" t="s">
        <v>2781</v>
      </c>
      <c r="B1842" t="s">
        <v>2781</v>
      </c>
      <c r="C1842" t="s">
        <v>2304</v>
      </c>
      <c r="E1842" t="s">
        <v>124</v>
      </c>
    </row>
    <row r="1843" spans="1:5">
      <c r="A1843" t="s">
        <v>2782</v>
      </c>
      <c r="B1843" t="s">
        <v>2783</v>
      </c>
      <c r="C1843" t="s">
        <v>2304</v>
      </c>
      <c r="E1843" t="s">
        <v>124</v>
      </c>
    </row>
    <row r="1844" spans="1:5">
      <c r="A1844" t="s">
        <v>2784</v>
      </c>
      <c r="B1844" t="s">
        <v>2784</v>
      </c>
      <c r="C1844" t="s">
        <v>2304</v>
      </c>
      <c r="E1844" t="s">
        <v>124</v>
      </c>
    </row>
    <row r="1845" spans="1:5">
      <c r="A1845" t="s">
        <v>2785</v>
      </c>
      <c r="B1845" t="s">
        <v>2785</v>
      </c>
      <c r="C1845" t="s">
        <v>2304</v>
      </c>
      <c r="E1845" t="s">
        <v>124</v>
      </c>
    </row>
    <row r="1846" spans="1:5">
      <c r="A1846" t="s">
        <v>2786</v>
      </c>
      <c r="B1846" t="s">
        <v>2787</v>
      </c>
      <c r="C1846" t="s">
        <v>2304</v>
      </c>
      <c r="E1846" t="s">
        <v>124</v>
      </c>
    </row>
    <row r="1847" spans="1:5">
      <c r="A1847" t="s">
        <v>2788</v>
      </c>
      <c r="B1847" t="s">
        <v>2788</v>
      </c>
      <c r="C1847" t="s">
        <v>2304</v>
      </c>
      <c r="E1847" t="s">
        <v>124</v>
      </c>
    </row>
    <row r="1848" spans="1:5">
      <c r="A1848" t="s">
        <v>2789</v>
      </c>
      <c r="B1848" t="s">
        <v>2789</v>
      </c>
      <c r="C1848" t="s">
        <v>2304</v>
      </c>
      <c r="E1848" t="s">
        <v>124</v>
      </c>
    </row>
    <row r="1849" spans="1:5">
      <c r="A1849" t="s">
        <v>2790</v>
      </c>
      <c r="B1849" t="s">
        <v>2791</v>
      </c>
      <c r="C1849" t="s">
        <v>2304</v>
      </c>
      <c r="E1849" t="s">
        <v>363</v>
      </c>
    </row>
    <row r="1850" spans="1:5">
      <c r="A1850" t="s">
        <v>899</v>
      </c>
      <c r="B1850" t="s">
        <v>899</v>
      </c>
      <c r="C1850" t="s">
        <v>2304</v>
      </c>
      <c r="E1850" t="s">
        <v>124</v>
      </c>
    </row>
    <row r="1851" spans="1:5">
      <c r="A1851" t="s">
        <v>2792</v>
      </c>
      <c r="B1851" t="s">
        <v>2792</v>
      </c>
      <c r="C1851" t="s">
        <v>2304</v>
      </c>
      <c r="E1851" t="s">
        <v>124</v>
      </c>
    </row>
    <row r="1852" spans="1:5">
      <c r="A1852" t="s">
        <v>2793</v>
      </c>
      <c r="B1852" t="s">
        <v>2793</v>
      </c>
      <c r="C1852" t="s">
        <v>2304</v>
      </c>
      <c r="E1852" t="s">
        <v>124</v>
      </c>
    </row>
    <row r="1853" spans="1:5">
      <c r="A1853" t="s">
        <v>2794</v>
      </c>
      <c r="B1853" t="s">
        <v>908</v>
      </c>
      <c r="C1853" t="s">
        <v>2304</v>
      </c>
      <c r="E1853" t="s">
        <v>124</v>
      </c>
    </row>
    <row r="1854" spans="1:5">
      <c r="A1854" t="s">
        <v>288</v>
      </c>
      <c r="B1854" t="s">
        <v>288</v>
      </c>
      <c r="C1854" t="s">
        <v>2304</v>
      </c>
      <c r="E1854" t="s">
        <v>124</v>
      </c>
    </row>
    <row r="1855" spans="1:5">
      <c r="A1855" t="s">
        <v>2795</v>
      </c>
      <c r="B1855" t="s">
        <v>2795</v>
      </c>
      <c r="C1855" t="s">
        <v>2304</v>
      </c>
      <c r="E1855" t="s">
        <v>124</v>
      </c>
    </row>
    <row r="1856" spans="1:5">
      <c r="A1856" t="s">
        <v>2796</v>
      </c>
      <c r="B1856" t="s">
        <v>2796</v>
      </c>
      <c r="C1856" t="s">
        <v>2304</v>
      </c>
      <c r="E1856" t="s">
        <v>124</v>
      </c>
    </row>
    <row r="1857" spans="1:5">
      <c r="A1857" t="s">
        <v>2797</v>
      </c>
      <c r="B1857" t="s">
        <v>2797</v>
      </c>
      <c r="C1857" t="s">
        <v>2304</v>
      </c>
      <c r="E1857" t="s">
        <v>124</v>
      </c>
    </row>
    <row r="1858" spans="1:5">
      <c r="A1858" t="s">
        <v>2798</v>
      </c>
      <c r="B1858" t="s">
        <v>2798</v>
      </c>
      <c r="C1858" t="s">
        <v>2304</v>
      </c>
      <c r="E1858" t="s">
        <v>363</v>
      </c>
    </row>
    <row r="1859" spans="1:5">
      <c r="A1859" t="s">
        <v>934</v>
      </c>
      <c r="B1859" t="s">
        <v>934</v>
      </c>
      <c r="C1859" t="s">
        <v>2304</v>
      </c>
      <c r="E1859" t="s">
        <v>124</v>
      </c>
    </row>
    <row r="1860" spans="1:5">
      <c r="A1860" t="s">
        <v>2799</v>
      </c>
      <c r="B1860" t="s">
        <v>2799</v>
      </c>
      <c r="C1860" t="s">
        <v>2304</v>
      </c>
      <c r="E1860" t="s">
        <v>1124</v>
      </c>
    </row>
    <row r="1861" spans="1:5">
      <c r="A1861" t="s">
        <v>2800</v>
      </c>
      <c r="B1861" t="s">
        <v>2801</v>
      </c>
      <c r="C1861" t="s">
        <v>2304</v>
      </c>
      <c r="E1861" t="s">
        <v>124</v>
      </c>
    </row>
    <row r="1862" spans="1:5">
      <c r="A1862" t="s">
        <v>2802</v>
      </c>
      <c r="B1862" t="s">
        <v>2802</v>
      </c>
      <c r="C1862" t="s">
        <v>2304</v>
      </c>
      <c r="E1862" t="s">
        <v>1124</v>
      </c>
    </row>
    <row r="1863" spans="1:5">
      <c r="A1863" t="s">
        <v>2803</v>
      </c>
      <c r="B1863" t="s">
        <v>2803</v>
      </c>
      <c r="C1863" t="s">
        <v>2304</v>
      </c>
      <c r="E1863" t="s">
        <v>1783</v>
      </c>
    </row>
    <row r="1864" spans="1:5">
      <c r="A1864" t="s">
        <v>2804</v>
      </c>
      <c r="B1864" t="s">
        <v>2804</v>
      </c>
      <c r="C1864" t="s">
        <v>2304</v>
      </c>
      <c r="E1864" t="s">
        <v>1783</v>
      </c>
    </row>
    <row r="1865" spans="1:5">
      <c r="A1865" t="s">
        <v>2805</v>
      </c>
      <c r="B1865" t="s">
        <v>2805</v>
      </c>
      <c r="C1865" t="s">
        <v>2304</v>
      </c>
      <c r="E1865" t="s">
        <v>1783</v>
      </c>
    </row>
    <row r="1866" spans="1:5">
      <c r="A1866" t="s">
        <v>2806</v>
      </c>
      <c r="B1866" t="s">
        <v>2806</v>
      </c>
      <c r="C1866" t="s">
        <v>2304</v>
      </c>
      <c r="E1866" t="s">
        <v>1783</v>
      </c>
    </row>
    <row r="1867" spans="1:5">
      <c r="A1867" t="s">
        <v>2435</v>
      </c>
      <c r="B1867" t="s">
        <v>2435</v>
      </c>
      <c r="C1867" t="s">
        <v>2304</v>
      </c>
      <c r="E1867" t="s">
        <v>1783</v>
      </c>
    </row>
    <row r="1868" spans="1:5">
      <c r="A1868" t="s">
        <v>2807</v>
      </c>
      <c r="B1868" t="s">
        <v>2807</v>
      </c>
      <c r="C1868" t="s">
        <v>2304</v>
      </c>
      <c r="E1868" t="s">
        <v>1783</v>
      </c>
    </row>
    <row r="1869" spans="1:5">
      <c r="A1869" t="s">
        <v>2808</v>
      </c>
      <c r="B1869" t="s">
        <v>2808</v>
      </c>
      <c r="C1869" t="s">
        <v>2304</v>
      </c>
      <c r="E1869" t="s">
        <v>1783</v>
      </c>
    </row>
    <row r="1870" spans="1:5">
      <c r="A1870" t="s">
        <v>2809</v>
      </c>
      <c r="B1870" t="s">
        <v>2809</v>
      </c>
      <c r="C1870" t="s">
        <v>2304</v>
      </c>
      <c r="E1870" t="s">
        <v>1783</v>
      </c>
    </row>
    <row r="1871" spans="1:5">
      <c r="A1871" t="s">
        <v>2810</v>
      </c>
      <c r="B1871" t="s">
        <v>2810</v>
      </c>
      <c r="C1871" t="s">
        <v>2304</v>
      </c>
      <c r="E1871" t="s">
        <v>1783</v>
      </c>
    </row>
    <row r="1872" spans="1:5">
      <c r="A1872" t="s">
        <v>2811</v>
      </c>
      <c r="B1872" t="s">
        <v>2811</v>
      </c>
      <c r="C1872" t="s">
        <v>2304</v>
      </c>
      <c r="E1872" t="s">
        <v>1783</v>
      </c>
    </row>
    <row r="1873" spans="1:5">
      <c r="A1873" t="s">
        <v>2812</v>
      </c>
      <c r="B1873" t="s">
        <v>2812</v>
      </c>
      <c r="C1873" t="s">
        <v>2304</v>
      </c>
      <c r="E1873" t="s">
        <v>1783</v>
      </c>
    </row>
    <row r="1874" spans="1:5">
      <c r="A1874" t="s">
        <v>933</v>
      </c>
      <c r="B1874" t="s">
        <v>933</v>
      </c>
      <c r="C1874" t="s">
        <v>2304</v>
      </c>
      <c r="E1874" t="s">
        <v>124</v>
      </c>
    </row>
    <row r="1875" spans="1:5">
      <c r="A1875" t="s">
        <v>2813</v>
      </c>
      <c r="B1875" t="s">
        <v>2813</v>
      </c>
      <c r="C1875" t="s">
        <v>2304</v>
      </c>
      <c r="E1875" t="s">
        <v>124</v>
      </c>
    </row>
    <row r="1876" spans="1:5">
      <c r="A1876" t="s">
        <v>2814</v>
      </c>
      <c r="B1876" t="s">
        <v>2814</v>
      </c>
      <c r="C1876" t="s">
        <v>2304</v>
      </c>
      <c r="E1876" t="s">
        <v>124</v>
      </c>
    </row>
    <row r="1877" spans="1:5">
      <c r="A1877" t="s">
        <v>2815</v>
      </c>
      <c r="B1877" t="s">
        <v>2815</v>
      </c>
      <c r="C1877" t="s">
        <v>2304</v>
      </c>
      <c r="E1877" t="s">
        <v>124</v>
      </c>
    </row>
    <row r="1878" spans="1:5">
      <c r="A1878" t="s">
        <v>2816</v>
      </c>
      <c r="B1878" t="s">
        <v>2816</v>
      </c>
      <c r="C1878" t="s">
        <v>2304</v>
      </c>
      <c r="E1878" t="s">
        <v>124</v>
      </c>
    </row>
    <row r="1879" spans="1:5">
      <c r="A1879" t="s">
        <v>955</v>
      </c>
      <c r="B1879" t="s">
        <v>955</v>
      </c>
      <c r="C1879" t="s">
        <v>2304</v>
      </c>
      <c r="E1879" t="s">
        <v>124</v>
      </c>
    </row>
    <row r="1880" spans="1:5">
      <c r="A1880" t="s">
        <v>2817</v>
      </c>
      <c r="B1880" t="s">
        <v>2817</v>
      </c>
      <c r="C1880" t="s">
        <v>2304</v>
      </c>
      <c r="E1880" t="s">
        <v>124</v>
      </c>
    </row>
    <row r="1881" spans="1:5">
      <c r="A1881" t="s">
        <v>2818</v>
      </c>
      <c r="B1881" t="s">
        <v>918</v>
      </c>
      <c r="C1881" t="s">
        <v>2304</v>
      </c>
      <c r="E1881" t="s">
        <v>124</v>
      </c>
    </row>
    <row r="1882" spans="1:5">
      <c r="A1882" t="s">
        <v>2819</v>
      </c>
      <c r="B1882" t="s">
        <v>892</v>
      </c>
      <c r="C1882" t="s">
        <v>2304</v>
      </c>
      <c r="E1882" t="s">
        <v>124</v>
      </c>
    </row>
    <row r="1883" spans="1:5">
      <c r="A1883" t="s">
        <v>2820</v>
      </c>
      <c r="B1883" t="s">
        <v>2820</v>
      </c>
      <c r="C1883" t="s">
        <v>2304</v>
      </c>
      <c r="E1883" t="s">
        <v>1124</v>
      </c>
    </row>
    <row r="1884" spans="1:5">
      <c r="A1884" t="s">
        <v>954</v>
      </c>
      <c r="B1884" t="s">
        <v>954</v>
      </c>
      <c r="C1884" t="s">
        <v>2304</v>
      </c>
      <c r="E1884" t="s">
        <v>124</v>
      </c>
    </row>
    <row r="1885" spans="1:5">
      <c r="A1885" t="s">
        <v>2821</v>
      </c>
      <c r="B1885" t="s">
        <v>2821</v>
      </c>
      <c r="C1885" t="s">
        <v>2304</v>
      </c>
      <c r="E1885" t="s">
        <v>124</v>
      </c>
    </row>
    <row r="1886" spans="1:5">
      <c r="A1886" t="s">
        <v>2822</v>
      </c>
      <c r="B1886" t="s">
        <v>2822</v>
      </c>
      <c r="C1886" t="s">
        <v>2304</v>
      </c>
      <c r="E1886" t="s">
        <v>1124</v>
      </c>
    </row>
    <row r="1887" spans="1:5">
      <c r="A1887" t="s">
        <v>2823</v>
      </c>
      <c r="B1887" t="s">
        <v>2824</v>
      </c>
      <c r="C1887" t="s">
        <v>2304</v>
      </c>
      <c r="E1887" t="s">
        <v>1124</v>
      </c>
    </row>
    <row r="1888" spans="1:5">
      <c r="A1888" t="s">
        <v>2825</v>
      </c>
      <c r="B1888" t="s">
        <v>2825</v>
      </c>
      <c r="C1888" t="s">
        <v>2304</v>
      </c>
      <c r="E1888" t="s">
        <v>124</v>
      </c>
    </row>
    <row r="1889" spans="1:5">
      <c r="A1889" t="s">
        <v>2826</v>
      </c>
      <c r="B1889" t="s">
        <v>962</v>
      </c>
      <c r="C1889" t="s">
        <v>2304</v>
      </c>
      <c r="E1889" t="s">
        <v>124</v>
      </c>
    </row>
    <row r="1890" spans="1:5">
      <c r="A1890" t="s">
        <v>944</v>
      </c>
      <c r="B1890" t="s">
        <v>944</v>
      </c>
      <c r="C1890" t="s">
        <v>2304</v>
      </c>
      <c r="E1890" t="s">
        <v>124</v>
      </c>
    </row>
    <row r="1891" spans="1:5">
      <c r="A1891" t="s">
        <v>2827</v>
      </c>
      <c r="B1891" t="s">
        <v>943</v>
      </c>
      <c r="C1891" t="s">
        <v>2304</v>
      </c>
      <c r="E1891" t="s">
        <v>124</v>
      </c>
    </row>
    <row r="1892" spans="1:5">
      <c r="A1892" t="s">
        <v>2828</v>
      </c>
      <c r="B1892" t="s">
        <v>2828</v>
      </c>
      <c r="C1892" t="s">
        <v>2304</v>
      </c>
      <c r="E1892" t="s">
        <v>124</v>
      </c>
    </row>
    <row r="1893" spans="1:5">
      <c r="A1893" t="s">
        <v>2829</v>
      </c>
      <c r="B1893" t="s">
        <v>2829</v>
      </c>
      <c r="C1893" t="s">
        <v>2304</v>
      </c>
      <c r="E1893" t="s">
        <v>805</v>
      </c>
    </row>
    <row r="1894" spans="1:5">
      <c r="A1894" t="s">
        <v>2830</v>
      </c>
      <c r="B1894" t="s">
        <v>2830</v>
      </c>
      <c r="C1894" t="s">
        <v>2304</v>
      </c>
      <c r="E1894" t="s">
        <v>1124</v>
      </c>
    </row>
    <row r="1895" spans="1:5">
      <c r="A1895" t="s">
        <v>2831</v>
      </c>
      <c r="B1895" t="s">
        <v>2831</v>
      </c>
      <c r="C1895" t="s">
        <v>2304</v>
      </c>
      <c r="E1895" t="s">
        <v>1124</v>
      </c>
    </row>
    <row r="1896" spans="1:5">
      <c r="A1896" t="s">
        <v>2832</v>
      </c>
      <c r="B1896" t="s">
        <v>2832</v>
      </c>
      <c r="C1896" t="s">
        <v>2304</v>
      </c>
      <c r="E1896" t="s">
        <v>1124</v>
      </c>
    </row>
    <row r="1897" spans="1:5">
      <c r="A1897" t="s">
        <v>2833</v>
      </c>
      <c r="B1897" t="s">
        <v>2833</v>
      </c>
      <c r="C1897" t="s">
        <v>2304</v>
      </c>
      <c r="E1897" t="s">
        <v>1124</v>
      </c>
    </row>
    <row r="1898" spans="1:5">
      <c r="A1898" t="s">
        <v>2834</v>
      </c>
      <c r="B1898" t="s">
        <v>2834</v>
      </c>
      <c r="C1898" t="s">
        <v>2304</v>
      </c>
      <c r="E1898" t="s">
        <v>1124</v>
      </c>
    </row>
    <row r="1899" spans="1:5">
      <c r="A1899" t="s">
        <v>2835</v>
      </c>
      <c r="B1899" t="s">
        <v>2835</v>
      </c>
      <c r="C1899" t="s">
        <v>2304</v>
      </c>
      <c r="E1899" t="s">
        <v>1124</v>
      </c>
    </row>
    <row r="1900" spans="1:5">
      <c r="A1900" t="s">
        <v>2836</v>
      </c>
      <c r="B1900" t="s">
        <v>2836</v>
      </c>
      <c r="C1900" t="s">
        <v>2304</v>
      </c>
      <c r="E1900" t="s">
        <v>1124</v>
      </c>
    </row>
    <row r="1901" spans="1:5">
      <c r="A1901" t="s">
        <v>2837</v>
      </c>
      <c r="B1901" t="s">
        <v>2837</v>
      </c>
      <c r="C1901" t="s">
        <v>2304</v>
      </c>
      <c r="E1901" t="s">
        <v>1124</v>
      </c>
    </row>
    <row r="1902" spans="1:5">
      <c r="A1902" t="s">
        <v>2838</v>
      </c>
      <c r="B1902" t="s">
        <v>2838</v>
      </c>
      <c r="C1902" t="s">
        <v>2304</v>
      </c>
      <c r="E1902" t="s">
        <v>1124</v>
      </c>
    </row>
    <row r="1903" spans="1:5">
      <c r="A1903" t="s">
        <v>2839</v>
      </c>
      <c r="B1903" t="s">
        <v>2839</v>
      </c>
      <c r="C1903" t="s">
        <v>2304</v>
      </c>
      <c r="E1903" t="s">
        <v>1124</v>
      </c>
    </row>
    <row r="1904" spans="1:5">
      <c r="A1904" t="s">
        <v>2840</v>
      </c>
      <c r="B1904" t="s">
        <v>2840</v>
      </c>
      <c r="C1904" t="s">
        <v>2304</v>
      </c>
      <c r="E1904" t="s">
        <v>1124</v>
      </c>
    </row>
    <row r="1905" spans="1:5">
      <c r="A1905" t="s">
        <v>2841</v>
      </c>
      <c r="B1905" t="s">
        <v>2841</v>
      </c>
      <c r="C1905" t="s">
        <v>2304</v>
      </c>
      <c r="E1905" t="s">
        <v>1124</v>
      </c>
    </row>
    <row r="1906" spans="1:5">
      <c r="A1906" t="s">
        <v>2842</v>
      </c>
      <c r="B1906" t="s">
        <v>2842</v>
      </c>
      <c r="C1906" t="s">
        <v>2304</v>
      </c>
      <c r="E1906" t="s">
        <v>1124</v>
      </c>
    </row>
    <row r="1907" spans="1:5">
      <c r="A1907" t="s">
        <v>2843</v>
      </c>
      <c r="B1907" t="s">
        <v>2843</v>
      </c>
      <c r="C1907" t="s">
        <v>2304</v>
      </c>
      <c r="E1907" t="s">
        <v>1124</v>
      </c>
    </row>
    <row r="1908" spans="1:5">
      <c r="A1908" t="s">
        <v>2844</v>
      </c>
      <c r="B1908" t="s">
        <v>2844</v>
      </c>
      <c r="C1908" t="s">
        <v>2304</v>
      </c>
      <c r="E1908" t="s">
        <v>1124</v>
      </c>
    </row>
    <row r="1909" spans="1:5">
      <c r="A1909" t="s">
        <v>2845</v>
      </c>
      <c r="B1909" t="s">
        <v>2845</v>
      </c>
      <c r="C1909" t="s">
        <v>2304</v>
      </c>
      <c r="E1909" t="s">
        <v>1124</v>
      </c>
    </row>
    <row r="1910" spans="1:5">
      <c r="A1910" t="s">
        <v>2846</v>
      </c>
      <c r="B1910" t="s">
        <v>2846</v>
      </c>
      <c r="C1910" t="s">
        <v>2304</v>
      </c>
      <c r="E1910" t="s">
        <v>1124</v>
      </c>
    </row>
    <row r="1911" spans="1:5">
      <c r="A1911" t="s">
        <v>2847</v>
      </c>
      <c r="B1911" t="s">
        <v>2847</v>
      </c>
      <c r="C1911" t="s">
        <v>2304</v>
      </c>
      <c r="E1911" t="s">
        <v>1124</v>
      </c>
    </row>
    <row r="1912" spans="1:5">
      <c r="A1912" t="s">
        <v>2848</v>
      </c>
      <c r="B1912" t="s">
        <v>2848</v>
      </c>
      <c r="C1912" t="s">
        <v>2304</v>
      </c>
      <c r="E1912" t="s">
        <v>1124</v>
      </c>
    </row>
    <row r="1913" spans="1:5">
      <c r="A1913" t="s">
        <v>2849</v>
      </c>
      <c r="B1913" t="s">
        <v>2849</v>
      </c>
      <c r="C1913" t="s">
        <v>2304</v>
      </c>
      <c r="E1913" t="s">
        <v>124</v>
      </c>
    </row>
    <row r="1914" spans="1:5">
      <c r="A1914" t="s">
        <v>2850</v>
      </c>
      <c r="B1914" t="s">
        <v>2850</v>
      </c>
      <c r="C1914" t="s">
        <v>2304</v>
      </c>
      <c r="E1914" t="s">
        <v>1124</v>
      </c>
    </row>
    <row r="1915" spans="1:5">
      <c r="A1915" t="s">
        <v>2851</v>
      </c>
      <c r="B1915" t="s">
        <v>2851</v>
      </c>
      <c r="C1915" t="s">
        <v>2304</v>
      </c>
      <c r="E1915" t="s">
        <v>1124</v>
      </c>
    </row>
    <row r="1916" spans="1:5">
      <c r="A1916" t="s">
        <v>2852</v>
      </c>
      <c r="B1916" t="s">
        <v>2852</v>
      </c>
      <c r="C1916" t="s">
        <v>2304</v>
      </c>
      <c r="E1916" t="s">
        <v>1124</v>
      </c>
    </row>
    <row r="1917" spans="1:5">
      <c r="A1917" t="s">
        <v>2853</v>
      </c>
      <c r="B1917" t="s">
        <v>2853</v>
      </c>
      <c r="C1917" t="s">
        <v>2304</v>
      </c>
      <c r="E1917" t="s">
        <v>1124</v>
      </c>
    </row>
    <row r="1918" spans="1:5">
      <c r="A1918" t="s">
        <v>2854</v>
      </c>
      <c r="B1918" t="s">
        <v>2854</v>
      </c>
      <c r="C1918" t="s">
        <v>2304</v>
      </c>
      <c r="E1918" t="s">
        <v>1124</v>
      </c>
    </row>
    <row r="1919" spans="1:5">
      <c r="A1919" t="s">
        <v>2855</v>
      </c>
      <c r="B1919" t="s">
        <v>2855</v>
      </c>
      <c r="C1919" t="s">
        <v>2304</v>
      </c>
      <c r="E1919" t="s">
        <v>1124</v>
      </c>
    </row>
    <row r="1920" spans="1:5">
      <c r="A1920" t="s">
        <v>2856</v>
      </c>
      <c r="B1920" t="s">
        <v>2856</v>
      </c>
      <c r="C1920" t="s">
        <v>2304</v>
      </c>
      <c r="E1920" t="s">
        <v>1124</v>
      </c>
    </row>
    <row r="1921" spans="1:5">
      <c r="A1921" t="s">
        <v>2857</v>
      </c>
      <c r="B1921" t="s">
        <v>2857</v>
      </c>
      <c r="C1921" t="s">
        <v>2304</v>
      </c>
      <c r="E1921" t="s">
        <v>1124</v>
      </c>
    </row>
    <row r="1922" spans="1:5">
      <c r="A1922" t="s">
        <v>2858</v>
      </c>
      <c r="B1922" t="s">
        <v>2858</v>
      </c>
      <c r="C1922" t="s">
        <v>2304</v>
      </c>
      <c r="E1922" t="s">
        <v>1124</v>
      </c>
    </row>
    <row r="1923" spans="1:5">
      <c r="A1923" t="s">
        <v>2859</v>
      </c>
      <c r="B1923" t="s">
        <v>2859</v>
      </c>
      <c r="C1923" t="s">
        <v>2304</v>
      </c>
      <c r="E1923" t="s">
        <v>1124</v>
      </c>
    </row>
    <row r="1924" spans="1:5">
      <c r="A1924" t="s">
        <v>2860</v>
      </c>
      <c r="B1924" t="s">
        <v>2860</v>
      </c>
      <c r="C1924" t="s">
        <v>2304</v>
      </c>
      <c r="E1924" t="s">
        <v>1124</v>
      </c>
    </row>
    <row r="1925" spans="1:5">
      <c r="A1925" t="s">
        <v>2861</v>
      </c>
      <c r="B1925" t="s">
        <v>2861</v>
      </c>
      <c r="C1925" t="s">
        <v>2304</v>
      </c>
      <c r="E1925" t="s">
        <v>1124</v>
      </c>
    </row>
    <row r="1926" spans="1:5">
      <c r="A1926" t="s">
        <v>2862</v>
      </c>
      <c r="B1926" t="s">
        <v>2862</v>
      </c>
      <c r="C1926" t="s">
        <v>2304</v>
      </c>
      <c r="E1926" t="s">
        <v>1124</v>
      </c>
    </row>
    <row r="1927" spans="1:5">
      <c r="A1927" t="s">
        <v>2863</v>
      </c>
      <c r="B1927" t="s">
        <v>2863</v>
      </c>
      <c r="C1927" t="s">
        <v>2304</v>
      </c>
      <c r="E1927" t="s">
        <v>1124</v>
      </c>
    </row>
    <row r="1928" spans="1:5">
      <c r="A1928" t="s">
        <v>2864</v>
      </c>
      <c r="B1928" t="s">
        <v>2864</v>
      </c>
      <c r="C1928" t="s">
        <v>2304</v>
      </c>
      <c r="E1928" t="s">
        <v>1124</v>
      </c>
    </row>
    <row r="1929" spans="1:5">
      <c r="A1929" t="s">
        <v>2865</v>
      </c>
      <c r="B1929" t="s">
        <v>2865</v>
      </c>
      <c r="C1929" t="s">
        <v>2304</v>
      </c>
      <c r="E1929" t="s">
        <v>1124</v>
      </c>
    </row>
    <row r="1930" spans="1:5">
      <c r="A1930" t="s">
        <v>2866</v>
      </c>
      <c r="B1930" t="s">
        <v>2866</v>
      </c>
      <c r="C1930" t="s">
        <v>2304</v>
      </c>
      <c r="E1930" t="s">
        <v>1124</v>
      </c>
    </row>
    <row r="1931" spans="1:5">
      <c r="A1931" t="s">
        <v>2867</v>
      </c>
      <c r="B1931" t="s">
        <v>2867</v>
      </c>
      <c r="C1931" t="s">
        <v>2304</v>
      </c>
      <c r="E1931" t="s">
        <v>1124</v>
      </c>
    </row>
    <row r="1932" spans="1:5">
      <c r="A1932" t="s">
        <v>2868</v>
      </c>
      <c r="B1932" t="s">
        <v>2868</v>
      </c>
      <c r="C1932" t="s">
        <v>2304</v>
      </c>
      <c r="E1932" t="s">
        <v>1124</v>
      </c>
    </row>
    <row r="1933" spans="1:5">
      <c r="A1933" t="s">
        <v>2869</v>
      </c>
      <c r="B1933" t="s">
        <v>2869</v>
      </c>
      <c r="C1933" t="s">
        <v>2304</v>
      </c>
      <c r="E1933" t="s">
        <v>1124</v>
      </c>
    </row>
    <row r="1934" spans="1:5">
      <c r="A1934" t="s">
        <v>2870</v>
      </c>
      <c r="B1934" t="s">
        <v>2870</v>
      </c>
      <c r="C1934" t="s">
        <v>2304</v>
      </c>
      <c r="E1934" t="s">
        <v>1124</v>
      </c>
    </row>
    <row r="1935" spans="1:5">
      <c r="A1935" t="s">
        <v>2871</v>
      </c>
      <c r="B1935" t="s">
        <v>2871</v>
      </c>
      <c r="C1935" t="s">
        <v>2304</v>
      </c>
      <c r="E1935" t="s">
        <v>1124</v>
      </c>
    </row>
    <row r="1936" spans="1:5">
      <c r="A1936" t="s">
        <v>2872</v>
      </c>
      <c r="B1936" t="s">
        <v>2872</v>
      </c>
      <c r="C1936" t="s">
        <v>2304</v>
      </c>
      <c r="E1936" t="s">
        <v>1124</v>
      </c>
    </row>
    <row r="1937" spans="1:5">
      <c r="A1937" t="s">
        <v>2873</v>
      </c>
      <c r="B1937" t="s">
        <v>2873</v>
      </c>
      <c r="C1937" t="s">
        <v>2304</v>
      </c>
      <c r="E1937" t="s">
        <v>1124</v>
      </c>
    </row>
    <row r="1938" spans="1:5">
      <c r="A1938" t="s">
        <v>2874</v>
      </c>
      <c r="B1938" t="s">
        <v>2874</v>
      </c>
      <c r="C1938" t="s">
        <v>2304</v>
      </c>
      <c r="E1938" t="s">
        <v>1124</v>
      </c>
    </row>
    <row r="1939" spans="1:5">
      <c r="A1939" t="s">
        <v>2875</v>
      </c>
      <c r="B1939" t="s">
        <v>2875</v>
      </c>
      <c r="C1939" t="s">
        <v>2304</v>
      </c>
      <c r="E1939" t="s">
        <v>1124</v>
      </c>
    </row>
    <row r="1940" spans="1:5">
      <c r="A1940" t="s">
        <v>2876</v>
      </c>
      <c r="B1940" t="s">
        <v>2876</v>
      </c>
      <c r="C1940" t="s">
        <v>2304</v>
      </c>
      <c r="E1940" t="s">
        <v>1124</v>
      </c>
    </row>
    <row r="1941" spans="1:5">
      <c r="A1941" t="s">
        <v>2877</v>
      </c>
      <c r="B1941" t="s">
        <v>2877</v>
      </c>
      <c r="C1941" t="s">
        <v>2304</v>
      </c>
      <c r="E1941" t="s">
        <v>1124</v>
      </c>
    </row>
    <row r="1942" spans="1:5">
      <c r="A1942" t="s">
        <v>2878</v>
      </c>
      <c r="B1942" t="s">
        <v>2878</v>
      </c>
      <c r="C1942" t="s">
        <v>2304</v>
      </c>
      <c r="E1942" t="s">
        <v>1124</v>
      </c>
    </row>
    <row r="1943" spans="1:5">
      <c r="A1943" t="s">
        <v>2879</v>
      </c>
      <c r="B1943" t="s">
        <v>2879</v>
      </c>
      <c r="C1943" t="s">
        <v>2304</v>
      </c>
      <c r="E1943" t="s">
        <v>1124</v>
      </c>
    </row>
    <row r="1944" spans="1:5">
      <c r="A1944" t="s">
        <v>2880</v>
      </c>
      <c r="B1944" t="s">
        <v>2880</v>
      </c>
      <c r="C1944" t="s">
        <v>2304</v>
      </c>
      <c r="E1944" t="s">
        <v>1124</v>
      </c>
    </row>
    <row r="1945" spans="1:5">
      <c r="A1945" t="s">
        <v>2881</v>
      </c>
      <c r="B1945" t="s">
        <v>2881</v>
      </c>
      <c r="C1945" t="s">
        <v>2304</v>
      </c>
      <c r="E1945" t="s">
        <v>1124</v>
      </c>
    </row>
    <row r="1946" spans="1:5">
      <c r="A1946" t="s">
        <v>2882</v>
      </c>
      <c r="B1946" t="s">
        <v>2882</v>
      </c>
      <c r="C1946" t="s">
        <v>2304</v>
      </c>
      <c r="E1946" t="s">
        <v>1124</v>
      </c>
    </row>
    <row r="1947" spans="1:5">
      <c r="A1947" t="s">
        <v>2883</v>
      </c>
      <c r="B1947" t="s">
        <v>2883</v>
      </c>
      <c r="C1947" t="s">
        <v>2304</v>
      </c>
      <c r="E1947" t="s">
        <v>1124</v>
      </c>
    </row>
    <row r="1948" spans="1:5">
      <c r="A1948" t="s">
        <v>2884</v>
      </c>
      <c r="B1948" t="s">
        <v>2884</v>
      </c>
      <c r="C1948" t="s">
        <v>2304</v>
      </c>
      <c r="E1948" t="s">
        <v>1124</v>
      </c>
    </row>
    <row r="1949" spans="1:5">
      <c r="A1949" t="s">
        <v>2885</v>
      </c>
      <c r="B1949" t="s">
        <v>2885</v>
      </c>
      <c r="C1949" t="s">
        <v>2304</v>
      </c>
      <c r="E1949" t="s">
        <v>1124</v>
      </c>
    </row>
    <row r="1950" spans="1:5">
      <c r="A1950" t="s">
        <v>2886</v>
      </c>
      <c r="B1950" t="s">
        <v>2886</v>
      </c>
      <c r="C1950" t="s">
        <v>2304</v>
      </c>
      <c r="E1950" t="s">
        <v>1124</v>
      </c>
    </row>
    <row r="1951" spans="1:5">
      <c r="A1951" t="s">
        <v>2887</v>
      </c>
      <c r="B1951" t="s">
        <v>2887</v>
      </c>
      <c r="C1951" t="s">
        <v>2304</v>
      </c>
      <c r="E1951" t="s">
        <v>1124</v>
      </c>
    </row>
    <row r="1952" spans="1:5">
      <c r="A1952" t="s">
        <v>2888</v>
      </c>
      <c r="B1952" t="s">
        <v>2888</v>
      </c>
      <c r="C1952" t="s">
        <v>2304</v>
      </c>
      <c r="E1952" t="s">
        <v>1124</v>
      </c>
    </row>
    <row r="1953" spans="1:5">
      <c r="A1953" t="s">
        <v>2889</v>
      </c>
      <c r="B1953" t="s">
        <v>2889</v>
      </c>
      <c r="C1953" t="s">
        <v>2304</v>
      </c>
      <c r="E1953" t="s">
        <v>1124</v>
      </c>
    </row>
    <row r="1954" spans="1:5">
      <c r="A1954" t="s">
        <v>2890</v>
      </c>
      <c r="B1954" t="s">
        <v>2890</v>
      </c>
      <c r="C1954" t="s">
        <v>2304</v>
      </c>
      <c r="E1954" t="s">
        <v>1124</v>
      </c>
    </row>
    <row r="1955" spans="1:5">
      <c r="A1955" t="s">
        <v>2891</v>
      </c>
      <c r="B1955" t="s">
        <v>2891</v>
      </c>
      <c r="C1955" t="s">
        <v>2304</v>
      </c>
      <c r="E1955" t="s">
        <v>124</v>
      </c>
    </row>
    <row r="1956" spans="1:5">
      <c r="A1956" t="s">
        <v>2892</v>
      </c>
      <c r="B1956" t="s">
        <v>2892</v>
      </c>
      <c r="C1956" t="s">
        <v>2304</v>
      </c>
      <c r="E1956" t="s">
        <v>1124</v>
      </c>
    </row>
    <row r="1957" spans="1:5">
      <c r="A1957" t="s">
        <v>2893</v>
      </c>
      <c r="B1957" t="s">
        <v>2893</v>
      </c>
      <c r="C1957" t="s">
        <v>2304</v>
      </c>
      <c r="E1957" t="s">
        <v>1124</v>
      </c>
    </row>
    <row r="1958" spans="1:5">
      <c r="A1958" t="s">
        <v>2894</v>
      </c>
      <c r="B1958" t="s">
        <v>2894</v>
      </c>
      <c r="C1958" t="s">
        <v>2304</v>
      </c>
      <c r="E1958" t="s">
        <v>1124</v>
      </c>
    </row>
    <row r="1959" spans="1:5">
      <c r="A1959" t="s">
        <v>2895</v>
      </c>
      <c r="B1959" t="s">
        <v>2895</v>
      </c>
      <c r="C1959" t="s">
        <v>2304</v>
      </c>
      <c r="E1959" t="s">
        <v>287</v>
      </c>
    </row>
    <row r="1960" spans="1:5">
      <c r="A1960" t="s">
        <v>2896</v>
      </c>
      <c r="B1960" t="s">
        <v>2896</v>
      </c>
      <c r="C1960" t="s">
        <v>2304</v>
      </c>
      <c r="E1960" t="s">
        <v>2370</v>
      </c>
    </row>
    <row r="1961" spans="1:5">
      <c r="A1961" t="s">
        <v>2897</v>
      </c>
      <c r="B1961" t="s">
        <v>2897</v>
      </c>
      <c r="C1961" t="s">
        <v>2304</v>
      </c>
      <c r="E1961" t="s">
        <v>1783</v>
      </c>
    </row>
    <row r="1962" spans="1:5">
      <c r="A1962" t="s">
        <v>2898</v>
      </c>
      <c r="B1962" t="s">
        <v>2898</v>
      </c>
      <c r="C1962" t="s">
        <v>2304</v>
      </c>
      <c r="E1962" t="s">
        <v>1783</v>
      </c>
    </row>
    <row r="1963" spans="1:5">
      <c r="A1963" t="s">
        <v>2899</v>
      </c>
      <c r="B1963" t="s">
        <v>2899</v>
      </c>
      <c r="C1963" t="s">
        <v>2304</v>
      </c>
      <c r="E1963" t="s">
        <v>287</v>
      </c>
    </row>
    <row r="1964" spans="1:5">
      <c r="A1964" t="s">
        <v>2900</v>
      </c>
      <c r="B1964" t="s">
        <v>2900</v>
      </c>
      <c r="C1964" t="s">
        <v>2304</v>
      </c>
      <c r="E1964" t="s">
        <v>287</v>
      </c>
    </row>
    <row r="1965" spans="1:5">
      <c r="A1965" t="s">
        <v>2901</v>
      </c>
      <c r="B1965" t="s">
        <v>2901</v>
      </c>
      <c r="C1965" t="s">
        <v>2304</v>
      </c>
      <c r="E1965" t="s">
        <v>124</v>
      </c>
    </row>
    <row r="1966" spans="1:5">
      <c r="A1966" t="s">
        <v>2902</v>
      </c>
      <c r="B1966" t="s">
        <v>2902</v>
      </c>
      <c r="C1966" t="s">
        <v>2304</v>
      </c>
      <c r="E1966" t="s">
        <v>1124</v>
      </c>
    </row>
    <row r="1967" spans="1:5">
      <c r="A1967" t="s">
        <v>2903</v>
      </c>
      <c r="B1967" t="s">
        <v>2903</v>
      </c>
      <c r="C1967" t="s">
        <v>2304</v>
      </c>
      <c r="E1967" t="s">
        <v>1783</v>
      </c>
    </row>
    <row r="1968" spans="1:5">
      <c r="A1968" t="s">
        <v>2904</v>
      </c>
      <c r="B1968" t="s">
        <v>2904</v>
      </c>
      <c r="C1968" t="s">
        <v>2304</v>
      </c>
      <c r="E1968" t="s">
        <v>1124</v>
      </c>
    </row>
    <row r="1969" spans="1:5">
      <c r="A1969" t="s">
        <v>2905</v>
      </c>
      <c r="B1969" t="s">
        <v>2905</v>
      </c>
      <c r="C1969" t="s">
        <v>2304</v>
      </c>
      <c r="E1969" t="s">
        <v>1124</v>
      </c>
    </row>
    <row r="1970" spans="1:5">
      <c r="A1970" t="s">
        <v>2906</v>
      </c>
      <c r="B1970" t="s">
        <v>2906</v>
      </c>
      <c r="C1970" t="s">
        <v>2304</v>
      </c>
      <c r="E1970" t="s">
        <v>1124</v>
      </c>
    </row>
    <row r="1971" spans="1:5">
      <c r="A1971" t="s">
        <v>2907</v>
      </c>
      <c r="B1971" t="s">
        <v>2907</v>
      </c>
      <c r="C1971" t="s">
        <v>2304</v>
      </c>
      <c r="E1971" t="s">
        <v>1783</v>
      </c>
    </row>
    <row r="1972" spans="1:5">
      <c r="A1972" t="s">
        <v>2908</v>
      </c>
      <c r="B1972" t="s">
        <v>2908</v>
      </c>
      <c r="C1972" t="s">
        <v>2304</v>
      </c>
      <c r="E1972" t="s">
        <v>124</v>
      </c>
    </row>
    <row r="1973" spans="1:5">
      <c r="A1973" t="s">
        <v>2909</v>
      </c>
      <c r="B1973" t="s">
        <v>2909</v>
      </c>
      <c r="C1973" t="s">
        <v>2304</v>
      </c>
      <c r="E1973" t="s">
        <v>124</v>
      </c>
    </row>
    <row r="1974" spans="1:5">
      <c r="A1974" t="s">
        <v>2910</v>
      </c>
      <c r="B1974" t="s">
        <v>2910</v>
      </c>
      <c r="C1974" t="s">
        <v>2304</v>
      </c>
      <c r="E1974" t="s">
        <v>1124</v>
      </c>
    </row>
    <row r="1975" spans="1:5">
      <c r="A1975" t="s">
        <v>2911</v>
      </c>
      <c r="B1975" t="s">
        <v>2911</v>
      </c>
      <c r="C1975" t="s">
        <v>2304</v>
      </c>
      <c r="E1975" t="s">
        <v>1124</v>
      </c>
    </row>
    <row r="1976" spans="1:5">
      <c r="A1976" t="s">
        <v>2912</v>
      </c>
      <c r="B1976" t="s">
        <v>2912</v>
      </c>
      <c r="C1976" t="s">
        <v>2304</v>
      </c>
      <c r="E1976" t="s">
        <v>1124</v>
      </c>
    </row>
    <row r="1977" spans="1:5">
      <c r="A1977" t="s">
        <v>2913</v>
      </c>
      <c r="B1977" t="s">
        <v>2913</v>
      </c>
      <c r="C1977" t="s">
        <v>2304</v>
      </c>
      <c r="E1977" t="s">
        <v>1124</v>
      </c>
    </row>
    <row r="1978" spans="1:5">
      <c r="A1978" t="s">
        <v>2914</v>
      </c>
      <c r="B1978" t="s">
        <v>2914</v>
      </c>
      <c r="C1978" t="s">
        <v>2304</v>
      </c>
      <c r="E1978" t="s">
        <v>1124</v>
      </c>
    </row>
    <row r="1979" spans="1:5">
      <c r="A1979" t="s">
        <v>2915</v>
      </c>
      <c r="B1979" t="s">
        <v>2915</v>
      </c>
      <c r="C1979" t="s">
        <v>2304</v>
      </c>
      <c r="E1979" t="s">
        <v>1783</v>
      </c>
    </row>
    <row r="1980" spans="1:5">
      <c r="A1980" t="s">
        <v>2916</v>
      </c>
      <c r="B1980" t="s">
        <v>2916</v>
      </c>
      <c r="C1980" t="s">
        <v>2304</v>
      </c>
      <c r="E1980" t="s">
        <v>1124</v>
      </c>
    </row>
    <row r="1981" spans="1:5">
      <c r="A1981" t="s">
        <v>2917</v>
      </c>
      <c r="B1981" t="s">
        <v>2917</v>
      </c>
      <c r="C1981" t="s">
        <v>2304</v>
      </c>
      <c r="E1981" t="s">
        <v>1124</v>
      </c>
    </row>
    <row r="1982" spans="1:5">
      <c r="A1982" t="s">
        <v>2918</v>
      </c>
      <c r="B1982" t="s">
        <v>2918</v>
      </c>
      <c r="C1982" t="s">
        <v>2304</v>
      </c>
      <c r="E1982" t="s">
        <v>1124</v>
      </c>
    </row>
    <row r="1983" spans="1:5">
      <c r="A1983" t="s">
        <v>2919</v>
      </c>
      <c r="B1983" t="s">
        <v>2919</v>
      </c>
      <c r="C1983" t="s">
        <v>2304</v>
      </c>
      <c r="E1983" t="s">
        <v>1124</v>
      </c>
    </row>
    <row r="1984" spans="1:5">
      <c r="A1984" t="s">
        <v>2920</v>
      </c>
      <c r="B1984" t="s">
        <v>2920</v>
      </c>
      <c r="C1984" t="s">
        <v>2304</v>
      </c>
      <c r="E1984" t="s">
        <v>1124</v>
      </c>
    </row>
    <row r="1985" spans="1:5">
      <c r="A1985" t="s">
        <v>2921</v>
      </c>
      <c r="B1985" t="s">
        <v>2921</v>
      </c>
      <c r="C1985" t="s">
        <v>2304</v>
      </c>
      <c r="E1985" t="s">
        <v>1124</v>
      </c>
    </row>
    <row r="1986" spans="1:5">
      <c r="A1986" t="s">
        <v>2922</v>
      </c>
      <c r="B1986" t="s">
        <v>2922</v>
      </c>
      <c r="C1986" t="s">
        <v>2304</v>
      </c>
      <c r="E1986" t="s">
        <v>1124</v>
      </c>
    </row>
    <row r="1987" spans="1:5">
      <c r="A1987" t="s">
        <v>2923</v>
      </c>
      <c r="B1987" t="s">
        <v>2923</v>
      </c>
      <c r="C1987" t="s">
        <v>2304</v>
      </c>
      <c r="E1987" t="s">
        <v>1124</v>
      </c>
    </row>
    <row r="1988" spans="1:5">
      <c r="A1988" t="s">
        <v>2924</v>
      </c>
      <c r="B1988" t="s">
        <v>2924</v>
      </c>
      <c r="C1988" t="s">
        <v>2304</v>
      </c>
      <c r="E1988" t="s">
        <v>1124</v>
      </c>
    </row>
    <row r="1989" spans="1:5">
      <c r="A1989" t="s">
        <v>2925</v>
      </c>
      <c r="B1989" t="s">
        <v>2925</v>
      </c>
      <c r="C1989" t="s">
        <v>2304</v>
      </c>
      <c r="E1989" t="s">
        <v>1124</v>
      </c>
    </row>
    <row r="1990" spans="1:5">
      <c r="A1990" t="s">
        <v>2926</v>
      </c>
      <c r="B1990" t="s">
        <v>2926</v>
      </c>
      <c r="C1990" t="s">
        <v>2304</v>
      </c>
      <c r="E1990" t="s">
        <v>1124</v>
      </c>
    </row>
    <row r="1991" spans="1:5">
      <c r="A1991" t="s">
        <v>2927</v>
      </c>
      <c r="B1991" t="s">
        <v>2927</v>
      </c>
      <c r="C1991" t="s">
        <v>2304</v>
      </c>
      <c r="E1991" t="s">
        <v>1124</v>
      </c>
    </row>
    <row r="1992" spans="1:5">
      <c r="A1992" t="s">
        <v>2928</v>
      </c>
      <c r="B1992" t="s">
        <v>2928</v>
      </c>
      <c r="C1992" t="s">
        <v>2304</v>
      </c>
      <c r="E1992" t="s">
        <v>1783</v>
      </c>
    </row>
    <row r="1993" spans="1:5">
      <c r="A1993" t="s">
        <v>2929</v>
      </c>
      <c r="B1993" t="s">
        <v>2929</v>
      </c>
      <c r="C1993" t="s">
        <v>2304</v>
      </c>
      <c r="E1993" t="s">
        <v>1124</v>
      </c>
    </row>
    <row r="1994" spans="1:5">
      <c r="A1994" t="s">
        <v>2930</v>
      </c>
      <c r="B1994" t="s">
        <v>2930</v>
      </c>
      <c r="C1994" t="s">
        <v>2304</v>
      </c>
      <c r="E1994" t="s">
        <v>1124</v>
      </c>
    </row>
    <row r="1995" spans="1:5">
      <c r="A1995" t="s">
        <v>2931</v>
      </c>
      <c r="B1995" t="s">
        <v>2931</v>
      </c>
      <c r="C1995" t="s">
        <v>2304</v>
      </c>
      <c r="E1995" t="s">
        <v>1124</v>
      </c>
    </row>
    <row r="1996" spans="1:5">
      <c r="A1996" t="s">
        <v>2932</v>
      </c>
      <c r="B1996" t="s">
        <v>2932</v>
      </c>
      <c r="C1996" t="s">
        <v>2304</v>
      </c>
      <c r="E1996" t="s">
        <v>1124</v>
      </c>
    </row>
    <row r="1997" spans="1:5">
      <c r="A1997" t="s">
        <v>2933</v>
      </c>
      <c r="B1997" t="s">
        <v>2933</v>
      </c>
      <c r="C1997" t="s">
        <v>2304</v>
      </c>
      <c r="E1997" t="s">
        <v>1124</v>
      </c>
    </row>
    <row r="1998" spans="1:5">
      <c r="A1998" t="s">
        <v>2934</v>
      </c>
      <c r="B1998" t="s">
        <v>2934</v>
      </c>
      <c r="C1998" t="s">
        <v>2304</v>
      </c>
      <c r="E1998" t="s">
        <v>1783</v>
      </c>
    </row>
    <row r="1999" spans="1:5">
      <c r="A1999" t="s">
        <v>2935</v>
      </c>
      <c r="B1999" t="s">
        <v>2935</v>
      </c>
      <c r="C1999" t="s">
        <v>2304</v>
      </c>
      <c r="E1999" t="s">
        <v>1124</v>
      </c>
    </row>
    <row r="2000" spans="1:5">
      <c r="A2000" t="s">
        <v>2936</v>
      </c>
      <c r="B2000" t="s">
        <v>2936</v>
      </c>
      <c r="C2000" t="s">
        <v>2304</v>
      </c>
      <c r="E2000" t="s">
        <v>1124</v>
      </c>
    </row>
    <row r="2001" spans="1:5">
      <c r="A2001" t="s">
        <v>2937</v>
      </c>
      <c r="B2001" t="s">
        <v>2937</v>
      </c>
      <c r="C2001" t="s">
        <v>2304</v>
      </c>
      <c r="E2001" t="s">
        <v>1124</v>
      </c>
    </row>
    <row r="2002" spans="1:5">
      <c r="A2002" t="s">
        <v>2938</v>
      </c>
      <c r="B2002" t="s">
        <v>2938</v>
      </c>
      <c r="C2002" t="s">
        <v>2304</v>
      </c>
      <c r="E2002" t="s">
        <v>1124</v>
      </c>
    </row>
    <row r="2003" spans="1:5">
      <c r="A2003" t="s">
        <v>2939</v>
      </c>
      <c r="B2003" t="s">
        <v>2939</v>
      </c>
      <c r="C2003" t="s">
        <v>2304</v>
      </c>
      <c r="E2003" t="s">
        <v>1124</v>
      </c>
    </row>
    <row r="2004" spans="1:5">
      <c r="A2004" t="s">
        <v>2940</v>
      </c>
      <c r="B2004" t="s">
        <v>2940</v>
      </c>
      <c r="C2004" t="s">
        <v>2304</v>
      </c>
      <c r="E2004" t="s">
        <v>1124</v>
      </c>
    </row>
    <row r="2005" spans="1:5">
      <c r="A2005" t="s">
        <v>2451</v>
      </c>
      <c r="B2005" t="s">
        <v>2451</v>
      </c>
      <c r="C2005" t="s">
        <v>2304</v>
      </c>
      <c r="E2005" t="s">
        <v>1124</v>
      </c>
    </row>
    <row r="2006" spans="1:5">
      <c r="A2006" t="s">
        <v>2941</v>
      </c>
      <c r="B2006" t="s">
        <v>2941</v>
      </c>
      <c r="C2006" t="s">
        <v>2304</v>
      </c>
      <c r="E2006" t="s">
        <v>1124</v>
      </c>
    </row>
    <row r="2007" spans="1:5">
      <c r="A2007" t="s">
        <v>2942</v>
      </c>
      <c r="B2007" t="s">
        <v>2942</v>
      </c>
      <c r="C2007" t="s">
        <v>2304</v>
      </c>
      <c r="E2007" t="s">
        <v>1124</v>
      </c>
    </row>
    <row r="2008" spans="1:5">
      <c r="A2008" t="s">
        <v>2943</v>
      </c>
      <c r="B2008" t="s">
        <v>2944</v>
      </c>
      <c r="C2008" t="s">
        <v>2304</v>
      </c>
      <c r="E2008" t="s">
        <v>1124</v>
      </c>
    </row>
    <row r="2009" spans="1:5">
      <c r="A2009" t="s">
        <v>2945</v>
      </c>
      <c r="B2009" t="s">
        <v>2945</v>
      </c>
      <c r="C2009" t="s">
        <v>2304</v>
      </c>
      <c r="E2009" t="s">
        <v>1124</v>
      </c>
    </row>
    <row r="2010" spans="1:5">
      <c r="A2010" t="s">
        <v>2946</v>
      </c>
      <c r="B2010" t="s">
        <v>2946</v>
      </c>
      <c r="C2010" t="s">
        <v>2304</v>
      </c>
      <c r="E2010" t="s">
        <v>1124</v>
      </c>
    </row>
    <row r="2011" spans="1:5">
      <c r="A2011" t="s">
        <v>2947</v>
      </c>
      <c r="B2011" t="s">
        <v>2947</v>
      </c>
      <c r="C2011" t="s">
        <v>2304</v>
      </c>
      <c r="E2011" t="s">
        <v>1124</v>
      </c>
    </row>
    <row r="2012" spans="1:5">
      <c r="A2012" t="s">
        <v>2948</v>
      </c>
      <c r="B2012" t="s">
        <v>2948</v>
      </c>
      <c r="C2012" t="s">
        <v>2304</v>
      </c>
      <c r="E2012" t="s">
        <v>1124</v>
      </c>
    </row>
    <row r="2013" spans="1:5">
      <c r="A2013" t="s">
        <v>2949</v>
      </c>
      <c r="B2013" t="s">
        <v>2949</v>
      </c>
      <c r="C2013" t="s">
        <v>2304</v>
      </c>
      <c r="E2013" t="s">
        <v>1124</v>
      </c>
    </row>
    <row r="2014" spans="1:5">
      <c r="A2014" t="s">
        <v>2950</v>
      </c>
      <c r="B2014" t="s">
        <v>2950</v>
      </c>
      <c r="C2014" t="s">
        <v>2304</v>
      </c>
      <c r="E2014" t="s">
        <v>1124</v>
      </c>
    </row>
    <row r="2015" spans="1:5">
      <c r="A2015" t="s">
        <v>2951</v>
      </c>
      <c r="B2015" t="s">
        <v>2951</v>
      </c>
      <c r="C2015" t="s">
        <v>2304</v>
      </c>
      <c r="E2015" t="s">
        <v>1124</v>
      </c>
    </row>
    <row r="2016" spans="1:5">
      <c r="A2016" t="s">
        <v>2952</v>
      </c>
      <c r="B2016" t="s">
        <v>2952</v>
      </c>
      <c r="C2016" t="s">
        <v>2304</v>
      </c>
      <c r="E2016" t="s">
        <v>1124</v>
      </c>
    </row>
    <row r="2017" spans="1:5">
      <c r="A2017" t="s">
        <v>2953</v>
      </c>
      <c r="B2017" t="s">
        <v>2953</v>
      </c>
      <c r="C2017" t="s">
        <v>2304</v>
      </c>
      <c r="E2017" t="s">
        <v>1124</v>
      </c>
    </row>
    <row r="2018" spans="1:5">
      <c r="A2018" t="s">
        <v>2954</v>
      </c>
      <c r="B2018" t="s">
        <v>2954</v>
      </c>
      <c r="C2018" t="s">
        <v>2304</v>
      </c>
      <c r="E2018" t="s">
        <v>1783</v>
      </c>
    </row>
    <row r="2019" spans="1:5">
      <c r="A2019" t="s">
        <v>2955</v>
      </c>
      <c r="B2019" t="s">
        <v>2955</v>
      </c>
      <c r="C2019" t="s">
        <v>2304</v>
      </c>
      <c r="E2019" t="s">
        <v>1124</v>
      </c>
    </row>
    <row r="2020" spans="1:5">
      <c r="A2020" t="s">
        <v>2956</v>
      </c>
      <c r="B2020" t="s">
        <v>2956</v>
      </c>
      <c r="C2020" t="s">
        <v>2304</v>
      </c>
      <c r="E2020" t="s">
        <v>1124</v>
      </c>
    </row>
    <row r="2021" spans="1:5">
      <c r="A2021" t="s">
        <v>2957</v>
      </c>
      <c r="B2021" t="s">
        <v>2957</v>
      </c>
      <c r="C2021" t="s">
        <v>2304</v>
      </c>
      <c r="E2021" t="s">
        <v>1124</v>
      </c>
    </row>
    <row r="2022" spans="1:5">
      <c r="A2022" t="s">
        <v>2958</v>
      </c>
      <c r="B2022" t="s">
        <v>2958</v>
      </c>
      <c r="C2022" t="s">
        <v>2304</v>
      </c>
      <c r="E2022" t="s">
        <v>1124</v>
      </c>
    </row>
    <row r="2023" spans="1:5">
      <c r="A2023" t="s">
        <v>2959</v>
      </c>
      <c r="B2023" t="s">
        <v>2959</v>
      </c>
      <c r="C2023" t="s">
        <v>2304</v>
      </c>
      <c r="E2023" t="s">
        <v>1124</v>
      </c>
    </row>
    <row r="2024" spans="1:5">
      <c r="A2024" t="s">
        <v>2960</v>
      </c>
      <c r="B2024" t="s">
        <v>2960</v>
      </c>
      <c r="C2024" t="s">
        <v>2304</v>
      </c>
      <c r="E2024" t="s">
        <v>1124</v>
      </c>
    </row>
    <row r="2025" spans="1:5">
      <c r="A2025" t="s">
        <v>2961</v>
      </c>
      <c r="B2025" t="s">
        <v>2961</v>
      </c>
      <c r="C2025" t="s">
        <v>2304</v>
      </c>
      <c r="E2025" t="s">
        <v>1124</v>
      </c>
    </row>
    <row r="2026" spans="1:5">
      <c r="A2026" t="s">
        <v>2962</v>
      </c>
      <c r="B2026" t="s">
        <v>2962</v>
      </c>
      <c r="C2026" t="s">
        <v>2304</v>
      </c>
      <c r="E2026" t="s">
        <v>1124</v>
      </c>
    </row>
    <row r="2027" spans="1:5">
      <c r="A2027" t="s">
        <v>2963</v>
      </c>
      <c r="B2027" t="s">
        <v>2963</v>
      </c>
      <c r="C2027" t="s">
        <v>2304</v>
      </c>
      <c r="E2027" t="s">
        <v>1124</v>
      </c>
    </row>
    <row r="2028" spans="1:5">
      <c r="A2028" t="s">
        <v>2964</v>
      </c>
      <c r="B2028" t="s">
        <v>2964</v>
      </c>
      <c r="C2028" t="s">
        <v>2304</v>
      </c>
      <c r="E2028" t="s">
        <v>1124</v>
      </c>
    </row>
    <row r="2029" spans="1:5">
      <c r="A2029" t="s">
        <v>2965</v>
      </c>
      <c r="B2029" t="s">
        <v>2965</v>
      </c>
      <c r="C2029" t="s">
        <v>2304</v>
      </c>
      <c r="E2029" t="s">
        <v>1124</v>
      </c>
    </row>
    <row r="2030" spans="1:5">
      <c r="A2030" t="s">
        <v>2966</v>
      </c>
      <c r="B2030" t="s">
        <v>2966</v>
      </c>
      <c r="C2030" t="s">
        <v>2304</v>
      </c>
      <c r="E2030" t="s">
        <v>1124</v>
      </c>
    </row>
    <row r="2031" spans="1:5">
      <c r="A2031" t="s">
        <v>2967</v>
      </c>
      <c r="B2031" t="s">
        <v>2967</v>
      </c>
      <c r="C2031" t="s">
        <v>2304</v>
      </c>
      <c r="E2031" t="s">
        <v>1124</v>
      </c>
    </row>
    <row r="2032" spans="1:5">
      <c r="A2032" t="s">
        <v>2968</v>
      </c>
      <c r="B2032" t="s">
        <v>2968</v>
      </c>
      <c r="C2032" t="s">
        <v>2304</v>
      </c>
      <c r="E2032" t="s">
        <v>1783</v>
      </c>
    </row>
    <row r="2033" spans="1:5">
      <c r="A2033" t="s">
        <v>2969</v>
      </c>
      <c r="B2033" t="s">
        <v>2969</v>
      </c>
      <c r="C2033" t="s">
        <v>2304</v>
      </c>
      <c r="E2033" t="s">
        <v>1124</v>
      </c>
    </row>
    <row r="2034" spans="1:5">
      <c r="A2034" t="s">
        <v>2970</v>
      </c>
      <c r="B2034" t="s">
        <v>2970</v>
      </c>
      <c r="C2034" t="s">
        <v>2304</v>
      </c>
      <c r="E2034" t="s">
        <v>1124</v>
      </c>
    </row>
    <row r="2035" spans="1:5">
      <c r="A2035" t="s">
        <v>2971</v>
      </c>
      <c r="B2035" t="s">
        <v>2971</v>
      </c>
      <c r="C2035" t="s">
        <v>2304</v>
      </c>
      <c r="E2035" t="s">
        <v>1124</v>
      </c>
    </row>
    <row r="2036" spans="1:5">
      <c r="A2036" t="s">
        <v>2972</v>
      </c>
      <c r="B2036" t="s">
        <v>2972</v>
      </c>
      <c r="C2036" t="s">
        <v>2304</v>
      </c>
      <c r="E2036" t="s">
        <v>1124</v>
      </c>
    </row>
    <row r="2037" spans="1:5">
      <c r="A2037" t="s">
        <v>2973</v>
      </c>
      <c r="B2037" t="s">
        <v>2973</v>
      </c>
      <c r="C2037" t="s">
        <v>2304</v>
      </c>
      <c r="E2037" t="s">
        <v>1124</v>
      </c>
    </row>
    <row r="2038" spans="1:5">
      <c r="A2038" t="s">
        <v>2974</v>
      </c>
      <c r="B2038" t="s">
        <v>2975</v>
      </c>
      <c r="C2038" t="s">
        <v>2304</v>
      </c>
      <c r="E2038" t="s">
        <v>1124</v>
      </c>
    </row>
    <row r="2039" spans="1:5">
      <c r="A2039" t="s">
        <v>2976</v>
      </c>
      <c r="B2039" t="s">
        <v>2976</v>
      </c>
      <c r="C2039" t="s">
        <v>2304</v>
      </c>
      <c r="E2039" t="s">
        <v>1124</v>
      </c>
    </row>
    <row r="2040" spans="1:5">
      <c r="A2040" t="s">
        <v>2977</v>
      </c>
      <c r="B2040" t="s">
        <v>2977</v>
      </c>
      <c r="C2040" t="s">
        <v>2304</v>
      </c>
      <c r="E2040" t="s">
        <v>1124</v>
      </c>
    </row>
    <row r="2041" spans="1:5">
      <c r="A2041" t="s">
        <v>2978</v>
      </c>
      <c r="B2041" t="s">
        <v>2978</v>
      </c>
      <c r="C2041" t="s">
        <v>2304</v>
      </c>
      <c r="E2041" t="s">
        <v>1124</v>
      </c>
    </row>
    <row r="2042" spans="1:5">
      <c r="A2042" t="s">
        <v>2979</v>
      </c>
      <c r="B2042" t="s">
        <v>2979</v>
      </c>
      <c r="C2042" t="s">
        <v>2304</v>
      </c>
      <c r="E2042" t="s">
        <v>1124</v>
      </c>
    </row>
    <row r="2043" spans="1:5">
      <c r="A2043" t="s">
        <v>2980</v>
      </c>
      <c r="B2043" t="s">
        <v>2980</v>
      </c>
      <c r="C2043" t="s">
        <v>2304</v>
      </c>
      <c r="E2043" t="s">
        <v>1124</v>
      </c>
    </row>
    <row r="2044" spans="1:5">
      <c r="A2044" t="s">
        <v>2981</v>
      </c>
      <c r="B2044" t="s">
        <v>2981</v>
      </c>
      <c r="C2044" t="s">
        <v>2304</v>
      </c>
      <c r="E2044" t="s">
        <v>1124</v>
      </c>
    </row>
    <row r="2045" spans="1:5">
      <c r="A2045" t="s">
        <v>2982</v>
      </c>
      <c r="B2045" t="s">
        <v>2982</v>
      </c>
      <c r="C2045" t="s">
        <v>2304</v>
      </c>
      <c r="E2045" t="s">
        <v>1124</v>
      </c>
    </row>
    <row r="2046" spans="1:5">
      <c r="A2046" t="s">
        <v>2983</v>
      </c>
      <c r="B2046" t="s">
        <v>2983</v>
      </c>
      <c r="C2046" t="s">
        <v>2304</v>
      </c>
      <c r="E2046" t="s">
        <v>1124</v>
      </c>
    </row>
    <row r="2047" spans="1:5">
      <c r="A2047" t="s">
        <v>2984</v>
      </c>
      <c r="B2047" t="s">
        <v>2984</v>
      </c>
      <c r="C2047" t="s">
        <v>2304</v>
      </c>
      <c r="E2047" t="s">
        <v>1124</v>
      </c>
    </row>
    <row r="2048" spans="1:5">
      <c r="A2048" t="s">
        <v>2985</v>
      </c>
      <c r="B2048" t="s">
        <v>2985</v>
      </c>
      <c r="C2048" t="s">
        <v>2304</v>
      </c>
      <c r="E2048" t="s">
        <v>1124</v>
      </c>
    </row>
    <row r="2049" spans="1:5">
      <c r="A2049" t="s">
        <v>2986</v>
      </c>
      <c r="B2049" t="s">
        <v>2986</v>
      </c>
      <c r="C2049" t="s">
        <v>2304</v>
      </c>
      <c r="E2049" t="s">
        <v>1124</v>
      </c>
    </row>
    <row r="2050" spans="1:5">
      <c r="A2050" t="s">
        <v>2987</v>
      </c>
      <c r="B2050" t="s">
        <v>2987</v>
      </c>
      <c r="C2050" t="s">
        <v>2304</v>
      </c>
      <c r="E2050" t="s">
        <v>1124</v>
      </c>
    </row>
    <row r="2051" spans="1:5">
      <c r="A2051" t="s">
        <v>2988</v>
      </c>
      <c r="B2051" t="s">
        <v>2988</v>
      </c>
      <c r="C2051" t="s">
        <v>2304</v>
      </c>
      <c r="E2051" t="s">
        <v>1124</v>
      </c>
    </row>
    <row r="2052" spans="1:5">
      <c r="A2052" t="s">
        <v>2989</v>
      </c>
      <c r="B2052" t="s">
        <v>2989</v>
      </c>
      <c r="C2052" t="s">
        <v>2304</v>
      </c>
      <c r="E2052" t="s">
        <v>1124</v>
      </c>
    </row>
    <row r="2053" spans="1:5">
      <c r="A2053" t="s">
        <v>2990</v>
      </c>
      <c r="B2053" t="s">
        <v>2990</v>
      </c>
      <c r="C2053" t="s">
        <v>2304</v>
      </c>
      <c r="E2053" t="s">
        <v>1124</v>
      </c>
    </row>
    <row r="2054" spans="1:5">
      <c r="A2054" t="s">
        <v>2991</v>
      </c>
      <c r="B2054" t="s">
        <v>2991</v>
      </c>
      <c r="C2054" t="s">
        <v>2304</v>
      </c>
      <c r="E2054" t="s">
        <v>1124</v>
      </c>
    </row>
    <row r="2055" spans="1:5">
      <c r="A2055" t="s">
        <v>2992</v>
      </c>
      <c r="B2055" t="s">
        <v>2992</v>
      </c>
      <c r="C2055" t="s">
        <v>2304</v>
      </c>
      <c r="E2055" t="s">
        <v>1124</v>
      </c>
    </row>
    <row r="2056" spans="1:5">
      <c r="A2056" t="s">
        <v>2993</v>
      </c>
      <c r="B2056" t="s">
        <v>2993</v>
      </c>
      <c r="C2056" t="s">
        <v>2304</v>
      </c>
      <c r="E2056" t="s">
        <v>1124</v>
      </c>
    </row>
    <row r="2057" spans="1:5">
      <c r="A2057" t="s">
        <v>2994</v>
      </c>
      <c r="B2057" t="s">
        <v>2994</v>
      </c>
      <c r="C2057" t="s">
        <v>2304</v>
      </c>
      <c r="E2057" t="s">
        <v>1124</v>
      </c>
    </row>
    <row r="2058" spans="1:5">
      <c r="A2058" t="s">
        <v>2995</v>
      </c>
      <c r="B2058" t="s">
        <v>2995</v>
      </c>
      <c r="C2058" t="s">
        <v>2304</v>
      </c>
      <c r="E2058" t="s">
        <v>1124</v>
      </c>
    </row>
    <row r="2059" spans="1:5">
      <c r="A2059" t="s">
        <v>2996</v>
      </c>
      <c r="B2059" t="s">
        <v>2996</v>
      </c>
      <c r="C2059" t="s">
        <v>2304</v>
      </c>
      <c r="E2059" t="s">
        <v>1124</v>
      </c>
    </row>
    <row r="2060" spans="1:5">
      <c r="A2060" t="s">
        <v>2997</v>
      </c>
      <c r="B2060" t="s">
        <v>2997</v>
      </c>
      <c r="C2060" t="s">
        <v>2304</v>
      </c>
      <c r="E2060" t="s">
        <v>1124</v>
      </c>
    </row>
    <row r="2061" spans="1:5">
      <c r="A2061" t="s">
        <v>2998</v>
      </c>
      <c r="B2061" t="s">
        <v>2998</v>
      </c>
      <c r="C2061" t="s">
        <v>2304</v>
      </c>
      <c r="E2061" t="s">
        <v>1124</v>
      </c>
    </row>
    <row r="2062" spans="1:5">
      <c r="A2062" t="s">
        <v>2999</v>
      </c>
      <c r="B2062" t="s">
        <v>2999</v>
      </c>
      <c r="C2062" t="s">
        <v>2304</v>
      </c>
      <c r="E2062" t="s">
        <v>1124</v>
      </c>
    </row>
    <row r="2063" spans="1:5">
      <c r="A2063" t="s">
        <v>3000</v>
      </c>
      <c r="B2063" t="s">
        <v>3000</v>
      </c>
      <c r="C2063" t="s">
        <v>2304</v>
      </c>
      <c r="E2063" t="s">
        <v>1124</v>
      </c>
    </row>
    <row r="2064" spans="1:5">
      <c r="A2064" t="s">
        <v>3001</v>
      </c>
      <c r="B2064" t="s">
        <v>3001</v>
      </c>
      <c r="C2064" t="s">
        <v>2304</v>
      </c>
      <c r="E2064" t="s">
        <v>1124</v>
      </c>
    </row>
    <row r="2065" spans="1:5">
      <c r="A2065" t="s">
        <v>3002</v>
      </c>
      <c r="B2065" t="s">
        <v>3002</v>
      </c>
      <c r="C2065" t="s">
        <v>2304</v>
      </c>
      <c r="E2065" t="s">
        <v>1124</v>
      </c>
    </row>
    <row r="2066" spans="1:5">
      <c r="A2066" t="s">
        <v>3003</v>
      </c>
      <c r="B2066" t="s">
        <v>3003</v>
      </c>
      <c r="C2066" t="s">
        <v>2304</v>
      </c>
      <c r="E2066" t="s">
        <v>1124</v>
      </c>
    </row>
    <row r="2067" spans="1:5">
      <c r="A2067" t="s">
        <v>3004</v>
      </c>
      <c r="B2067" t="s">
        <v>3004</v>
      </c>
      <c r="C2067" t="s">
        <v>2304</v>
      </c>
      <c r="E2067" t="s">
        <v>1124</v>
      </c>
    </row>
    <row r="2068" spans="1:5">
      <c r="A2068" t="s">
        <v>3005</v>
      </c>
      <c r="B2068" t="s">
        <v>3005</v>
      </c>
      <c r="C2068" t="s">
        <v>2304</v>
      </c>
      <c r="E2068" t="s">
        <v>1783</v>
      </c>
    </row>
    <row r="2069" spans="1:5">
      <c r="A2069" t="s">
        <v>3006</v>
      </c>
      <c r="B2069" t="s">
        <v>3006</v>
      </c>
      <c r="C2069" t="s">
        <v>2304</v>
      </c>
      <c r="E2069" t="s">
        <v>1124</v>
      </c>
    </row>
    <row r="2070" spans="1:5">
      <c r="A2070" t="s">
        <v>3007</v>
      </c>
      <c r="B2070" t="s">
        <v>3007</v>
      </c>
      <c r="C2070" t="s">
        <v>2304</v>
      </c>
      <c r="E2070" t="s">
        <v>1124</v>
      </c>
    </row>
    <row r="2071" spans="1:5">
      <c r="A2071" t="s">
        <v>3008</v>
      </c>
      <c r="B2071" t="s">
        <v>3008</v>
      </c>
      <c r="C2071" t="s">
        <v>2304</v>
      </c>
      <c r="E2071" t="s">
        <v>1124</v>
      </c>
    </row>
    <row r="2072" spans="1:5">
      <c r="A2072" t="s">
        <v>3009</v>
      </c>
      <c r="B2072" t="s">
        <v>3009</v>
      </c>
      <c r="C2072" t="s">
        <v>2304</v>
      </c>
      <c r="E2072" t="s">
        <v>1124</v>
      </c>
    </row>
    <row r="2073" spans="1:5">
      <c r="A2073" t="s">
        <v>3010</v>
      </c>
      <c r="B2073" t="s">
        <v>3010</v>
      </c>
      <c r="C2073" t="s">
        <v>2304</v>
      </c>
      <c r="E2073" t="s">
        <v>1124</v>
      </c>
    </row>
    <row r="2074" spans="1:5">
      <c r="A2074" t="s">
        <v>3011</v>
      </c>
      <c r="B2074" t="s">
        <v>3012</v>
      </c>
      <c r="C2074" t="s">
        <v>2304</v>
      </c>
      <c r="E2074" t="s">
        <v>1124</v>
      </c>
    </row>
    <row r="2075" spans="1:5">
      <c r="A2075" t="s">
        <v>3013</v>
      </c>
      <c r="B2075" t="s">
        <v>3013</v>
      </c>
      <c r="C2075" t="s">
        <v>2304</v>
      </c>
      <c r="E2075" t="s">
        <v>1124</v>
      </c>
    </row>
    <row r="2076" spans="1:5">
      <c r="A2076" t="s">
        <v>3014</v>
      </c>
      <c r="B2076" t="s">
        <v>3014</v>
      </c>
      <c r="C2076" t="s">
        <v>2304</v>
      </c>
      <c r="E2076" t="s">
        <v>1124</v>
      </c>
    </row>
    <row r="2077" spans="1:5">
      <c r="A2077" t="s">
        <v>3015</v>
      </c>
      <c r="B2077" t="s">
        <v>3015</v>
      </c>
      <c r="C2077" t="s">
        <v>2304</v>
      </c>
      <c r="E2077" t="s">
        <v>1124</v>
      </c>
    </row>
    <row r="2078" spans="1:5">
      <c r="A2078" t="s">
        <v>3016</v>
      </c>
      <c r="B2078" t="s">
        <v>3016</v>
      </c>
      <c r="C2078" t="s">
        <v>2304</v>
      </c>
      <c r="E2078" t="s">
        <v>287</v>
      </c>
    </row>
    <row r="2079" spans="1:5">
      <c r="A2079" t="s">
        <v>3017</v>
      </c>
      <c r="B2079" t="s">
        <v>3017</v>
      </c>
      <c r="C2079" t="s">
        <v>2304</v>
      </c>
      <c r="E2079" t="s">
        <v>287</v>
      </c>
    </row>
    <row r="2080" spans="1:5">
      <c r="A2080" t="s">
        <v>3018</v>
      </c>
      <c r="B2080" t="s">
        <v>3018</v>
      </c>
      <c r="C2080" t="s">
        <v>2304</v>
      </c>
      <c r="E2080" t="s">
        <v>1124</v>
      </c>
    </row>
    <row r="2081" spans="1:5">
      <c r="A2081" t="s">
        <v>3019</v>
      </c>
      <c r="B2081" t="s">
        <v>3019</v>
      </c>
      <c r="C2081" t="s">
        <v>2304</v>
      </c>
      <c r="E2081" t="s">
        <v>1124</v>
      </c>
    </row>
    <row r="2082" spans="1:5">
      <c r="A2082" t="s">
        <v>3020</v>
      </c>
      <c r="B2082" t="s">
        <v>3020</v>
      </c>
      <c r="C2082" t="s">
        <v>2304</v>
      </c>
      <c r="E2082" t="s">
        <v>1783</v>
      </c>
    </row>
    <row r="2083" spans="1:5">
      <c r="A2083" t="s">
        <v>3021</v>
      </c>
      <c r="B2083" t="s">
        <v>3021</v>
      </c>
      <c r="C2083" t="s">
        <v>2304</v>
      </c>
      <c r="E2083" t="s">
        <v>1124</v>
      </c>
    </row>
    <row r="2084" spans="1:5">
      <c r="A2084" t="s">
        <v>3022</v>
      </c>
      <c r="B2084" t="s">
        <v>3022</v>
      </c>
      <c r="C2084" t="s">
        <v>2304</v>
      </c>
      <c r="E2084" t="s">
        <v>1124</v>
      </c>
    </row>
    <row r="2085" spans="1:5">
      <c r="A2085" t="s">
        <v>3023</v>
      </c>
      <c r="B2085" t="s">
        <v>3023</v>
      </c>
      <c r="C2085" t="s">
        <v>2304</v>
      </c>
      <c r="E2085" t="s">
        <v>1783</v>
      </c>
    </row>
    <row r="2086" spans="1:5">
      <c r="A2086" t="s">
        <v>3024</v>
      </c>
      <c r="B2086" t="s">
        <v>3024</v>
      </c>
      <c r="C2086" t="s">
        <v>2304</v>
      </c>
      <c r="E2086" t="s">
        <v>1124</v>
      </c>
    </row>
    <row r="2087" spans="1:5">
      <c r="A2087" t="s">
        <v>3025</v>
      </c>
      <c r="B2087" t="s">
        <v>3026</v>
      </c>
      <c r="C2087" t="s">
        <v>2304</v>
      </c>
      <c r="E2087" t="s">
        <v>1124</v>
      </c>
    </row>
    <row r="2088" spans="1:5">
      <c r="A2088" t="s">
        <v>3027</v>
      </c>
      <c r="B2088" t="s">
        <v>3027</v>
      </c>
      <c r="C2088" t="s">
        <v>2304</v>
      </c>
      <c r="E2088" t="s">
        <v>1124</v>
      </c>
    </row>
    <row r="2089" spans="1:5">
      <c r="A2089" t="s">
        <v>3028</v>
      </c>
      <c r="B2089" t="s">
        <v>3028</v>
      </c>
      <c r="C2089" t="s">
        <v>2304</v>
      </c>
      <c r="E2089" t="s">
        <v>1124</v>
      </c>
    </row>
    <row r="2090" spans="1:5">
      <c r="A2090" t="s">
        <v>3029</v>
      </c>
      <c r="B2090" t="s">
        <v>3029</v>
      </c>
      <c r="C2090" t="s">
        <v>2304</v>
      </c>
      <c r="E2090" t="s">
        <v>1124</v>
      </c>
    </row>
    <row r="2091" spans="1:5">
      <c r="A2091" t="s">
        <v>3030</v>
      </c>
      <c r="B2091" t="s">
        <v>3030</v>
      </c>
      <c r="C2091" t="s">
        <v>2304</v>
      </c>
      <c r="E2091" t="s">
        <v>1124</v>
      </c>
    </row>
    <row r="2092" spans="1:5">
      <c r="A2092" t="s">
        <v>3031</v>
      </c>
      <c r="B2092" t="s">
        <v>3031</v>
      </c>
      <c r="C2092" t="s">
        <v>2304</v>
      </c>
      <c r="E2092" t="s">
        <v>1783</v>
      </c>
    </row>
    <row r="2093" spans="1:5">
      <c r="A2093" t="s">
        <v>3032</v>
      </c>
      <c r="B2093" t="s">
        <v>3032</v>
      </c>
      <c r="C2093" t="s">
        <v>2304</v>
      </c>
      <c r="E2093" t="s">
        <v>124</v>
      </c>
    </row>
    <row r="2094" spans="1:5">
      <c r="A2094" t="s">
        <v>3033</v>
      </c>
      <c r="B2094" t="s">
        <v>3033</v>
      </c>
      <c r="C2094" t="s">
        <v>2304</v>
      </c>
      <c r="E2094" t="s">
        <v>2306</v>
      </c>
    </row>
    <row r="2095" spans="1:5">
      <c r="A2095" t="s">
        <v>3034</v>
      </c>
      <c r="B2095" t="s">
        <v>3034</v>
      </c>
      <c r="C2095" t="s">
        <v>2304</v>
      </c>
      <c r="E2095" t="s">
        <v>1124</v>
      </c>
    </row>
    <row r="2096" spans="1:5">
      <c r="A2096" t="s">
        <v>3035</v>
      </c>
      <c r="B2096" t="s">
        <v>3035</v>
      </c>
      <c r="C2096" t="s">
        <v>2304</v>
      </c>
      <c r="E2096" t="s">
        <v>1124</v>
      </c>
    </row>
    <row r="2097" spans="1:5">
      <c r="A2097" t="s">
        <v>3036</v>
      </c>
      <c r="B2097" t="s">
        <v>3036</v>
      </c>
      <c r="C2097" t="s">
        <v>2304</v>
      </c>
      <c r="E2097" t="s">
        <v>1124</v>
      </c>
    </row>
    <row r="2098" spans="1:5">
      <c r="A2098" t="s">
        <v>3037</v>
      </c>
      <c r="B2098" t="s">
        <v>3037</v>
      </c>
      <c r="C2098" t="s">
        <v>2304</v>
      </c>
      <c r="E2098" t="s">
        <v>1124</v>
      </c>
    </row>
    <row r="2099" spans="1:5">
      <c r="A2099" t="s">
        <v>3038</v>
      </c>
      <c r="B2099" t="s">
        <v>3038</v>
      </c>
      <c r="C2099" t="s">
        <v>2304</v>
      </c>
      <c r="E2099" t="s">
        <v>1124</v>
      </c>
    </row>
    <row r="2100" spans="1:5">
      <c r="A2100" t="s">
        <v>3039</v>
      </c>
      <c r="B2100" t="s">
        <v>3039</v>
      </c>
      <c r="C2100" t="s">
        <v>2304</v>
      </c>
      <c r="E2100" t="s">
        <v>1124</v>
      </c>
    </row>
    <row r="2101" spans="1:5">
      <c r="A2101" t="s">
        <v>3040</v>
      </c>
      <c r="B2101" t="s">
        <v>3040</v>
      </c>
      <c r="C2101" t="s">
        <v>2304</v>
      </c>
      <c r="E2101" t="s">
        <v>1783</v>
      </c>
    </row>
    <row r="2102" spans="1:5">
      <c r="A2102" t="s">
        <v>3041</v>
      </c>
      <c r="B2102" t="s">
        <v>3041</v>
      </c>
      <c r="C2102" t="s">
        <v>2304</v>
      </c>
      <c r="E2102" t="s">
        <v>1124</v>
      </c>
    </row>
    <row r="2103" spans="1:5">
      <c r="A2103" t="s">
        <v>3042</v>
      </c>
      <c r="B2103" t="s">
        <v>3042</v>
      </c>
      <c r="C2103" t="s">
        <v>2304</v>
      </c>
      <c r="E2103" t="s">
        <v>1124</v>
      </c>
    </row>
    <row r="2104" spans="1:5">
      <c r="A2104" t="s">
        <v>3043</v>
      </c>
      <c r="B2104" t="s">
        <v>3043</v>
      </c>
      <c r="C2104" t="s">
        <v>2304</v>
      </c>
      <c r="E2104" t="s">
        <v>1124</v>
      </c>
    </row>
    <row r="2105" spans="1:5">
      <c r="A2105" t="s">
        <v>3044</v>
      </c>
      <c r="B2105" t="s">
        <v>3044</v>
      </c>
      <c r="C2105" t="s">
        <v>2304</v>
      </c>
      <c r="E2105" t="s">
        <v>1124</v>
      </c>
    </row>
    <row r="2106" spans="1:5">
      <c r="A2106" t="s">
        <v>3045</v>
      </c>
      <c r="B2106" t="s">
        <v>3045</v>
      </c>
      <c r="C2106" t="s">
        <v>2304</v>
      </c>
      <c r="E2106" t="s">
        <v>1124</v>
      </c>
    </row>
    <row r="2107" spans="1:5">
      <c r="A2107" t="s">
        <v>3046</v>
      </c>
      <c r="B2107" t="s">
        <v>3046</v>
      </c>
      <c r="C2107" t="s">
        <v>2304</v>
      </c>
      <c r="E2107" t="s">
        <v>1972</v>
      </c>
    </row>
    <row r="2108" spans="1:5">
      <c r="A2108" t="s">
        <v>3047</v>
      </c>
      <c r="B2108" t="s">
        <v>3047</v>
      </c>
      <c r="C2108" t="s">
        <v>2304</v>
      </c>
      <c r="E2108" t="s">
        <v>1124</v>
      </c>
    </row>
    <row r="2109" spans="1:5">
      <c r="A2109" t="s">
        <v>3048</v>
      </c>
      <c r="B2109" t="s">
        <v>3048</v>
      </c>
      <c r="C2109" t="s">
        <v>2304</v>
      </c>
      <c r="E2109" t="s">
        <v>1124</v>
      </c>
    </row>
    <row r="2110" spans="1:5">
      <c r="A2110" t="s">
        <v>3049</v>
      </c>
      <c r="B2110" t="s">
        <v>3049</v>
      </c>
      <c r="C2110" t="s">
        <v>2304</v>
      </c>
      <c r="E2110" t="s">
        <v>1124</v>
      </c>
    </row>
    <row r="2111" spans="1:5">
      <c r="A2111" t="s">
        <v>3050</v>
      </c>
      <c r="B2111" t="s">
        <v>3050</v>
      </c>
      <c r="C2111" t="s">
        <v>2304</v>
      </c>
      <c r="E2111" t="s">
        <v>1124</v>
      </c>
    </row>
    <row r="2112" spans="1:5">
      <c r="A2112" t="s">
        <v>3051</v>
      </c>
      <c r="B2112" t="s">
        <v>3051</v>
      </c>
      <c r="C2112" t="s">
        <v>2304</v>
      </c>
      <c r="E2112" t="s">
        <v>1124</v>
      </c>
    </row>
    <row r="2113" spans="1:5">
      <c r="A2113" t="s">
        <v>3052</v>
      </c>
      <c r="B2113" t="s">
        <v>3052</v>
      </c>
      <c r="C2113" t="s">
        <v>2304</v>
      </c>
      <c r="E2113" t="s">
        <v>1124</v>
      </c>
    </row>
    <row r="2114" spans="1:5">
      <c r="A2114" t="s">
        <v>3053</v>
      </c>
      <c r="B2114" t="s">
        <v>3053</v>
      </c>
      <c r="C2114" t="s">
        <v>2304</v>
      </c>
      <c r="E2114" t="s">
        <v>1124</v>
      </c>
    </row>
    <row r="2115" spans="1:5">
      <c r="A2115" t="s">
        <v>3054</v>
      </c>
      <c r="B2115" t="s">
        <v>3054</v>
      </c>
      <c r="C2115" t="s">
        <v>2304</v>
      </c>
      <c r="E2115" t="s">
        <v>1124</v>
      </c>
    </row>
    <row r="2116" spans="1:5">
      <c r="A2116" t="s">
        <v>3055</v>
      </c>
      <c r="B2116" t="s">
        <v>3055</v>
      </c>
      <c r="C2116" t="s">
        <v>2304</v>
      </c>
      <c r="E2116" t="s">
        <v>1124</v>
      </c>
    </row>
    <row r="2117" spans="1:5">
      <c r="A2117" t="s">
        <v>3056</v>
      </c>
      <c r="B2117" t="s">
        <v>3056</v>
      </c>
      <c r="C2117" t="s">
        <v>2304</v>
      </c>
      <c r="E2117" t="s">
        <v>1124</v>
      </c>
    </row>
    <row r="2118" spans="1:5">
      <c r="A2118" t="s">
        <v>3057</v>
      </c>
      <c r="B2118" t="s">
        <v>3057</v>
      </c>
      <c r="C2118" t="s">
        <v>2304</v>
      </c>
      <c r="E2118" t="s">
        <v>124</v>
      </c>
    </row>
    <row r="2119" spans="1:5">
      <c r="A2119" t="s">
        <v>3058</v>
      </c>
      <c r="B2119" t="s">
        <v>3058</v>
      </c>
      <c r="C2119" t="s">
        <v>2304</v>
      </c>
      <c r="E2119" t="s">
        <v>1124</v>
      </c>
    </row>
    <row r="2120" spans="1:5">
      <c r="A2120" t="s">
        <v>3059</v>
      </c>
      <c r="B2120" t="s">
        <v>3059</v>
      </c>
      <c r="C2120" t="s">
        <v>2304</v>
      </c>
      <c r="E2120" t="s">
        <v>1124</v>
      </c>
    </row>
    <row r="2121" spans="1:5">
      <c r="A2121" t="s">
        <v>3060</v>
      </c>
      <c r="B2121" t="s">
        <v>3060</v>
      </c>
      <c r="C2121" t="s">
        <v>2304</v>
      </c>
      <c r="E2121" t="s">
        <v>1124</v>
      </c>
    </row>
    <row r="2122" spans="1:5">
      <c r="A2122" t="s">
        <v>3061</v>
      </c>
      <c r="B2122" t="s">
        <v>3061</v>
      </c>
      <c r="C2122" t="s">
        <v>2304</v>
      </c>
      <c r="E2122" t="s">
        <v>1124</v>
      </c>
    </row>
    <row r="2123" spans="1:5">
      <c r="A2123" t="s">
        <v>3062</v>
      </c>
      <c r="B2123" t="s">
        <v>3062</v>
      </c>
      <c r="C2123" t="s">
        <v>2304</v>
      </c>
      <c r="E2123" t="s">
        <v>1124</v>
      </c>
    </row>
    <row r="2124" spans="1:5">
      <c r="A2124" t="s">
        <v>3063</v>
      </c>
      <c r="B2124" t="s">
        <v>3063</v>
      </c>
      <c r="C2124" t="s">
        <v>2304</v>
      </c>
      <c r="E2124" t="s">
        <v>1124</v>
      </c>
    </row>
    <row r="2125" spans="1:5">
      <c r="A2125" t="s">
        <v>3064</v>
      </c>
      <c r="B2125" t="s">
        <v>3065</v>
      </c>
      <c r="C2125" t="s">
        <v>2304</v>
      </c>
      <c r="E2125" t="s">
        <v>124</v>
      </c>
    </row>
    <row r="2126" spans="1:5">
      <c r="A2126" t="s">
        <v>3066</v>
      </c>
      <c r="B2126" t="s">
        <v>3066</v>
      </c>
      <c r="C2126" t="s">
        <v>2304</v>
      </c>
      <c r="E2126" t="s">
        <v>1783</v>
      </c>
    </row>
    <row r="2127" spans="1:5">
      <c r="A2127" t="s">
        <v>3067</v>
      </c>
      <c r="B2127" t="s">
        <v>3067</v>
      </c>
      <c r="C2127" t="s">
        <v>2304</v>
      </c>
      <c r="E2127" t="s">
        <v>1124</v>
      </c>
    </row>
    <row r="2128" spans="1:5">
      <c r="A2128" t="s">
        <v>3068</v>
      </c>
      <c r="B2128" t="s">
        <v>3068</v>
      </c>
      <c r="C2128" t="s">
        <v>2304</v>
      </c>
      <c r="E2128" t="s">
        <v>1124</v>
      </c>
    </row>
    <row r="2129" spans="1:5">
      <c r="A2129" t="s">
        <v>3069</v>
      </c>
      <c r="B2129" t="s">
        <v>3069</v>
      </c>
      <c r="C2129" t="s">
        <v>2304</v>
      </c>
      <c r="E2129" t="s">
        <v>1124</v>
      </c>
    </row>
    <row r="2130" spans="1:5">
      <c r="A2130" t="s">
        <v>3070</v>
      </c>
      <c r="B2130" t="s">
        <v>3070</v>
      </c>
      <c r="C2130" t="s">
        <v>2304</v>
      </c>
      <c r="E2130" t="s">
        <v>1124</v>
      </c>
    </row>
    <row r="2131" spans="1:5">
      <c r="A2131" t="s">
        <v>3071</v>
      </c>
      <c r="B2131" t="s">
        <v>3072</v>
      </c>
      <c r="C2131" t="s">
        <v>2304</v>
      </c>
      <c r="E2131" t="s">
        <v>124</v>
      </c>
    </row>
    <row r="2132" spans="1:5">
      <c r="A2132" t="s">
        <v>3073</v>
      </c>
      <c r="B2132" t="s">
        <v>3073</v>
      </c>
      <c r="C2132" t="s">
        <v>2304</v>
      </c>
      <c r="E2132" t="s">
        <v>1783</v>
      </c>
    </row>
    <row r="2133" spans="1:5">
      <c r="A2133" t="s">
        <v>3074</v>
      </c>
      <c r="B2133" t="s">
        <v>3074</v>
      </c>
      <c r="C2133" t="s">
        <v>2304</v>
      </c>
      <c r="E2133" t="s">
        <v>1124</v>
      </c>
    </row>
    <row r="2134" spans="1:5">
      <c r="A2134" t="s">
        <v>3075</v>
      </c>
      <c r="B2134" t="s">
        <v>3075</v>
      </c>
      <c r="C2134" t="s">
        <v>2304</v>
      </c>
      <c r="E2134" t="s">
        <v>287</v>
      </c>
    </row>
    <row r="2135" spans="1:5">
      <c r="A2135" t="s">
        <v>3076</v>
      </c>
      <c r="B2135" t="s">
        <v>3077</v>
      </c>
      <c r="C2135" t="s">
        <v>2304</v>
      </c>
      <c r="E2135" t="s">
        <v>1124</v>
      </c>
    </row>
    <row r="2136" spans="1:5">
      <c r="A2136" t="s">
        <v>3078</v>
      </c>
      <c r="B2136" t="s">
        <v>3078</v>
      </c>
      <c r="C2136" t="s">
        <v>2304</v>
      </c>
      <c r="E2136" t="s">
        <v>1124</v>
      </c>
    </row>
    <row r="2137" spans="1:5">
      <c r="A2137" t="s">
        <v>3079</v>
      </c>
      <c r="B2137" t="s">
        <v>3079</v>
      </c>
      <c r="C2137" t="s">
        <v>2304</v>
      </c>
      <c r="E2137" t="s">
        <v>1124</v>
      </c>
    </row>
    <row r="2138" spans="1:5">
      <c r="A2138" t="s">
        <v>3080</v>
      </c>
      <c r="B2138" t="s">
        <v>3080</v>
      </c>
      <c r="C2138" t="s">
        <v>2304</v>
      </c>
      <c r="E2138" t="s">
        <v>1124</v>
      </c>
    </row>
    <row r="2139" spans="1:5">
      <c r="A2139" t="s">
        <v>915</v>
      </c>
      <c r="B2139" t="s">
        <v>915</v>
      </c>
      <c r="C2139" t="s">
        <v>2304</v>
      </c>
      <c r="E2139" t="s">
        <v>124</v>
      </c>
    </row>
    <row r="2140" spans="1:5">
      <c r="A2140" t="s">
        <v>949</v>
      </c>
      <c r="B2140" t="s">
        <v>949</v>
      </c>
      <c r="C2140" t="s">
        <v>2304</v>
      </c>
      <c r="E2140" t="s">
        <v>124</v>
      </c>
    </row>
    <row r="2141" spans="1:5">
      <c r="A2141" t="s">
        <v>3081</v>
      </c>
      <c r="B2141" t="s">
        <v>3081</v>
      </c>
      <c r="C2141" t="s">
        <v>2304</v>
      </c>
      <c r="E2141" t="s">
        <v>1124</v>
      </c>
    </row>
    <row r="2142" spans="1:5">
      <c r="A2142" t="s">
        <v>3082</v>
      </c>
      <c r="B2142" t="s">
        <v>3082</v>
      </c>
      <c r="C2142" t="s">
        <v>2304</v>
      </c>
      <c r="E2142" t="s">
        <v>1783</v>
      </c>
    </row>
    <row r="2143" spans="1:5">
      <c r="A2143" t="s">
        <v>3083</v>
      </c>
      <c r="B2143" t="s">
        <v>3083</v>
      </c>
      <c r="C2143" t="s">
        <v>2304</v>
      </c>
      <c r="E2143" t="s">
        <v>1783</v>
      </c>
    </row>
    <row r="2144" spans="1:5">
      <c r="A2144" t="s">
        <v>3084</v>
      </c>
      <c r="B2144" t="s">
        <v>3084</v>
      </c>
      <c r="C2144" t="s">
        <v>2304</v>
      </c>
      <c r="E2144" t="s">
        <v>287</v>
      </c>
    </row>
    <row r="2145" spans="1:5">
      <c r="A2145" t="s">
        <v>3085</v>
      </c>
      <c r="B2145" t="s">
        <v>3085</v>
      </c>
      <c r="C2145" t="s">
        <v>2304</v>
      </c>
      <c r="E2145" t="s">
        <v>1124</v>
      </c>
    </row>
    <row r="2146" spans="1:5">
      <c r="A2146" t="s">
        <v>3086</v>
      </c>
      <c r="B2146" t="s">
        <v>3087</v>
      </c>
      <c r="C2146" t="s">
        <v>2304</v>
      </c>
      <c r="E2146" t="s">
        <v>124</v>
      </c>
    </row>
    <row r="2147" spans="1:5">
      <c r="A2147" t="s">
        <v>3088</v>
      </c>
      <c r="B2147" t="s">
        <v>3088</v>
      </c>
      <c r="C2147" t="s">
        <v>2304</v>
      </c>
      <c r="E2147" t="s">
        <v>1124</v>
      </c>
    </row>
    <row r="2148" spans="1:5">
      <c r="A2148" t="s">
        <v>3089</v>
      </c>
      <c r="B2148" t="s">
        <v>3089</v>
      </c>
      <c r="C2148" t="s">
        <v>2304</v>
      </c>
      <c r="E2148" t="s">
        <v>1124</v>
      </c>
    </row>
    <row r="2149" spans="1:5">
      <c r="A2149" t="s">
        <v>3090</v>
      </c>
      <c r="B2149" t="s">
        <v>3090</v>
      </c>
      <c r="C2149" t="s">
        <v>2304</v>
      </c>
      <c r="E2149" t="s">
        <v>1124</v>
      </c>
    </row>
    <row r="2150" spans="1:5">
      <c r="A2150" t="s">
        <v>3091</v>
      </c>
      <c r="B2150" t="s">
        <v>3091</v>
      </c>
      <c r="C2150" t="s">
        <v>2304</v>
      </c>
      <c r="E2150" t="s">
        <v>1124</v>
      </c>
    </row>
    <row r="2151" spans="1:5">
      <c r="A2151" t="s">
        <v>3092</v>
      </c>
      <c r="B2151" t="s">
        <v>3092</v>
      </c>
      <c r="C2151" t="s">
        <v>2304</v>
      </c>
      <c r="E2151" t="s">
        <v>1124</v>
      </c>
    </row>
    <row r="2152" spans="1:5">
      <c r="A2152" t="s">
        <v>3093</v>
      </c>
      <c r="B2152" t="s">
        <v>3093</v>
      </c>
      <c r="C2152" t="s">
        <v>2304</v>
      </c>
      <c r="E2152" t="s">
        <v>1124</v>
      </c>
    </row>
    <row r="2153" spans="1:5">
      <c r="A2153" t="s">
        <v>3094</v>
      </c>
      <c r="B2153" t="s">
        <v>3094</v>
      </c>
      <c r="C2153" t="s">
        <v>2304</v>
      </c>
      <c r="E2153" t="s">
        <v>1124</v>
      </c>
    </row>
    <row r="2154" spans="1:5">
      <c r="A2154" t="s">
        <v>3095</v>
      </c>
      <c r="B2154" t="s">
        <v>3095</v>
      </c>
      <c r="C2154" t="s">
        <v>2304</v>
      </c>
      <c r="E2154" t="s">
        <v>1124</v>
      </c>
    </row>
    <row r="2155" spans="1:5">
      <c r="A2155" t="s">
        <v>3096</v>
      </c>
      <c r="B2155" t="s">
        <v>3096</v>
      </c>
      <c r="C2155" t="s">
        <v>2304</v>
      </c>
      <c r="E2155" t="s">
        <v>1124</v>
      </c>
    </row>
    <row r="2156" spans="1:5">
      <c r="A2156" t="s">
        <v>3097</v>
      </c>
      <c r="B2156" t="s">
        <v>3097</v>
      </c>
      <c r="C2156" t="s">
        <v>2304</v>
      </c>
      <c r="E2156" t="s">
        <v>1124</v>
      </c>
    </row>
    <row r="2157" spans="1:5">
      <c r="A2157" t="s">
        <v>3098</v>
      </c>
      <c r="B2157" t="s">
        <v>3098</v>
      </c>
      <c r="C2157" t="s">
        <v>2304</v>
      </c>
      <c r="E2157" t="s">
        <v>1124</v>
      </c>
    </row>
    <row r="2158" spans="1:5">
      <c r="A2158" t="s">
        <v>3099</v>
      </c>
      <c r="B2158" t="s">
        <v>3099</v>
      </c>
      <c r="C2158" t="s">
        <v>2304</v>
      </c>
      <c r="E2158" t="s">
        <v>1124</v>
      </c>
    </row>
    <row r="2159" spans="1:5">
      <c r="A2159" t="s">
        <v>3100</v>
      </c>
      <c r="B2159" t="s">
        <v>3100</v>
      </c>
      <c r="C2159" t="s">
        <v>2304</v>
      </c>
      <c r="E2159" t="s">
        <v>1124</v>
      </c>
    </row>
    <row r="2160" spans="1:5">
      <c r="A2160" t="s">
        <v>3101</v>
      </c>
      <c r="B2160" t="s">
        <v>3101</v>
      </c>
      <c r="C2160" t="s">
        <v>2304</v>
      </c>
      <c r="E2160" t="s">
        <v>1124</v>
      </c>
    </row>
    <row r="2161" spans="1:5">
      <c r="A2161" t="s">
        <v>3102</v>
      </c>
      <c r="B2161" t="s">
        <v>3102</v>
      </c>
      <c r="C2161" t="s">
        <v>2304</v>
      </c>
      <c r="E2161" t="s">
        <v>1124</v>
      </c>
    </row>
    <row r="2162" spans="1:5">
      <c r="A2162" t="s">
        <v>3103</v>
      </c>
      <c r="B2162" t="s">
        <v>3103</v>
      </c>
      <c r="C2162" t="s">
        <v>2304</v>
      </c>
      <c r="E2162" t="s">
        <v>1124</v>
      </c>
    </row>
    <row r="2163" spans="1:5">
      <c r="A2163" t="s">
        <v>3104</v>
      </c>
      <c r="B2163" t="s">
        <v>3104</v>
      </c>
      <c r="C2163" t="s">
        <v>2304</v>
      </c>
      <c r="E2163" t="s">
        <v>1124</v>
      </c>
    </row>
    <row r="2164" spans="1:5">
      <c r="A2164" t="s">
        <v>3105</v>
      </c>
      <c r="B2164" t="s">
        <v>3105</v>
      </c>
      <c r="C2164" t="s">
        <v>2304</v>
      </c>
      <c r="E2164" t="s">
        <v>2306</v>
      </c>
    </row>
    <row r="2165" spans="1:5">
      <c r="A2165" t="s">
        <v>3106</v>
      </c>
      <c r="B2165" t="s">
        <v>3106</v>
      </c>
      <c r="C2165" t="s">
        <v>2304</v>
      </c>
      <c r="E2165" t="s">
        <v>1124</v>
      </c>
    </row>
    <row r="2166" spans="1:5">
      <c r="A2166" t="s">
        <v>3107</v>
      </c>
      <c r="B2166" t="s">
        <v>3107</v>
      </c>
      <c r="C2166" t="s">
        <v>2304</v>
      </c>
      <c r="E2166" t="s">
        <v>1124</v>
      </c>
    </row>
    <row r="2167" spans="1:5">
      <c r="A2167" t="s">
        <v>3108</v>
      </c>
      <c r="B2167" t="s">
        <v>3108</v>
      </c>
      <c r="C2167" t="s">
        <v>2304</v>
      </c>
      <c r="E2167" t="s">
        <v>1124</v>
      </c>
    </row>
    <row r="2168" spans="1:5">
      <c r="A2168" t="s">
        <v>3109</v>
      </c>
      <c r="B2168" t="s">
        <v>3109</v>
      </c>
      <c r="C2168" t="s">
        <v>2304</v>
      </c>
      <c r="E2168" t="s">
        <v>1124</v>
      </c>
    </row>
    <row r="2169" spans="1:5">
      <c r="A2169" t="s">
        <v>3110</v>
      </c>
      <c r="B2169" t="s">
        <v>3110</v>
      </c>
      <c r="C2169" t="s">
        <v>2304</v>
      </c>
      <c r="E2169" t="s">
        <v>1124</v>
      </c>
    </row>
    <row r="2170" spans="1:5">
      <c r="A2170" t="s">
        <v>3111</v>
      </c>
      <c r="B2170" t="s">
        <v>3111</v>
      </c>
      <c r="C2170" t="s">
        <v>2304</v>
      </c>
      <c r="E2170" t="s">
        <v>1124</v>
      </c>
    </row>
    <row r="2171" spans="1:5">
      <c r="A2171" t="s">
        <v>3112</v>
      </c>
      <c r="B2171" t="s">
        <v>3112</v>
      </c>
      <c r="C2171" t="s">
        <v>2304</v>
      </c>
      <c r="E2171" t="s">
        <v>1124</v>
      </c>
    </row>
    <row r="2172" spans="1:5">
      <c r="A2172" t="s">
        <v>3113</v>
      </c>
      <c r="B2172" t="s">
        <v>3113</v>
      </c>
      <c r="C2172" t="s">
        <v>2304</v>
      </c>
      <c r="E2172" t="s">
        <v>547</v>
      </c>
    </row>
    <row r="2173" spans="1:5">
      <c r="A2173" t="s">
        <v>3114</v>
      </c>
      <c r="B2173" t="s">
        <v>3114</v>
      </c>
      <c r="C2173" t="s">
        <v>2304</v>
      </c>
      <c r="E2173" t="s">
        <v>124</v>
      </c>
    </row>
    <row r="2174" spans="1:5">
      <c r="A2174" t="s">
        <v>3115</v>
      </c>
      <c r="B2174" t="s">
        <v>3115</v>
      </c>
      <c r="C2174" t="s">
        <v>2304</v>
      </c>
      <c r="E2174" t="s">
        <v>1124</v>
      </c>
    </row>
    <row r="2175" spans="1:5">
      <c r="A2175" t="s">
        <v>956</v>
      </c>
      <c r="B2175" t="s">
        <v>956</v>
      </c>
      <c r="C2175" t="s">
        <v>2304</v>
      </c>
      <c r="E2175" t="s">
        <v>124</v>
      </c>
    </row>
    <row r="2176" spans="1:5">
      <c r="A2176" t="s">
        <v>3116</v>
      </c>
      <c r="B2176" t="s">
        <v>3116</v>
      </c>
      <c r="C2176" t="s">
        <v>2304</v>
      </c>
      <c r="E2176" t="s">
        <v>124</v>
      </c>
    </row>
    <row r="2177" spans="1:5">
      <c r="A2177" t="s">
        <v>919</v>
      </c>
      <c r="B2177" t="s">
        <v>919</v>
      </c>
      <c r="C2177" t="s">
        <v>2304</v>
      </c>
      <c r="E2177" t="s">
        <v>124</v>
      </c>
    </row>
    <row r="2178" spans="1:5">
      <c r="A2178" t="s">
        <v>3117</v>
      </c>
      <c r="B2178" t="s">
        <v>3117</v>
      </c>
      <c r="C2178" t="s">
        <v>2304</v>
      </c>
      <c r="E2178" t="s">
        <v>377</v>
      </c>
    </row>
    <row r="2179" spans="1:5">
      <c r="A2179" t="s">
        <v>3118</v>
      </c>
      <c r="B2179" t="s">
        <v>3118</v>
      </c>
      <c r="C2179" t="s">
        <v>2304</v>
      </c>
      <c r="E2179" t="s">
        <v>377</v>
      </c>
    </row>
    <row r="2180" spans="1:5">
      <c r="A2180" t="s">
        <v>3119</v>
      </c>
      <c r="B2180" t="s">
        <v>3119</v>
      </c>
      <c r="C2180" t="s">
        <v>2304</v>
      </c>
      <c r="E2180" t="s">
        <v>124</v>
      </c>
    </row>
    <row r="2181" spans="1:5">
      <c r="A2181" t="s">
        <v>3120</v>
      </c>
      <c r="B2181" t="s">
        <v>3121</v>
      </c>
      <c r="C2181" t="s">
        <v>2304</v>
      </c>
      <c r="E2181" t="s">
        <v>124</v>
      </c>
    </row>
    <row r="2182" spans="1:5">
      <c r="A2182" t="s">
        <v>3122</v>
      </c>
      <c r="B2182" t="s">
        <v>3123</v>
      </c>
      <c r="C2182" t="s">
        <v>2304</v>
      </c>
      <c r="E2182" t="s">
        <v>363</v>
      </c>
    </row>
    <row r="2183" spans="1:5">
      <c r="A2183" t="s">
        <v>3124</v>
      </c>
      <c r="B2183" t="s">
        <v>3124</v>
      </c>
      <c r="C2183" t="s">
        <v>2304</v>
      </c>
      <c r="E2183" t="s">
        <v>124</v>
      </c>
    </row>
    <row r="2184" spans="1:5">
      <c r="A2184" t="s">
        <v>3125</v>
      </c>
      <c r="B2184" t="s">
        <v>3125</v>
      </c>
      <c r="C2184" t="s">
        <v>2304</v>
      </c>
      <c r="E2184" t="s">
        <v>124</v>
      </c>
    </row>
    <row r="2185" spans="1:5">
      <c r="A2185" t="s">
        <v>3126</v>
      </c>
      <c r="B2185" t="s">
        <v>3126</v>
      </c>
      <c r="C2185" t="s">
        <v>2304</v>
      </c>
      <c r="E2185" t="s">
        <v>1124</v>
      </c>
    </row>
    <row r="2186" spans="1:5">
      <c r="A2186" t="s">
        <v>3127</v>
      </c>
      <c r="B2186" t="s">
        <v>3127</v>
      </c>
      <c r="C2186" t="s">
        <v>2304</v>
      </c>
      <c r="E2186" t="s">
        <v>124</v>
      </c>
    </row>
    <row r="2187" spans="1:5">
      <c r="A2187" t="s">
        <v>3128</v>
      </c>
      <c r="B2187" t="s">
        <v>3128</v>
      </c>
      <c r="C2187" t="s">
        <v>2304</v>
      </c>
      <c r="E2187" t="s">
        <v>124</v>
      </c>
    </row>
    <row r="2188" spans="1:5">
      <c r="A2188" t="s">
        <v>3129</v>
      </c>
      <c r="B2188" t="s">
        <v>3129</v>
      </c>
      <c r="C2188" t="s">
        <v>2304</v>
      </c>
      <c r="E2188" t="s">
        <v>2306</v>
      </c>
    </row>
    <row r="2189" spans="1:5">
      <c r="A2189" t="s">
        <v>3130</v>
      </c>
      <c r="B2189" t="s">
        <v>900</v>
      </c>
      <c r="C2189" t="s">
        <v>2304</v>
      </c>
      <c r="E2189" t="s">
        <v>124</v>
      </c>
    </row>
    <row r="2190" spans="1:5">
      <c r="A2190" t="s">
        <v>921</v>
      </c>
      <c r="B2190" t="s">
        <v>921</v>
      </c>
      <c r="C2190" t="s">
        <v>2304</v>
      </c>
      <c r="E2190" t="s">
        <v>124</v>
      </c>
    </row>
    <row r="2191" spans="1:5">
      <c r="A2191" t="s">
        <v>3131</v>
      </c>
      <c r="B2191" t="s">
        <v>3131</v>
      </c>
      <c r="C2191" t="s">
        <v>2304</v>
      </c>
      <c r="E2191" t="s">
        <v>1783</v>
      </c>
    </row>
    <row r="2192" spans="1:5">
      <c r="A2192" t="s">
        <v>3132</v>
      </c>
      <c r="B2192" t="s">
        <v>3133</v>
      </c>
      <c r="C2192" t="s">
        <v>2304</v>
      </c>
      <c r="E2192" t="s">
        <v>1124</v>
      </c>
    </row>
    <row r="2193" spans="1:5">
      <c r="A2193" t="s">
        <v>3134</v>
      </c>
      <c r="B2193" t="s">
        <v>3134</v>
      </c>
      <c r="C2193" t="s">
        <v>2304</v>
      </c>
      <c r="E2193" t="s">
        <v>803</v>
      </c>
    </row>
    <row r="2194" spans="1:5">
      <c r="A2194" t="s">
        <v>3135</v>
      </c>
      <c r="B2194" t="s">
        <v>3135</v>
      </c>
      <c r="C2194" t="s">
        <v>2304</v>
      </c>
      <c r="E2194" t="s">
        <v>124</v>
      </c>
    </row>
    <row r="2195" spans="1:5">
      <c r="A2195" t="s">
        <v>3136</v>
      </c>
      <c r="B2195" t="s">
        <v>3136</v>
      </c>
      <c r="C2195" t="s">
        <v>2304</v>
      </c>
      <c r="E2195" t="s">
        <v>287</v>
      </c>
    </row>
    <row r="2196" spans="1:5">
      <c r="A2196" t="s">
        <v>3137</v>
      </c>
      <c r="B2196" t="s">
        <v>3137</v>
      </c>
      <c r="C2196" t="s">
        <v>2304</v>
      </c>
      <c r="E2196" t="s">
        <v>2306</v>
      </c>
    </row>
    <row r="2197" spans="1:5">
      <c r="A2197" t="s">
        <v>3138</v>
      </c>
      <c r="B2197" t="s">
        <v>3138</v>
      </c>
      <c r="C2197" t="s">
        <v>2304</v>
      </c>
      <c r="E2197" t="s">
        <v>1783</v>
      </c>
    </row>
    <row r="2198" spans="1:5">
      <c r="A2198" t="s">
        <v>3139</v>
      </c>
      <c r="B2198" t="s">
        <v>3139</v>
      </c>
      <c r="C2198" t="s">
        <v>2304</v>
      </c>
      <c r="E2198" t="s">
        <v>1783</v>
      </c>
    </row>
    <row r="2199" spans="1:5">
      <c r="A2199" t="s">
        <v>3140</v>
      </c>
      <c r="B2199" t="s">
        <v>3140</v>
      </c>
      <c r="C2199" t="s">
        <v>2304</v>
      </c>
      <c r="E2199" t="s">
        <v>1783</v>
      </c>
    </row>
    <row r="2200" spans="1:5">
      <c r="A2200" t="s">
        <v>911</v>
      </c>
      <c r="B2200" t="s">
        <v>911</v>
      </c>
      <c r="C2200" t="s">
        <v>2304</v>
      </c>
      <c r="E2200" t="s">
        <v>124</v>
      </c>
    </row>
    <row r="2201" spans="1:5">
      <c r="A2201" t="s">
        <v>960</v>
      </c>
      <c r="B2201" t="s">
        <v>960</v>
      </c>
      <c r="C2201" t="s">
        <v>2304</v>
      </c>
      <c r="E2201" t="s">
        <v>124</v>
      </c>
    </row>
    <row r="2202" spans="1:5">
      <c r="A2202" t="s">
        <v>940</v>
      </c>
      <c r="B2202" t="s">
        <v>940</v>
      </c>
      <c r="C2202" t="s">
        <v>2304</v>
      </c>
      <c r="E2202" t="s">
        <v>124</v>
      </c>
    </row>
    <row r="2203" spans="1:5">
      <c r="A2203" t="s">
        <v>3141</v>
      </c>
      <c r="B2203" t="s">
        <v>938</v>
      </c>
      <c r="C2203" t="s">
        <v>2304</v>
      </c>
      <c r="E2203" t="s">
        <v>124</v>
      </c>
    </row>
    <row r="2204" spans="1:5">
      <c r="A2204" t="s">
        <v>937</v>
      </c>
      <c r="B2204" t="s">
        <v>937</v>
      </c>
      <c r="C2204" t="s">
        <v>2304</v>
      </c>
      <c r="E2204" t="s">
        <v>124</v>
      </c>
    </row>
    <row r="2205" spans="1:5">
      <c r="A2205" t="s">
        <v>939</v>
      </c>
      <c r="B2205" t="s">
        <v>939</v>
      </c>
      <c r="C2205" t="s">
        <v>2304</v>
      </c>
      <c r="E2205" t="s">
        <v>124</v>
      </c>
    </row>
    <row r="2206" spans="1:5">
      <c r="A2206" t="s">
        <v>931</v>
      </c>
      <c r="B2206" t="s">
        <v>931</v>
      </c>
      <c r="C2206" t="s">
        <v>2304</v>
      </c>
      <c r="E2206" t="s">
        <v>124</v>
      </c>
    </row>
    <row r="2207" spans="1:5">
      <c r="A2207" t="s">
        <v>3142</v>
      </c>
      <c r="B2207" t="s">
        <v>3142</v>
      </c>
      <c r="C2207" t="s">
        <v>2304</v>
      </c>
      <c r="E2207" t="s">
        <v>363</v>
      </c>
    </row>
    <row r="2208" spans="1:5">
      <c r="A2208" t="s">
        <v>3143</v>
      </c>
      <c r="B2208" t="s">
        <v>3143</v>
      </c>
      <c r="C2208" t="s">
        <v>2304</v>
      </c>
      <c r="E2208" t="s">
        <v>1783</v>
      </c>
    </row>
    <row r="2209" spans="1:5">
      <c r="A2209" t="s">
        <v>3144</v>
      </c>
      <c r="B2209" t="s">
        <v>3144</v>
      </c>
      <c r="C2209" t="s">
        <v>2304</v>
      </c>
      <c r="E2209" t="s">
        <v>1783</v>
      </c>
    </row>
    <row r="2210" spans="1:5">
      <c r="A2210" t="s">
        <v>3145</v>
      </c>
      <c r="B2210" t="s">
        <v>3145</v>
      </c>
      <c r="C2210" t="s">
        <v>2304</v>
      </c>
      <c r="E2210" t="s">
        <v>1783</v>
      </c>
    </row>
    <row r="2211" spans="1:5">
      <c r="A2211" t="s">
        <v>3146</v>
      </c>
      <c r="B2211" t="s">
        <v>3146</v>
      </c>
      <c r="C2211" t="s">
        <v>2304</v>
      </c>
      <c r="E2211" t="s">
        <v>1124</v>
      </c>
    </row>
    <row r="2212" spans="1:5">
      <c r="A2212" t="s">
        <v>3147</v>
      </c>
      <c r="B2212" t="s">
        <v>3147</v>
      </c>
      <c r="C2212" t="s">
        <v>2304</v>
      </c>
      <c r="E2212" t="s">
        <v>1124</v>
      </c>
    </row>
    <row r="2213" spans="1:5">
      <c r="A2213" t="s">
        <v>3148</v>
      </c>
      <c r="B2213" t="s">
        <v>3148</v>
      </c>
      <c r="C2213" t="s">
        <v>2304</v>
      </c>
      <c r="E2213" t="s">
        <v>124</v>
      </c>
    </row>
    <row r="2214" spans="1:5">
      <c r="A2214" t="s">
        <v>3149</v>
      </c>
      <c r="B2214" t="s">
        <v>3149</v>
      </c>
      <c r="C2214" t="s">
        <v>2304</v>
      </c>
      <c r="E2214" t="s">
        <v>1124</v>
      </c>
    </row>
    <row r="2215" spans="1:5">
      <c r="A2215" t="s">
        <v>3150</v>
      </c>
      <c r="B2215" t="s">
        <v>3150</v>
      </c>
      <c r="C2215" t="s">
        <v>2304</v>
      </c>
      <c r="E2215" t="s">
        <v>1124</v>
      </c>
    </row>
    <row r="2216" spans="1:5">
      <c r="A2216" t="s">
        <v>3151</v>
      </c>
      <c r="B2216" t="s">
        <v>3151</v>
      </c>
      <c r="C2216" t="s">
        <v>2304</v>
      </c>
      <c r="E2216" t="s">
        <v>1124</v>
      </c>
    </row>
    <row r="2217" spans="1:5">
      <c r="A2217" t="s">
        <v>3152</v>
      </c>
      <c r="B2217" t="s">
        <v>3152</v>
      </c>
      <c r="C2217" t="s">
        <v>2304</v>
      </c>
      <c r="E2217" t="s">
        <v>1124</v>
      </c>
    </row>
    <row r="2218" spans="1:5">
      <c r="A2218" t="s">
        <v>3153</v>
      </c>
      <c r="B2218" t="s">
        <v>3153</v>
      </c>
      <c r="C2218" t="s">
        <v>2304</v>
      </c>
      <c r="E2218" t="s">
        <v>124</v>
      </c>
    </row>
    <row r="2219" spans="1:5">
      <c r="A2219" t="s">
        <v>3154</v>
      </c>
      <c r="B2219" t="s">
        <v>3154</v>
      </c>
      <c r="C2219" t="s">
        <v>2304</v>
      </c>
      <c r="E2219" t="s">
        <v>1124</v>
      </c>
    </row>
    <row r="2220" spans="1:5">
      <c r="A2220" t="s">
        <v>3155</v>
      </c>
      <c r="B2220" t="s">
        <v>3155</v>
      </c>
      <c r="C2220" t="s">
        <v>2304</v>
      </c>
      <c r="E2220" t="s">
        <v>1124</v>
      </c>
    </row>
    <row r="2221" spans="1:5">
      <c r="A2221" t="s">
        <v>3156</v>
      </c>
      <c r="B2221" t="s">
        <v>3156</v>
      </c>
      <c r="C2221" t="s">
        <v>2304</v>
      </c>
      <c r="E2221" t="s">
        <v>1783</v>
      </c>
    </row>
    <row r="2222" spans="1:5">
      <c r="A2222" t="s">
        <v>3157</v>
      </c>
      <c r="B2222" t="s">
        <v>3157</v>
      </c>
      <c r="C2222" t="s">
        <v>2304</v>
      </c>
      <c r="E2222" t="s">
        <v>1124</v>
      </c>
    </row>
    <row r="2223" spans="1:5">
      <c r="A2223" t="s">
        <v>3158</v>
      </c>
      <c r="B2223" t="s">
        <v>3158</v>
      </c>
      <c r="C2223" t="s">
        <v>2304</v>
      </c>
      <c r="E2223" t="s">
        <v>1124</v>
      </c>
    </row>
    <row r="2224" spans="1:5">
      <c r="A2224" t="s">
        <v>3159</v>
      </c>
      <c r="B2224" t="s">
        <v>3159</v>
      </c>
      <c r="C2224" t="s">
        <v>2304</v>
      </c>
      <c r="E2224" t="s">
        <v>3160</v>
      </c>
    </row>
    <row r="2225" spans="1:5">
      <c r="A2225" t="s">
        <v>3161</v>
      </c>
      <c r="B2225" t="s">
        <v>3161</v>
      </c>
      <c r="C2225" t="s">
        <v>2304</v>
      </c>
      <c r="E2225" t="s">
        <v>1124</v>
      </c>
    </row>
    <row r="2226" spans="1:5">
      <c r="A2226" t="s">
        <v>3162</v>
      </c>
      <c r="B2226" t="s">
        <v>3162</v>
      </c>
      <c r="C2226" t="s">
        <v>2304</v>
      </c>
      <c r="E2226" t="s">
        <v>1783</v>
      </c>
    </row>
    <row r="2227" spans="1:5">
      <c r="A2227" t="s">
        <v>3163</v>
      </c>
      <c r="B2227" t="s">
        <v>3163</v>
      </c>
      <c r="C2227" t="s">
        <v>2304</v>
      </c>
      <c r="E2227" t="s">
        <v>1124</v>
      </c>
    </row>
    <row r="2228" spans="1:5">
      <c r="A2228" t="s">
        <v>3164</v>
      </c>
      <c r="B2228" t="s">
        <v>3164</v>
      </c>
      <c r="C2228" t="s">
        <v>2304</v>
      </c>
      <c r="E2228" t="s">
        <v>1124</v>
      </c>
    </row>
    <row r="2229" spans="1:5">
      <c r="A2229" t="s">
        <v>3165</v>
      </c>
      <c r="B2229" t="s">
        <v>3165</v>
      </c>
      <c r="C2229" t="s">
        <v>2304</v>
      </c>
      <c r="E2229" t="s">
        <v>1124</v>
      </c>
    </row>
    <row r="2230" spans="1:5">
      <c r="A2230" t="s">
        <v>3166</v>
      </c>
      <c r="B2230" t="s">
        <v>3166</v>
      </c>
      <c r="C2230" t="s">
        <v>2304</v>
      </c>
      <c r="E2230" t="s">
        <v>1124</v>
      </c>
    </row>
    <row r="2231" spans="1:5">
      <c r="A2231" t="s">
        <v>3167</v>
      </c>
      <c r="B2231" t="s">
        <v>3167</v>
      </c>
      <c r="C2231" t="s">
        <v>2304</v>
      </c>
      <c r="E2231" t="s">
        <v>1124</v>
      </c>
    </row>
    <row r="2232" spans="1:5">
      <c r="A2232" t="s">
        <v>3168</v>
      </c>
      <c r="C2232" t="s">
        <v>3168</v>
      </c>
    </row>
    <row r="2233" s="63" customFormat="1" spans="1:5">
      <c r="A2233" s="63" t="s">
        <v>3169</v>
      </c>
      <c r="B2233" s="63" t="s">
        <v>3169</v>
      </c>
      <c r="C2233" s="63" t="s">
        <v>3168</v>
      </c>
      <c r="E2233" s="63" t="s">
        <v>124</v>
      </c>
    </row>
    <row r="2234" spans="1:5">
      <c r="A2234" t="s">
        <v>3170</v>
      </c>
      <c r="B2234" t="s">
        <v>3170</v>
      </c>
      <c r="C2234" t="s">
        <v>3168</v>
      </c>
      <c r="E2234" t="s">
        <v>124</v>
      </c>
    </row>
    <row r="2235" spans="1:5">
      <c r="A2235" t="s">
        <v>3171</v>
      </c>
      <c r="C2235" t="s">
        <v>3171</v>
      </c>
    </row>
    <row r="2236" s="63" customFormat="1" spans="1:5">
      <c r="A2236" s="63" t="s">
        <v>3172</v>
      </c>
      <c r="B2236" s="63" t="s">
        <v>3172</v>
      </c>
      <c r="C2236" s="63" t="s">
        <v>3171</v>
      </c>
      <c r="E2236" s="63" t="s">
        <v>399</v>
      </c>
    </row>
    <row r="2237" s="63" customFormat="1" spans="1:5">
      <c r="A2237" s="63" t="s">
        <v>3173</v>
      </c>
      <c r="B2237" s="63" t="s">
        <v>539</v>
      </c>
      <c r="C2237" s="63" t="s">
        <v>3171</v>
      </c>
      <c r="E2237" s="63" t="s">
        <v>124</v>
      </c>
    </row>
    <row r="2238" s="63" customFormat="1" spans="1:5">
      <c r="A2238" s="63" t="s">
        <v>3174</v>
      </c>
      <c r="B2238" s="63" t="s">
        <v>548</v>
      </c>
      <c r="C2238" s="63" t="s">
        <v>3171</v>
      </c>
      <c r="E2238" s="63" t="s">
        <v>124</v>
      </c>
    </row>
    <row r="2239" s="63" customFormat="1" spans="1:5">
      <c r="A2239" s="63" t="s">
        <v>3175</v>
      </c>
      <c r="B2239" s="63" t="s">
        <v>540</v>
      </c>
      <c r="C2239" s="63" t="s">
        <v>3171</v>
      </c>
      <c r="E2239" s="63" t="s">
        <v>124</v>
      </c>
    </row>
    <row r="2240" s="63" customFormat="1" spans="1:5">
      <c r="A2240" s="63" t="s">
        <v>3176</v>
      </c>
      <c r="B2240" s="63" t="s">
        <v>541</v>
      </c>
      <c r="C2240" s="63" t="s">
        <v>3171</v>
      </c>
      <c r="E2240" s="63" t="s">
        <v>124</v>
      </c>
    </row>
    <row r="2241" s="63" customFormat="1" spans="1:5">
      <c r="A2241" s="63" t="s">
        <v>553</v>
      </c>
      <c r="B2241" s="63" t="s">
        <v>553</v>
      </c>
      <c r="C2241" s="63" t="s">
        <v>3171</v>
      </c>
      <c r="E2241" s="63" t="s">
        <v>124</v>
      </c>
    </row>
    <row r="2242" s="63" customFormat="1" spans="1:5">
      <c r="A2242" s="63" t="s">
        <v>554</v>
      </c>
      <c r="B2242" s="63" t="s">
        <v>554</v>
      </c>
      <c r="C2242" s="63" t="s">
        <v>3171</v>
      </c>
      <c r="E2242" s="63" t="s">
        <v>124</v>
      </c>
    </row>
    <row r="2243" s="63" customFormat="1" spans="1:5">
      <c r="A2243" s="63" t="s">
        <v>3177</v>
      </c>
      <c r="B2243" s="63" t="s">
        <v>544</v>
      </c>
      <c r="C2243" s="63" t="s">
        <v>3171</v>
      </c>
      <c r="E2243" s="63" t="s">
        <v>124</v>
      </c>
    </row>
    <row r="2244" s="63" customFormat="1" spans="1:5">
      <c r="A2244" s="63" t="s">
        <v>3178</v>
      </c>
      <c r="B2244" s="63" t="s">
        <v>3178</v>
      </c>
      <c r="C2244" s="63" t="s">
        <v>3171</v>
      </c>
      <c r="E2244" s="63" t="s">
        <v>124</v>
      </c>
    </row>
    <row r="2245" s="63" customFormat="1" spans="1:5">
      <c r="A2245" s="63" t="s">
        <v>3179</v>
      </c>
      <c r="B2245" s="63" t="s">
        <v>3180</v>
      </c>
      <c r="C2245" s="63" t="s">
        <v>3171</v>
      </c>
      <c r="E2245" s="63" t="s">
        <v>522</v>
      </c>
    </row>
    <row r="2246" s="63" customFormat="1" spans="1:5">
      <c r="A2246" s="63" t="s">
        <v>555</v>
      </c>
      <c r="B2246" s="63" t="s">
        <v>555</v>
      </c>
      <c r="C2246" s="63" t="s">
        <v>3171</v>
      </c>
      <c r="E2246" s="63" t="s">
        <v>399</v>
      </c>
    </row>
    <row r="2247" s="63" customFormat="1" spans="1:5">
      <c r="A2247" s="63" t="s">
        <v>556</v>
      </c>
      <c r="B2247" s="63" t="s">
        <v>556</v>
      </c>
      <c r="C2247" s="63" t="s">
        <v>3171</v>
      </c>
      <c r="E2247" s="63" t="s">
        <v>399</v>
      </c>
    </row>
    <row r="2248" s="63" customFormat="1" spans="1:5">
      <c r="A2248" s="63" t="s">
        <v>533</v>
      </c>
      <c r="B2248" s="63" t="s">
        <v>533</v>
      </c>
      <c r="C2248" s="63" t="s">
        <v>3171</v>
      </c>
      <c r="E2248" s="63" t="s">
        <v>399</v>
      </c>
    </row>
    <row r="2249" s="63" customFormat="1" spans="1:5">
      <c r="A2249" s="63" t="s">
        <v>557</v>
      </c>
      <c r="B2249" s="63" t="s">
        <v>557</v>
      </c>
      <c r="C2249" s="63" t="s">
        <v>3171</v>
      </c>
      <c r="E2249" s="63" t="s">
        <v>399</v>
      </c>
    </row>
    <row r="2250" s="63" customFormat="1" spans="1:5">
      <c r="A2250" s="63" t="s">
        <v>558</v>
      </c>
      <c r="B2250" s="63" t="s">
        <v>558</v>
      </c>
      <c r="C2250" s="63" t="s">
        <v>3171</v>
      </c>
      <c r="E2250" s="63" t="s">
        <v>399</v>
      </c>
    </row>
    <row r="2251" s="63" customFormat="1" spans="1:5">
      <c r="A2251" s="63" t="s">
        <v>516</v>
      </c>
      <c r="B2251" s="63" t="s">
        <v>516</v>
      </c>
      <c r="C2251" s="63" t="s">
        <v>3171</v>
      </c>
      <c r="E2251" s="63" t="s">
        <v>124</v>
      </c>
    </row>
    <row r="2252" s="63" customFormat="1" spans="1:5">
      <c r="A2252" s="63" t="s">
        <v>3181</v>
      </c>
      <c r="B2252" s="63" t="s">
        <v>3182</v>
      </c>
      <c r="C2252" s="63" t="s">
        <v>3171</v>
      </c>
      <c r="E2252" s="63" t="s">
        <v>524</v>
      </c>
    </row>
    <row r="2253" s="63" customFormat="1" spans="1:5">
      <c r="A2253" s="63" t="s">
        <v>3183</v>
      </c>
      <c r="B2253" s="63" t="s">
        <v>3184</v>
      </c>
      <c r="C2253" s="63" t="s">
        <v>3171</v>
      </c>
      <c r="E2253" s="63" t="s">
        <v>124</v>
      </c>
    </row>
    <row r="2254" s="63" customFormat="1" spans="1:5">
      <c r="A2254" s="63" t="s">
        <v>3185</v>
      </c>
      <c r="B2254" s="63" t="s">
        <v>536</v>
      </c>
      <c r="C2254" s="63" t="s">
        <v>3171</v>
      </c>
      <c r="E2254" s="63" t="s">
        <v>399</v>
      </c>
    </row>
    <row r="2255" s="63" customFormat="1" spans="1:5">
      <c r="A2255" s="63" t="s">
        <v>3186</v>
      </c>
      <c r="B2255" s="63" t="s">
        <v>3187</v>
      </c>
      <c r="C2255" s="63" t="s">
        <v>3171</v>
      </c>
      <c r="E2255" s="63" t="s">
        <v>124</v>
      </c>
    </row>
    <row r="2256" s="63" customFormat="1" spans="1:5">
      <c r="A2256" s="63" t="s">
        <v>3188</v>
      </c>
      <c r="B2256" s="63" t="s">
        <v>3189</v>
      </c>
      <c r="C2256" s="63" t="s">
        <v>3171</v>
      </c>
      <c r="E2256" s="63" t="s">
        <v>399</v>
      </c>
    </row>
    <row r="2257" s="63" customFormat="1" spans="1:5">
      <c r="A2257" s="63" t="s">
        <v>537</v>
      </c>
      <c r="B2257" s="63" t="s">
        <v>537</v>
      </c>
      <c r="C2257" s="63" t="s">
        <v>3171</v>
      </c>
      <c r="E2257" s="63" t="s">
        <v>399</v>
      </c>
    </row>
    <row r="2258" s="63" customFormat="1" spans="1:5">
      <c r="A2258" s="63" t="s">
        <v>550</v>
      </c>
      <c r="B2258" s="63" t="s">
        <v>550</v>
      </c>
      <c r="C2258" s="63" t="s">
        <v>3171</v>
      </c>
      <c r="E2258" s="63" t="s">
        <v>124</v>
      </c>
    </row>
    <row r="2259" s="63" customFormat="1" spans="1:5">
      <c r="A2259" s="63" t="s">
        <v>546</v>
      </c>
      <c r="B2259" s="63" t="s">
        <v>546</v>
      </c>
      <c r="C2259" s="63" t="s">
        <v>3171</v>
      </c>
      <c r="E2259" s="63" t="s">
        <v>124</v>
      </c>
    </row>
    <row r="2260" s="63" customFormat="1" spans="1:5">
      <c r="A2260" s="63" t="s">
        <v>535</v>
      </c>
      <c r="B2260" s="63" t="s">
        <v>535</v>
      </c>
      <c r="C2260" s="63" t="s">
        <v>3171</v>
      </c>
      <c r="E2260" s="63" t="s">
        <v>124</v>
      </c>
    </row>
    <row r="2261" s="63" customFormat="1" spans="1:5">
      <c r="A2261" s="63" t="s">
        <v>3190</v>
      </c>
      <c r="B2261" s="63" t="s">
        <v>530</v>
      </c>
      <c r="C2261" s="63" t="s">
        <v>3171</v>
      </c>
      <c r="E2261" s="63" t="s">
        <v>124</v>
      </c>
    </row>
    <row r="2262" s="63" customFormat="1" spans="1:5">
      <c r="A2262" s="63" t="s">
        <v>525</v>
      </c>
      <c r="B2262" s="63" t="s">
        <v>525</v>
      </c>
      <c r="C2262" s="63" t="s">
        <v>3171</v>
      </c>
      <c r="E2262" s="63" t="s">
        <v>124</v>
      </c>
    </row>
    <row r="2263" s="63" customFormat="1" spans="1:5">
      <c r="A2263" s="63" t="s">
        <v>542</v>
      </c>
      <c r="B2263" s="63" t="s">
        <v>542</v>
      </c>
      <c r="C2263" s="63" t="s">
        <v>3171</v>
      </c>
      <c r="E2263" s="63" t="s">
        <v>124</v>
      </c>
    </row>
    <row r="2264" s="63" customFormat="1" spans="1:5">
      <c r="A2264" s="63" t="s">
        <v>3191</v>
      </c>
      <c r="B2264" s="63" t="s">
        <v>3191</v>
      </c>
      <c r="C2264" s="63" t="s">
        <v>3171</v>
      </c>
      <c r="E2264" s="63" t="s">
        <v>124</v>
      </c>
    </row>
    <row r="2265" s="63" customFormat="1" spans="1:5">
      <c r="A2265" s="63" t="s">
        <v>3192</v>
      </c>
      <c r="B2265" s="63" t="s">
        <v>3192</v>
      </c>
      <c r="C2265" s="63" t="s">
        <v>3171</v>
      </c>
      <c r="E2265" s="63" t="s">
        <v>124</v>
      </c>
    </row>
    <row r="2266" s="63" customFormat="1" spans="1:5">
      <c r="A2266" s="63" t="s">
        <v>3193</v>
      </c>
      <c r="B2266" s="63" t="s">
        <v>3194</v>
      </c>
      <c r="C2266" s="63" t="s">
        <v>3171</v>
      </c>
      <c r="E2266" s="63" t="s">
        <v>124</v>
      </c>
    </row>
    <row r="2267" s="63" customFormat="1" spans="1:5">
      <c r="A2267" s="63" t="s">
        <v>560</v>
      </c>
      <c r="B2267" s="63" t="s">
        <v>560</v>
      </c>
      <c r="C2267" s="63" t="s">
        <v>3171</v>
      </c>
      <c r="E2267" s="63" t="s">
        <v>399</v>
      </c>
    </row>
    <row r="2268" s="63" customFormat="1" spans="1:5">
      <c r="A2268" s="63" t="s">
        <v>518</v>
      </c>
      <c r="B2268" s="63" t="s">
        <v>518</v>
      </c>
      <c r="C2268" s="63" t="s">
        <v>3171</v>
      </c>
      <c r="E2268" s="63" t="s">
        <v>399</v>
      </c>
    </row>
    <row r="2269" s="63" customFormat="1" spans="1:5">
      <c r="A2269" s="63" t="s">
        <v>559</v>
      </c>
      <c r="B2269" s="63" t="s">
        <v>559</v>
      </c>
      <c r="C2269" s="63" t="s">
        <v>3171</v>
      </c>
      <c r="E2269" s="63" t="s">
        <v>399</v>
      </c>
    </row>
    <row r="2270" s="63" customFormat="1" spans="1:5">
      <c r="A2270" s="63" t="s">
        <v>3195</v>
      </c>
      <c r="B2270" s="63" t="s">
        <v>3196</v>
      </c>
      <c r="C2270" s="63" t="s">
        <v>3171</v>
      </c>
      <c r="E2270" s="63" t="s">
        <v>124</v>
      </c>
    </row>
    <row r="2271" spans="1:5">
      <c r="A2271" t="s">
        <v>3197</v>
      </c>
      <c r="C2271" t="s">
        <v>3197</v>
      </c>
    </row>
    <row r="2272" spans="1:5">
      <c r="A2272" t="s">
        <v>3198</v>
      </c>
      <c r="B2272" t="s">
        <v>3199</v>
      </c>
      <c r="C2272" t="s">
        <v>3197</v>
      </c>
      <c r="E2272" t="s">
        <v>1887</v>
      </c>
    </row>
    <row r="2273" s="63" customFormat="1" spans="1:5">
      <c r="A2273" s="63" t="s">
        <v>276</v>
      </c>
      <c r="B2273" s="63" t="s">
        <v>276</v>
      </c>
      <c r="C2273" s="63" t="s">
        <v>3197</v>
      </c>
      <c r="E2273" s="63" t="s">
        <v>1887</v>
      </c>
    </row>
    <row r="2274" s="63" customFormat="1" spans="1:5">
      <c r="A2274" s="63" t="s">
        <v>277</v>
      </c>
      <c r="B2274" s="63" t="s">
        <v>277</v>
      </c>
      <c r="C2274" s="63" t="s">
        <v>3197</v>
      </c>
      <c r="E2274" s="63" t="s">
        <v>1887</v>
      </c>
    </row>
    <row r="2275" s="63" customFormat="1" spans="1:5">
      <c r="A2275" s="63" t="s">
        <v>279</v>
      </c>
      <c r="B2275" s="63" t="s">
        <v>279</v>
      </c>
      <c r="C2275" s="63" t="s">
        <v>3197</v>
      </c>
      <c r="E2275" s="63" t="s">
        <v>1887</v>
      </c>
    </row>
    <row r="2276" s="63" customFormat="1" spans="1:5">
      <c r="A2276" s="63" t="s">
        <v>3200</v>
      </c>
      <c r="B2276" s="63" t="s">
        <v>3200</v>
      </c>
      <c r="C2276" s="63" t="s">
        <v>3197</v>
      </c>
      <c r="E2276" s="63" t="s">
        <v>124</v>
      </c>
    </row>
    <row r="2277" spans="1:5">
      <c r="A2277" t="s">
        <v>3201</v>
      </c>
      <c r="B2277" t="s">
        <v>3202</v>
      </c>
      <c r="C2277" t="s">
        <v>3197</v>
      </c>
      <c r="E2277" t="s">
        <v>124</v>
      </c>
    </row>
    <row r="2278" s="63" customFormat="1" spans="1:5">
      <c r="A2278" s="63" t="s">
        <v>282</v>
      </c>
      <c r="B2278" s="63" t="s">
        <v>282</v>
      </c>
      <c r="C2278" s="63" t="s">
        <v>3197</v>
      </c>
      <c r="E2278" s="63" t="s">
        <v>124</v>
      </c>
    </row>
    <row r="2279" spans="1:5">
      <c r="A2279" t="s">
        <v>3203</v>
      </c>
      <c r="B2279" t="s">
        <v>661</v>
      </c>
      <c r="C2279" t="s">
        <v>3197</v>
      </c>
      <c r="E2279" t="s">
        <v>124</v>
      </c>
    </row>
    <row r="2280" spans="1:5">
      <c r="A2280" t="s">
        <v>3204</v>
      </c>
      <c r="C2280" t="s">
        <v>3204</v>
      </c>
    </row>
    <row r="2281" spans="1:5">
      <c r="A2281" t="s">
        <v>3205</v>
      </c>
      <c r="C2281" t="s">
        <v>3205</v>
      </c>
    </row>
    <row r="2282" spans="1:5">
      <c r="A2282" t="s">
        <v>3206</v>
      </c>
      <c r="B2282" t="s">
        <v>3206</v>
      </c>
      <c r="C2282" t="s">
        <v>3205</v>
      </c>
      <c r="E2282" t="s">
        <v>1124</v>
      </c>
    </row>
    <row r="2283" spans="1:5">
      <c r="A2283" t="s">
        <v>3207</v>
      </c>
      <c r="B2283" t="s">
        <v>3207</v>
      </c>
      <c r="C2283" t="s">
        <v>3205</v>
      </c>
      <c r="E2283" t="s">
        <v>1124</v>
      </c>
    </row>
    <row r="2284" spans="1:5">
      <c r="A2284" t="s">
        <v>3208</v>
      </c>
      <c r="B2284" t="s">
        <v>3208</v>
      </c>
      <c r="C2284" t="s">
        <v>3205</v>
      </c>
      <c r="E2284" t="s">
        <v>124</v>
      </c>
    </row>
    <row r="2285" spans="1:5">
      <c r="A2285" t="s">
        <v>3209</v>
      </c>
      <c r="B2285" t="s">
        <v>3210</v>
      </c>
      <c r="C2285" t="s">
        <v>3205</v>
      </c>
      <c r="E2285" t="s">
        <v>124</v>
      </c>
    </row>
    <row r="2286" spans="1:5">
      <c r="A2286" t="s">
        <v>3211</v>
      </c>
      <c r="B2286" t="s">
        <v>3211</v>
      </c>
      <c r="C2286" t="s">
        <v>3205</v>
      </c>
      <c r="E2286" t="s">
        <v>124</v>
      </c>
    </row>
    <row r="2287" spans="1:5">
      <c r="A2287" t="s">
        <v>3212</v>
      </c>
      <c r="B2287" t="s">
        <v>3212</v>
      </c>
      <c r="C2287" t="s">
        <v>3205</v>
      </c>
      <c r="E2287" t="s">
        <v>287</v>
      </c>
    </row>
    <row r="2288" spans="1:5">
      <c r="A2288" t="s">
        <v>3213</v>
      </c>
      <c r="B2288" t="s">
        <v>3213</v>
      </c>
      <c r="C2288" t="s">
        <v>3205</v>
      </c>
      <c r="E2288" t="s">
        <v>1118</v>
      </c>
    </row>
    <row r="2289" spans="1:5">
      <c r="A2289" t="s">
        <v>3214</v>
      </c>
      <c r="B2289" t="s">
        <v>3215</v>
      </c>
      <c r="C2289" t="s">
        <v>3205</v>
      </c>
      <c r="E2289" t="s">
        <v>1118</v>
      </c>
    </row>
    <row r="2290" spans="1:5">
      <c r="A2290" t="s">
        <v>3216</v>
      </c>
      <c r="B2290" t="s">
        <v>3217</v>
      </c>
      <c r="C2290" t="s">
        <v>3205</v>
      </c>
      <c r="E2290" t="s">
        <v>124</v>
      </c>
    </row>
    <row r="2291" spans="1:5">
      <c r="A2291" t="s">
        <v>3218</v>
      </c>
      <c r="C2291" t="s">
        <v>3218</v>
      </c>
    </row>
    <row r="2292" spans="1:5">
      <c r="A2292" t="s">
        <v>3219</v>
      </c>
      <c r="B2292" t="s">
        <v>3219</v>
      </c>
      <c r="C2292" t="s">
        <v>3218</v>
      </c>
      <c r="E2292" t="s">
        <v>124</v>
      </c>
    </row>
    <row r="2293" spans="1:5">
      <c r="A2293" t="s">
        <v>3220</v>
      </c>
      <c r="B2293" t="s">
        <v>3220</v>
      </c>
      <c r="C2293" t="s">
        <v>3218</v>
      </c>
      <c r="E2293" t="s">
        <v>124</v>
      </c>
    </row>
    <row r="2294" spans="1:5">
      <c r="A2294" t="s">
        <v>3221</v>
      </c>
      <c r="B2294" t="s">
        <v>3221</v>
      </c>
      <c r="C2294" t="s">
        <v>3218</v>
      </c>
      <c r="E2294" t="s">
        <v>124</v>
      </c>
    </row>
    <row r="2295" spans="1:5">
      <c r="A2295" t="s">
        <v>3222</v>
      </c>
      <c r="B2295" t="s">
        <v>3222</v>
      </c>
      <c r="C2295" t="s">
        <v>3218</v>
      </c>
      <c r="E2295" t="s">
        <v>124</v>
      </c>
    </row>
    <row r="2296" spans="1:5">
      <c r="A2296" t="s">
        <v>3223</v>
      </c>
      <c r="B2296" t="s">
        <v>3223</v>
      </c>
      <c r="C2296" t="s">
        <v>3218</v>
      </c>
      <c r="E2296" t="s">
        <v>124</v>
      </c>
    </row>
    <row r="2297" spans="1:5">
      <c r="A2297" t="s">
        <v>3224</v>
      </c>
      <c r="B2297" t="s">
        <v>3224</v>
      </c>
      <c r="C2297" t="s">
        <v>3218</v>
      </c>
      <c r="E2297" t="s">
        <v>124</v>
      </c>
    </row>
    <row r="2298" spans="1:5">
      <c r="A2298" t="s">
        <v>3225</v>
      </c>
      <c r="B2298" t="s">
        <v>3225</v>
      </c>
      <c r="C2298" t="s">
        <v>3218</v>
      </c>
      <c r="E2298" t="s">
        <v>124</v>
      </c>
    </row>
    <row r="2299" spans="1:5">
      <c r="A2299" t="s">
        <v>3226</v>
      </c>
      <c r="B2299" t="s">
        <v>3226</v>
      </c>
      <c r="C2299" t="s">
        <v>3218</v>
      </c>
      <c r="E2299" t="s">
        <v>124</v>
      </c>
    </row>
    <row r="2300" spans="1:5">
      <c r="A2300" t="s">
        <v>3227</v>
      </c>
      <c r="C2300" t="s">
        <v>3227</v>
      </c>
    </row>
    <row r="2301" s="63" customFormat="1" spans="1:5">
      <c r="A2301" s="63" t="s">
        <v>3228</v>
      </c>
      <c r="B2301" s="63" t="s">
        <v>3228</v>
      </c>
      <c r="C2301" s="63" t="s">
        <v>3227</v>
      </c>
      <c r="E2301" s="63" t="s">
        <v>124</v>
      </c>
    </row>
    <row r="2302" s="3" customFormat="1" spans="1:5">
      <c r="A2302" s="3" t="s">
        <v>3229</v>
      </c>
      <c r="C2302" s="3" t="s">
        <v>3229</v>
      </c>
    </row>
    <row r="2303" s="63" customFormat="1" spans="1:5">
      <c r="A2303" s="63" t="s">
        <v>3230</v>
      </c>
      <c r="B2303" s="63" t="s">
        <v>3230</v>
      </c>
      <c r="C2303" s="63" t="s">
        <v>3229</v>
      </c>
      <c r="E2303" s="63" t="s">
        <v>124</v>
      </c>
    </row>
    <row r="2304" s="63" customFormat="1" spans="1:5">
      <c r="A2304" s="63" t="s">
        <v>3231</v>
      </c>
      <c r="B2304" s="63" t="s">
        <v>3232</v>
      </c>
      <c r="C2304" s="63" t="s">
        <v>3229</v>
      </c>
      <c r="E2304" s="63" t="s">
        <v>124</v>
      </c>
    </row>
    <row r="2305" s="3" customFormat="1" spans="1:5">
      <c r="A2305" s="3" t="s">
        <v>3233</v>
      </c>
      <c r="C2305" s="3" t="s">
        <v>3233</v>
      </c>
    </row>
    <row r="2306" s="63" customFormat="1" spans="1:5">
      <c r="A2306" s="63" t="s">
        <v>3234</v>
      </c>
      <c r="B2306" s="63" t="s">
        <v>998</v>
      </c>
      <c r="C2306" s="63" t="s">
        <v>3233</v>
      </c>
      <c r="E2306" s="63" t="s">
        <v>124</v>
      </c>
    </row>
    <row r="2307" spans="1:5">
      <c r="A2307" t="s">
        <v>3235</v>
      </c>
      <c r="B2307" t="s">
        <v>994</v>
      </c>
      <c r="C2307" t="s">
        <v>3233</v>
      </c>
      <c r="E2307" t="s">
        <v>124</v>
      </c>
    </row>
    <row r="2308" s="63" customFormat="1" spans="1:5">
      <c r="A2308" s="63" t="s">
        <v>3236</v>
      </c>
      <c r="B2308" s="63" t="s">
        <v>991</v>
      </c>
      <c r="C2308" s="63" t="s">
        <v>3233</v>
      </c>
      <c r="E2308" s="63" t="s">
        <v>3237</v>
      </c>
    </row>
    <row r="2323" spans="8:8">
      <c r="H2323" s="22" t="s">
        <v>2021</v>
      </c>
    </row>
  </sheetData>
  <autoFilter xmlns:etc="http://www.wps.cn/officeDocument/2017/etCustomData" ref="A1:E230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81"/>
  <sheetViews>
    <sheetView topLeftCell="A589" workbookViewId="0">
      <selection activeCell="A27" sqref="A27"/>
    </sheetView>
  </sheetViews>
  <sheetFormatPr defaultColWidth="9" defaultRowHeight="15" outlineLevelCol="4"/>
  <cols>
    <col min="1" max="1" width="54.1428571428571" customWidth="1"/>
    <col min="2" max="2" width="53.8571428571429" customWidth="1"/>
    <col min="3" max="3" width="19.1428571428571" customWidth="1"/>
    <col min="4" max="4" width="25.4285714285714" customWidth="1"/>
  </cols>
  <sheetData>
    <row r="1" s="1" customFormat="1" spans="1:5">
      <c r="A1" s="1" t="s">
        <v>3238</v>
      </c>
      <c r="B1" s="1" t="s">
        <v>2</v>
      </c>
      <c r="C1" s="1" t="s">
        <v>1</v>
      </c>
      <c r="D1" s="1" t="s">
        <v>1001</v>
      </c>
      <c r="E1" s="1" t="s">
        <v>1002</v>
      </c>
    </row>
    <row r="2" s="83" customFormat="1" spans="1:5">
      <c r="A2" s="83" t="s">
        <v>241</v>
      </c>
      <c r="C2" s="83" t="s">
        <v>241</v>
      </c>
    </row>
    <row r="3" spans="1:5">
      <c r="A3" t="s">
        <v>1003</v>
      </c>
      <c r="B3" t="s">
        <v>1004</v>
      </c>
      <c r="C3" t="s">
        <v>241</v>
      </c>
      <c r="E3" t="s">
        <v>124</v>
      </c>
    </row>
    <row r="4" spans="1:5">
      <c r="A4" t="s">
        <v>1005</v>
      </c>
      <c r="C4" t="s">
        <v>1005</v>
      </c>
    </row>
    <row r="5" spans="1:5">
      <c r="A5" t="s">
        <v>1006</v>
      </c>
      <c r="B5" t="s">
        <v>1006</v>
      </c>
      <c r="C5" t="s">
        <v>1005</v>
      </c>
      <c r="E5" t="s">
        <v>124</v>
      </c>
    </row>
    <row r="6" s="83" customFormat="1" spans="1:5">
      <c r="A6" s="83" t="s">
        <v>458</v>
      </c>
      <c r="C6" s="83" t="s">
        <v>458</v>
      </c>
    </row>
    <row r="7" spans="1:5">
      <c r="A7" t="s">
        <v>1007</v>
      </c>
      <c r="B7" t="s">
        <v>1007</v>
      </c>
      <c r="C7" t="s">
        <v>458</v>
      </c>
      <c r="E7" t="s">
        <v>124</v>
      </c>
    </row>
    <row r="8" spans="1:5">
      <c r="A8" t="s">
        <v>1008</v>
      </c>
      <c r="B8" t="s">
        <v>1008</v>
      </c>
      <c r="C8" t="s">
        <v>458</v>
      </c>
      <c r="E8" t="s">
        <v>124</v>
      </c>
    </row>
    <row r="9" spans="1:5">
      <c r="A9" t="s">
        <v>1009</v>
      </c>
      <c r="B9" t="s">
        <v>1009</v>
      </c>
      <c r="C9" t="s">
        <v>458</v>
      </c>
      <c r="E9" t="s">
        <v>124</v>
      </c>
    </row>
    <row r="10" spans="1:5">
      <c r="A10" t="s">
        <v>1010</v>
      </c>
      <c r="B10" t="s">
        <v>1010</v>
      </c>
      <c r="C10" t="s">
        <v>458</v>
      </c>
      <c r="E10" t="s">
        <v>124</v>
      </c>
    </row>
    <row r="11" spans="1:5">
      <c r="A11" t="s">
        <v>1011</v>
      </c>
      <c r="B11" t="s">
        <v>1012</v>
      </c>
      <c r="C11" t="s">
        <v>458</v>
      </c>
      <c r="E11" t="s">
        <v>124</v>
      </c>
    </row>
    <row r="12" spans="1:5">
      <c r="A12" t="s">
        <v>1013</v>
      </c>
      <c r="B12" t="s">
        <v>1013</v>
      </c>
      <c r="C12" t="s">
        <v>458</v>
      </c>
      <c r="E12" t="s">
        <v>124</v>
      </c>
    </row>
    <row r="13" spans="1:5">
      <c r="A13" t="s">
        <v>1014</v>
      </c>
      <c r="B13" t="s">
        <v>1015</v>
      </c>
      <c r="C13" t="s">
        <v>458</v>
      </c>
      <c r="E13" t="s">
        <v>124</v>
      </c>
    </row>
    <row r="14" spans="1:5">
      <c r="A14" t="s">
        <v>1018</v>
      </c>
      <c r="B14" t="s">
        <v>1018</v>
      </c>
      <c r="C14" t="s">
        <v>458</v>
      </c>
      <c r="E14" t="s">
        <v>124</v>
      </c>
    </row>
    <row r="15" spans="1:5">
      <c r="A15" t="s">
        <v>1019</v>
      </c>
      <c r="B15" t="s">
        <v>1019</v>
      </c>
      <c r="C15" t="s">
        <v>458</v>
      </c>
      <c r="E15" t="s">
        <v>124</v>
      </c>
    </row>
    <row r="16" spans="1:5">
      <c r="A16" t="s">
        <v>1020</v>
      </c>
      <c r="B16" t="s">
        <v>1020</v>
      </c>
      <c r="C16" t="s">
        <v>458</v>
      </c>
      <c r="E16" t="s">
        <v>124</v>
      </c>
    </row>
    <row r="17" spans="1:5">
      <c r="A17" t="s">
        <v>1021</v>
      </c>
      <c r="B17" t="s">
        <v>1021</v>
      </c>
      <c r="C17" t="s">
        <v>458</v>
      </c>
      <c r="E17" t="s">
        <v>124</v>
      </c>
    </row>
    <row r="18" spans="1:5">
      <c r="A18" t="s">
        <v>1022</v>
      </c>
      <c r="B18" t="s">
        <v>1022</v>
      </c>
      <c r="C18" t="s">
        <v>458</v>
      </c>
      <c r="E18" t="s">
        <v>124</v>
      </c>
    </row>
    <row r="19" spans="1:5">
      <c r="A19" t="s">
        <v>1023</v>
      </c>
      <c r="B19" t="s">
        <v>1023</v>
      </c>
      <c r="C19" t="s">
        <v>458</v>
      </c>
      <c r="E19" t="s">
        <v>124</v>
      </c>
    </row>
    <row r="20" spans="1:5">
      <c r="A20" t="s">
        <v>1024</v>
      </c>
      <c r="B20" t="s">
        <v>1024</v>
      </c>
      <c r="C20" t="s">
        <v>458</v>
      </c>
      <c r="E20" t="s">
        <v>124</v>
      </c>
    </row>
    <row r="21" spans="1:5">
      <c r="A21" t="s">
        <v>1025</v>
      </c>
      <c r="B21" t="s">
        <v>1025</v>
      </c>
      <c r="C21" t="s">
        <v>458</v>
      </c>
      <c r="E21" t="s">
        <v>124</v>
      </c>
    </row>
    <row r="22" spans="1:5">
      <c r="A22" t="s">
        <v>263</v>
      </c>
      <c r="C22" t="s">
        <v>263</v>
      </c>
    </row>
    <row r="23" spans="1:5">
      <c r="A23" t="s">
        <v>263</v>
      </c>
      <c r="B23" t="s">
        <v>1026</v>
      </c>
      <c r="C23" t="s">
        <v>263</v>
      </c>
      <c r="E23" t="s">
        <v>622</v>
      </c>
    </row>
    <row r="24" spans="1:5">
      <c r="A24" t="s">
        <v>1027</v>
      </c>
      <c r="B24" t="s">
        <v>1027</v>
      </c>
      <c r="C24" t="s">
        <v>263</v>
      </c>
      <c r="E24" t="s">
        <v>622</v>
      </c>
    </row>
    <row r="25" spans="1:5">
      <c r="A25" t="s">
        <v>1028</v>
      </c>
      <c r="B25" t="s">
        <v>1028</v>
      </c>
      <c r="C25" t="s">
        <v>263</v>
      </c>
      <c r="E25" t="s">
        <v>622</v>
      </c>
    </row>
    <row r="26" spans="1:5">
      <c r="A26" t="s">
        <v>1029</v>
      </c>
      <c r="B26" t="s">
        <v>1029</v>
      </c>
      <c r="C26" t="s">
        <v>263</v>
      </c>
      <c r="E26" t="s">
        <v>622</v>
      </c>
    </row>
    <row r="27" spans="1:5">
      <c r="A27" t="s">
        <v>267</v>
      </c>
      <c r="B27" t="s">
        <v>267</v>
      </c>
      <c r="C27" t="s">
        <v>263</v>
      </c>
      <c r="E27" t="s">
        <v>622</v>
      </c>
    </row>
    <row r="28" spans="1:5">
      <c r="A28" t="s">
        <v>268</v>
      </c>
      <c r="B28" t="s">
        <v>1030</v>
      </c>
      <c r="C28" t="s">
        <v>263</v>
      </c>
      <c r="E28" t="s">
        <v>622</v>
      </c>
    </row>
    <row r="29" spans="1:5">
      <c r="A29" t="s">
        <v>217</v>
      </c>
      <c r="C29" t="s">
        <v>217</v>
      </c>
    </row>
    <row r="30" spans="1:5">
      <c r="A30" t="s">
        <v>1031</v>
      </c>
      <c r="B30" t="s">
        <v>1031</v>
      </c>
      <c r="C30" t="s">
        <v>217</v>
      </c>
      <c r="E30" t="s">
        <v>1032</v>
      </c>
    </row>
    <row r="31" spans="1:5">
      <c r="A31" t="s">
        <v>1033</v>
      </c>
      <c r="B31" t="s">
        <v>1033</v>
      </c>
      <c r="C31" t="s">
        <v>217</v>
      </c>
      <c r="E31" t="s">
        <v>1032</v>
      </c>
    </row>
    <row r="32" s="83" customFormat="1" spans="1:5">
      <c r="A32" s="83" t="s">
        <v>1034</v>
      </c>
      <c r="C32" s="83" t="s">
        <v>1034</v>
      </c>
    </row>
    <row r="33" spans="1:5">
      <c r="A33" t="s">
        <v>260</v>
      </c>
      <c r="C33" t="s">
        <v>260</v>
      </c>
    </row>
    <row r="34" spans="1:5">
      <c r="A34" t="s">
        <v>1041</v>
      </c>
      <c r="B34" t="s">
        <v>1042</v>
      </c>
      <c r="C34" t="s">
        <v>260</v>
      </c>
      <c r="E34" t="s">
        <v>1043</v>
      </c>
    </row>
    <row r="35" spans="1:5">
      <c r="A35" t="s">
        <v>1044</v>
      </c>
      <c r="B35" t="s">
        <v>1045</v>
      </c>
      <c r="C35" t="s">
        <v>260</v>
      </c>
      <c r="E35" t="s">
        <v>124</v>
      </c>
    </row>
    <row r="36" s="83" customFormat="1" spans="1:5">
      <c r="A36" s="83" t="s">
        <v>164</v>
      </c>
      <c r="C36" s="83" t="s">
        <v>164</v>
      </c>
    </row>
    <row r="66" spans="1:5">
      <c r="A66" t="s">
        <v>1079</v>
      </c>
      <c r="C66" t="s">
        <v>1079</v>
      </c>
    </row>
    <row r="67" spans="1:5">
      <c r="A67" t="s">
        <v>1080</v>
      </c>
      <c r="B67" t="s">
        <v>1081</v>
      </c>
      <c r="C67" t="s">
        <v>1079</v>
      </c>
      <c r="E67" t="s">
        <v>1052</v>
      </c>
    </row>
    <row r="68" spans="1:5">
      <c r="A68" t="s">
        <v>1082</v>
      </c>
      <c r="B68" t="s">
        <v>1082</v>
      </c>
      <c r="C68" t="s">
        <v>1079</v>
      </c>
      <c r="E68" t="s">
        <v>124</v>
      </c>
    </row>
    <row r="69" spans="1:5">
      <c r="A69" t="s">
        <v>348</v>
      </c>
      <c r="C69" t="s">
        <v>348</v>
      </c>
    </row>
    <row r="70" spans="1:5">
      <c r="A70" t="s">
        <v>1083</v>
      </c>
      <c r="B70" t="s">
        <v>1083</v>
      </c>
      <c r="C70" t="s">
        <v>348</v>
      </c>
      <c r="E70" t="s">
        <v>124</v>
      </c>
    </row>
    <row r="71" spans="1:5">
      <c r="A71" t="s">
        <v>1084</v>
      </c>
      <c r="B71" t="s">
        <v>1084</v>
      </c>
      <c r="C71" t="s">
        <v>348</v>
      </c>
      <c r="E71" t="s">
        <v>316</v>
      </c>
    </row>
    <row r="72" s="83" customFormat="1" spans="1:5">
      <c r="A72" s="83" t="s">
        <v>1142</v>
      </c>
      <c r="C72" s="83" t="s">
        <v>1142</v>
      </c>
    </row>
    <row r="73" spans="1:5">
      <c r="A73" t="s">
        <v>2156</v>
      </c>
      <c r="B73" t="s">
        <v>2156</v>
      </c>
      <c r="C73" t="s">
        <v>1732</v>
      </c>
      <c r="E73" t="s">
        <v>124</v>
      </c>
    </row>
    <row r="74" spans="1:5">
      <c r="A74" t="s">
        <v>2157</v>
      </c>
      <c r="B74" t="s">
        <v>2157</v>
      </c>
      <c r="C74" t="s">
        <v>1732</v>
      </c>
      <c r="E74" t="s">
        <v>124</v>
      </c>
    </row>
    <row r="75" spans="1:5">
      <c r="A75" t="s">
        <v>2158</v>
      </c>
      <c r="B75" t="s">
        <v>2158</v>
      </c>
      <c r="C75" t="s">
        <v>1732</v>
      </c>
      <c r="E75" t="s">
        <v>310</v>
      </c>
    </row>
    <row r="76" spans="1:5">
      <c r="A76" t="s">
        <v>2159</v>
      </c>
      <c r="B76" t="s">
        <v>2159</v>
      </c>
      <c r="C76" t="s">
        <v>1732</v>
      </c>
      <c r="E76" t="s">
        <v>310</v>
      </c>
    </row>
    <row r="77" spans="1:5">
      <c r="A77" t="s">
        <v>585</v>
      </c>
      <c r="B77" t="s">
        <v>585</v>
      </c>
      <c r="C77" t="s">
        <v>1732</v>
      </c>
      <c r="E77" t="s">
        <v>124</v>
      </c>
    </row>
    <row r="78" spans="1:5">
      <c r="A78" t="s">
        <v>586</v>
      </c>
      <c r="B78" t="s">
        <v>586</v>
      </c>
      <c r="C78" t="s">
        <v>1732</v>
      </c>
      <c r="E78" t="s">
        <v>399</v>
      </c>
    </row>
    <row r="79" spans="1:5">
      <c r="A79" t="s">
        <v>587</v>
      </c>
      <c r="B79" t="s">
        <v>587</v>
      </c>
      <c r="C79" t="s">
        <v>1732</v>
      </c>
      <c r="E79" t="s">
        <v>399</v>
      </c>
    </row>
    <row r="80" spans="1:5">
      <c r="A80" t="s">
        <v>2160</v>
      </c>
      <c r="B80" t="s">
        <v>2160</v>
      </c>
      <c r="C80" t="s">
        <v>1732</v>
      </c>
      <c r="E80" t="s">
        <v>363</v>
      </c>
    </row>
    <row r="81" spans="1:5">
      <c r="A81" t="s">
        <v>2161</v>
      </c>
      <c r="B81" t="s">
        <v>2161</v>
      </c>
      <c r="C81" t="s">
        <v>1732</v>
      </c>
      <c r="E81" t="s">
        <v>363</v>
      </c>
    </row>
    <row r="82" spans="1:5">
      <c r="A82" t="s">
        <v>2162</v>
      </c>
      <c r="B82" t="s">
        <v>2162</v>
      </c>
      <c r="C82" t="s">
        <v>1732</v>
      </c>
      <c r="E82" t="s">
        <v>124</v>
      </c>
    </row>
    <row r="83" spans="1:5">
      <c r="A83" t="s">
        <v>2163</v>
      </c>
      <c r="B83" t="s">
        <v>2163</v>
      </c>
      <c r="C83" t="s">
        <v>1732</v>
      </c>
      <c r="E83" t="s">
        <v>803</v>
      </c>
    </row>
    <row r="84" spans="1:5">
      <c r="A84" t="s">
        <v>1395</v>
      </c>
      <c r="B84" t="s">
        <v>2164</v>
      </c>
      <c r="C84" t="s">
        <v>1732</v>
      </c>
      <c r="E84" t="s">
        <v>124</v>
      </c>
    </row>
    <row r="85" spans="1:5">
      <c r="A85" t="s">
        <v>2165</v>
      </c>
      <c r="B85" t="s">
        <v>2165</v>
      </c>
      <c r="C85" t="s">
        <v>1732</v>
      </c>
      <c r="E85" t="s">
        <v>124</v>
      </c>
    </row>
    <row r="86" spans="1:5">
      <c r="A86" t="s">
        <v>2166</v>
      </c>
      <c r="B86" t="s">
        <v>2166</v>
      </c>
      <c r="C86" t="s">
        <v>1732</v>
      </c>
      <c r="E86" t="s">
        <v>124</v>
      </c>
    </row>
    <row r="87" spans="1:5">
      <c r="A87" t="s">
        <v>2167</v>
      </c>
      <c r="B87" t="s">
        <v>2167</v>
      </c>
      <c r="C87" t="s">
        <v>1732</v>
      </c>
      <c r="E87" t="s">
        <v>124</v>
      </c>
    </row>
    <row r="88" spans="1:5">
      <c r="A88" t="s">
        <v>2168</v>
      </c>
      <c r="B88" t="s">
        <v>2168</v>
      </c>
      <c r="C88" t="s">
        <v>1732</v>
      </c>
      <c r="E88" t="s">
        <v>124</v>
      </c>
    </row>
    <row r="89" spans="1:5">
      <c r="A89" t="s">
        <v>486</v>
      </c>
      <c r="B89" t="s">
        <v>486</v>
      </c>
      <c r="C89" t="s">
        <v>1732</v>
      </c>
      <c r="E89" t="s">
        <v>124</v>
      </c>
    </row>
    <row r="90" spans="1:5">
      <c r="A90" t="s">
        <v>2169</v>
      </c>
      <c r="B90" t="s">
        <v>2169</v>
      </c>
      <c r="C90" t="s">
        <v>1732</v>
      </c>
      <c r="E90" t="s">
        <v>124</v>
      </c>
    </row>
    <row r="91" spans="1:5">
      <c r="A91" t="s">
        <v>2170</v>
      </c>
      <c r="B91" t="s">
        <v>2170</v>
      </c>
      <c r="C91" t="s">
        <v>1732</v>
      </c>
      <c r="E91" t="s">
        <v>124</v>
      </c>
    </row>
    <row r="92" spans="1:5">
      <c r="A92" t="s">
        <v>2171</v>
      </c>
      <c r="B92" t="s">
        <v>2171</v>
      </c>
      <c r="C92" t="s">
        <v>1732</v>
      </c>
      <c r="E92" t="s">
        <v>124</v>
      </c>
    </row>
    <row r="93" spans="1:5">
      <c r="A93" t="s">
        <v>2172</v>
      </c>
      <c r="B93" t="s">
        <v>2172</v>
      </c>
      <c r="C93" t="s">
        <v>1732</v>
      </c>
      <c r="E93" t="s">
        <v>124</v>
      </c>
    </row>
    <row r="94" spans="1:5">
      <c r="A94" t="s">
        <v>752</v>
      </c>
      <c r="B94" t="s">
        <v>752</v>
      </c>
      <c r="C94" t="s">
        <v>1732</v>
      </c>
      <c r="E94" t="s">
        <v>124</v>
      </c>
    </row>
    <row r="95" spans="1:5">
      <c r="A95" t="s">
        <v>694</v>
      </c>
      <c r="B95" t="s">
        <v>694</v>
      </c>
      <c r="C95" t="s">
        <v>1732</v>
      </c>
      <c r="E95" t="s">
        <v>124</v>
      </c>
    </row>
    <row r="96" spans="1:5">
      <c r="A96" t="s">
        <v>2173</v>
      </c>
      <c r="B96" t="s">
        <v>2173</v>
      </c>
      <c r="C96" t="s">
        <v>1732</v>
      </c>
      <c r="E96" t="s">
        <v>124</v>
      </c>
    </row>
    <row r="97" spans="1:5">
      <c r="A97" t="s">
        <v>656</v>
      </c>
      <c r="B97" t="s">
        <v>656</v>
      </c>
      <c r="C97" t="s">
        <v>1732</v>
      </c>
      <c r="E97" t="s">
        <v>124</v>
      </c>
    </row>
    <row r="98" spans="1:5">
      <c r="A98" t="s">
        <v>2175</v>
      </c>
      <c r="B98" t="s">
        <v>2175</v>
      </c>
      <c r="C98" t="s">
        <v>1732</v>
      </c>
      <c r="E98" t="s">
        <v>124</v>
      </c>
    </row>
    <row r="99" spans="1:5">
      <c r="A99" t="s">
        <v>2176</v>
      </c>
      <c r="B99" t="s">
        <v>2176</v>
      </c>
      <c r="C99" t="s">
        <v>1732</v>
      </c>
      <c r="E99" t="s">
        <v>124</v>
      </c>
    </row>
    <row r="100" spans="1:5">
      <c r="A100" t="s">
        <v>2177</v>
      </c>
      <c r="B100" t="s">
        <v>2177</v>
      </c>
      <c r="C100" t="s">
        <v>1732</v>
      </c>
      <c r="E100" t="s">
        <v>124</v>
      </c>
    </row>
    <row r="101" spans="1:5">
      <c r="A101" t="s">
        <v>2178</v>
      </c>
      <c r="B101" t="s">
        <v>2178</v>
      </c>
      <c r="C101" t="s">
        <v>1732</v>
      </c>
      <c r="E101" t="s">
        <v>124</v>
      </c>
    </row>
    <row r="102" spans="1:5">
      <c r="A102" t="s">
        <v>2179</v>
      </c>
      <c r="B102" t="s">
        <v>2179</v>
      </c>
      <c r="C102" t="s">
        <v>1732</v>
      </c>
      <c r="E102" t="s">
        <v>124</v>
      </c>
    </row>
    <row r="103" spans="1:5">
      <c r="A103" t="s">
        <v>2180</v>
      </c>
      <c r="B103" t="s">
        <v>2180</v>
      </c>
      <c r="C103" t="s">
        <v>1732</v>
      </c>
      <c r="E103" t="s">
        <v>124</v>
      </c>
    </row>
    <row r="105" spans="1:5">
      <c r="A105" t="s">
        <v>2182</v>
      </c>
      <c r="B105" t="s">
        <v>2182</v>
      </c>
      <c r="C105" t="s">
        <v>1732</v>
      </c>
      <c r="E105" t="s">
        <v>1032</v>
      </c>
    </row>
    <row r="106" spans="1:5">
      <c r="A106" t="s">
        <v>2183</v>
      </c>
      <c r="B106" t="s">
        <v>2183</v>
      </c>
      <c r="C106" t="s">
        <v>1732</v>
      </c>
      <c r="E106" t="s">
        <v>1048</v>
      </c>
    </row>
    <row r="107" spans="1:5">
      <c r="A107" t="s">
        <v>2184</v>
      </c>
      <c r="B107" t="s">
        <v>2184</v>
      </c>
      <c r="C107" t="s">
        <v>1732</v>
      </c>
      <c r="E107" t="s">
        <v>1048</v>
      </c>
    </row>
    <row r="108" spans="1:5">
      <c r="A108" t="s">
        <v>2185</v>
      </c>
      <c r="B108" t="s">
        <v>2185</v>
      </c>
      <c r="C108" t="s">
        <v>1732</v>
      </c>
      <c r="E108" t="s">
        <v>1048</v>
      </c>
    </row>
    <row r="109" spans="1:5">
      <c r="A109" t="s">
        <v>2186</v>
      </c>
      <c r="B109" t="s">
        <v>2186</v>
      </c>
      <c r="C109" t="s">
        <v>1732</v>
      </c>
      <c r="E109" t="s">
        <v>1048</v>
      </c>
    </row>
    <row r="110" spans="1:5">
      <c r="A110" t="s">
        <v>2187</v>
      </c>
      <c r="B110" t="s">
        <v>2187</v>
      </c>
      <c r="C110" t="s">
        <v>1732</v>
      </c>
      <c r="E110" t="s">
        <v>1048</v>
      </c>
    </row>
    <row r="111" spans="1:5">
      <c r="A111" t="s">
        <v>2188</v>
      </c>
      <c r="B111" t="s">
        <v>2188</v>
      </c>
      <c r="C111" t="s">
        <v>1732</v>
      </c>
      <c r="E111" t="s">
        <v>1048</v>
      </c>
    </row>
    <row r="112" spans="1:5">
      <c r="A112" t="s">
        <v>2189</v>
      </c>
      <c r="B112" t="s">
        <v>2189</v>
      </c>
      <c r="C112" t="s">
        <v>1732</v>
      </c>
      <c r="E112" t="s">
        <v>124</v>
      </c>
    </row>
    <row r="113" spans="1:5">
      <c r="A113" t="s">
        <v>728</v>
      </c>
      <c r="B113" t="s">
        <v>728</v>
      </c>
      <c r="C113" t="s">
        <v>1732</v>
      </c>
      <c r="E113" t="s">
        <v>124</v>
      </c>
    </row>
    <row r="114" spans="1:5">
      <c r="A114" t="s">
        <v>2190</v>
      </c>
      <c r="B114" t="s">
        <v>2190</v>
      </c>
      <c r="C114" t="s">
        <v>1732</v>
      </c>
      <c r="E114" t="s">
        <v>124</v>
      </c>
    </row>
    <row r="115" spans="1:5">
      <c r="A115" t="s">
        <v>315</v>
      </c>
      <c r="B115" t="s">
        <v>315</v>
      </c>
      <c r="C115" t="s">
        <v>1732</v>
      </c>
      <c r="E115" t="s">
        <v>316</v>
      </c>
    </row>
    <row r="116" spans="1:5">
      <c r="A116" t="s">
        <v>2191</v>
      </c>
      <c r="B116" t="s">
        <v>2191</v>
      </c>
      <c r="C116" t="s">
        <v>1732</v>
      </c>
      <c r="E116" t="s">
        <v>124</v>
      </c>
    </row>
    <row r="117" spans="1:5">
      <c r="A117" t="s">
        <v>2192</v>
      </c>
      <c r="B117" t="s">
        <v>2192</v>
      </c>
      <c r="C117" t="s">
        <v>1732</v>
      </c>
      <c r="E117" t="s">
        <v>124</v>
      </c>
    </row>
    <row r="118" spans="1:5">
      <c r="A118" t="s">
        <v>2193</v>
      </c>
      <c r="B118" t="s">
        <v>2193</v>
      </c>
      <c r="C118" t="s">
        <v>1732</v>
      </c>
      <c r="E118" t="s">
        <v>124</v>
      </c>
    </row>
    <row r="119" spans="1:5">
      <c r="A119" t="s">
        <v>2194</v>
      </c>
      <c r="B119" t="s">
        <v>2194</v>
      </c>
      <c r="C119" t="s">
        <v>1732</v>
      </c>
      <c r="E119" t="s">
        <v>124</v>
      </c>
    </row>
    <row r="120" spans="1:5">
      <c r="A120" t="s">
        <v>2195</v>
      </c>
      <c r="B120" t="s">
        <v>2195</v>
      </c>
      <c r="C120" t="s">
        <v>1732</v>
      </c>
      <c r="E120" t="s">
        <v>124</v>
      </c>
    </row>
    <row r="121" spans="1:5">
      <c r="A121" t="s">
        <v>2196</v>
      </c>
      <c r="B121" t="s">
        <v>2196</v>
      </c>
      <c r="C121" t="s">
        <v>1732</v>
      </c>
      <c r="E121" t="s">
        <v>124</v>
      </c>
    </row>
    <row r="122" spans="1:5">
      <c r="A122" t="s">
        <v>2197</v>
      </c>
      <c r="B122" t="s">
        <v>2197</v>
      </c>
      <c r="C122" t="s">
        <v>1732</v>
      </c>
      <c r="E122" t="s">
        <v>524</v>
      </c>
    </row>
    <row r="123" spans="1:5">
      <c r="A123" t="s">
        <v>644</v>
      </c>
      <c r="B123" t="s">
        <v>644</v>
      </c>
      <c r="C123" t="s">
        <v>1732</v>
      </c>
      <c r="E123" t="s">
        <v>524</v>
      </c>
    </row>
    <row r="124" spans="1:5">
      <c r="A124" t="s">
        <v>599</v>
      </c>
      <c r="B124" t="s">
        <v>599</v>
      </c>
      <c r="C124" t="s">
        <v>1732</v>
      </c>
      <c r="E124" t="s">
        <v>524</v>
      </c>
    </row>
    <row r="125" spans="1:5">
      <c r="A125" t="s">
        <v>597</v>
      </c>
      <c r="B125" t="s">
        <v>597</v>
      </c>
      <c r="C125" t="s">
        <v>1732</v>
      </c>
      <c r="E125" t="s">
        <v>524</v>
      </c>
    </row>
    <row r="126" spans="1:5">
      <c r="A126" t="s">
        <v>600</v>
      </c>
      <c r="B126" t="s">
        <v>600</v>
      </c>
      <c r="C126" t="s">
        <v>1732</v>
      </c>
      <c r="E126" t="s">
        <v>524</v>
      </c>
    </row>
    <row r="127" spans="1:5">
      <c r="A127" t="s">
        <v>605</v>
      </c>
      <c r="B127" t="s">
        <v>605</v>
      </c>
      <c r="C127" t="s">
        <v>1732</v>
      </c>
      <c r="E127" t="s">
        <v>524</v>
      </c>
    </row>
    <row r="128" spans="1:5">
      <c r="A128" t="s">
        <v>613</v>
      </c>
      <c r="B128" t="s">
        <v>613</v>
      </c>
      <c r="C128" t="s">
        <v>1732</v>
      </c>
      <c r="E128" t="s">
        <v>124</v>
      </c>
    </row>
    <row r="129" spans="1:5">
      <c r="A129" t="s">
        <v>2198</v>
      </c>
      <c r="B129" t="s">
        <v>2198</v>
      </c>
      <c r="C129" t="s">
        <v>1732</v>
      </c>
      <c r="E129" t="s">
        <v>124</v>
      </c>
    </row>
    <row r="130" s="83" customFormat="1" spans="1:5">
      <c r="A130" s="83" t="s">
        <v>156</v>
      </c>
      <c r="C130" s="83" t="s">
        <v>156</v>
      </c>
    </row>
    <row r="131" s="83" customFormat="1" spans="1:5">
      <c r="A131" s="83" t="s">
        <v>0</v>
      </c>
      <c r="C131" s="83" t="s">
        <v>0</v>
      </c>
    </row>
    <row r="132" spans="1:5">
      <c r="A132" t="s">
        <v>2266</v>
      </c>
      <c r="C132" t="s">
        <v>2266</v>
      </c>
    </row>
    <row r="133" spans="1:5">
      <c r="A133" t="s">
        <v>2267</v>
      </c>
      <c r="C133" t="s">
        <v>2267</v>
      </c>
    </row>
    <row r="134" spans="1:5">
      <c r="A134" t="s">
        <v>2268</v>
      </c>
      <c r="B134" t="s">
        <v>2269</v>
      </c>
      <c r="C134" t="s">
        <v>2267</v>
      </c>
      <c r="E134" t="s">
        <v>2270</v>
      </c>
    </row>
    <row r="135" spans="1:5">
      <c r="A135" t="s">
        <v>2271</v>
      </c>
      <c r="C135" t="s">
        <v>2271</v>
      </c>
    </row>
    <row r="136" spans="1:5">
      <c r="A136" t="s">
        <v>2272</v>
      </c>
      <c r="B136" t="s">
        <v>2273</v>
      </c>
      <c r="C136" t="s">
        <v>2271</v>
      </c>
      <c r="E136" t="s">
        <v>124</v>
      </c>
    </row>
    <row r="137" spans="1:5">
      <c r="A137" t="s">
        <v>2274</v>
      </c>
      <c r="B137" t="s">
        <v>755</v>
      </c>
      <c r="C137" t="s">
        <v>2271</v>
      </c>
      <c r="E137" t="s">
        <v>124</v>
      </c>
    </row>
    <row r="138" spans="1:5">
      <c r="A138" t="s">
        <v>2275</v>
      </c>
      <c r="B138" t="s">
        <v>689</v>
      </c>
      <c r="C138" t="s">
        <v>2271</v>
      </c>
      <c r="E138" t="s">
        <v>329</v>
      </c>
    </row>
    <row r="139" spans="1:5">
      <c r="A139" t="s">
        <v>2276</v>
      </c>
      <c r="B139" t="s">
        <v>2277</v>
      </c>
      <c r="C139" t="s">
        <v>2271</v>
      </c>
      <c r="E139" t="s">
        <v>124</v>
      </c>
    </row>
    <row r="140" spans="1:5">
      <c r="A140" t="s">
        <v>2278</v>
      </c>
      <c r="B140" t="s">
        <v>2279</v>
      </c>
      <c r="C140" t="s">
        <v>2271</v>
      </c>
      <c r="E140" t="s">
        <v>124</v>
      </c>
    </row>
    <row r="141" spans="1:5">
      <c r="A141" t="s">
        <v>2280</v>
      </c>
      <c r="B141" t="s">
        <v>777</v>
      </c>
      <c r="C141" t="s">
        <v>2271</v>
      </c>
      <c r="E141" t="s">
        <v>124</v>
      </c>
    </row>
    <row r="142" spans="1:5">
      <c r="A142" t="s">
        <v>2281</v>
      </c>
      <c r="C142" t="s">
        <v>2281</v>
      </c>
    </row>
    <row r="143" spans="1:5">
      <c r="A143" t="s">
        <v>773</v>
      </c>
      <c r="B143" t="s">
        <v>773</v>
      </c>
      <c r="C143" t="s">
        <v>2281</v>
      </c>
      <c r="E143" t="s">
        <v>124</v>
      </c>
    </row>
    <row r="144" spans="1:5">
      <c r="A144" t="s">
        <v>779</v>
      </c>
      <c r="B144" t="s">
        <v>779</v>
      </c>
      <c r="C144" t="s">
        <v>2281</v>
      </c>
      <c r="E144" t="s">
        <v>124</v>
      </c>
    </row>
    <row r="145" spans="1:5">
      <c r="A145" t="s">
        <v>778</v>
      </c>
      <c r="B145" t="s">
        <v>778</v>
      </c>
      <c r="C145" t="s">
        <v>2281</v>
      </c>
      <c r="E145" t="s">
        <v>124</v>
      </c>
    </row>
    <row r="146" spans="1:5">
      <c r="A146" t="s">
        <v>2282</v>
      </c>
      <c r="B146" t="s">
        <v>2282</v>
      </c>
      <c r="C146" t="s">
        <v>2281</v>
      </c>
      <c r="E146" t="s">
        <v>124</v>
      </c>
    </row>
    <row r="147" spans="1:5">
      <c r="A147" t="s">
        <v>2283</v>
      </c>
      <c r="B147" t="s">
        <v>2283</v>
      </c>
      <c r="C147" t="s">
        <v>2281</v>
      </c>
      <c r="E147" t="s">
        <v>124</v>
      </c>
    </row>
    <row r="148" spans="1:5">
      <c r="A148" t="s">
        <v>2284</v>
      </c>
      <c r="B148" t="s">
        <v>2284</v>
      </c>
      <c r="C148" t="s">
        <v>2281</v>
      </c>
      <c r="E148" t="s">
        <v>124</v>
      </c>
    </row>
    <row r="149" spans="1:5">
      <c r="A149" t="s">
        <v>2285</v>
      </c>
      <c r="B149" t="s">
        <v>2285</v>
      </c>
      <c r="C149" t="s">
        <v>2281</v>
      </c>
      <c r="E149" t="s">
        <v>124</v>
      </c>
    </row>
    <row r="150" spans="1:5">
      <c r="A150" t="s">
        <v>2286</v>
      </c>
      <c r="B150" t="s">
        <v>2286</v>
      </c>
      <c r="C150" t="s">
        <v>2281</v>
      </c>
      <c r="E150" t="s">
        <v>124</v>
      </c>
    </row>
    <row r="151" spans="1:5">
      <c r="A151" t="s">
        <v>2287</v>
      </c>
      <c r="B151" t="s">
        <v>2287</v>
      </c>
      <c r="C151" t="s">
        <v>2281</v>
      </c>
      <c r="E151" t="s">
        <v>124</v>
      </c>
    </row>
    <row r="152" spans="1:5">
      <c r="A152" t="s">
        <v>2288</v>
      </c>
      <c r="B152" t="s">
        <v>2288</v>
      </c>
      <c r="C152" t="s">
        <v>2281</v>
      </c>
      <c r="E152" t="s">
        <v>124</v>
      </c>
    </row>
    <row r="153" spans="1:5">
      <c r="A153" t="s">
        <v>2289</v>
      </c>
      <c r="B153" t="s">
        <v>2289</v>
      </c>
      <c r="C153" t="s">
        <v>2281</v>
      </c>
      <c r="E153" t="s">
        <v>124</v>
      </c>
    </row>
    <row r="154" spans="1:5">
      <c r="A154" t="s">
        <v>775</v>
      </c>
      <c r="B154" t="s">
        <v>775</v>
      </c>
      <c r="C154" t="s">
        <v>2281</v>
      </c>
      <c r="E154" t="s">
        <v>124</v>
      </c>
    </row>
    <row r="155" spans="1:5">
      <c r="A155" t="s">
        <v>776</v>
      </c>
      <c r="B155" t="s">
        <v>776</v>
      </c>
      <c r="C155" t="s">
        <v>2281</v>
      </c>
      <c r="E155" t="s">
        <v>124</v>
      </c>
    </row>
    <row r="156" spans="1:5">
      <c r="A156" t="s">
        <v>772</v>
      </c>
      <c r="B156" t="s">
        <v>772</v>
      </c>
      <c r="C156" t="s">
        <v>2281</v>
      </c>
      <c r="E156" t="s">
        <v>124</v>
      </c>
    </row>
    <row r="157" spans="1:5">
      <c r="A157" t="s">
        <v>2290</v>
      </c>
      <c r="B157" t="s">
        <v>763</v>
      </c>
      <c r="C157" t="s">
        <v>2281</v>
      </c>
      <c r="E157" t="s">
        <v>677</v>
      </c>
    </row>
    <row r="158" spans="1:5">
      <c r="A158" t="s">
        <v>762</v>
      </c>
      <c r="B158" t="s">
        <v>762</v>
      </c>
      <c r="C158" t="s">
        <v>2281</v>
      </c>
      <c r="E158" t="s">
        <v>702</v>
      </c>
    </row>
    <row r="159" spans="1:5">
      <c r="A159" t="s">
        <v>761</v>
      </c>
      <c r="B159" t="s">
        <v>761</v>
      </c>
      <c r="C159" t="s">
        <v>2281</v>
      </c>
      <c r="E159" t="s">
        <v>124</v>
      </c>
    </row>
    <row r="160" spans="1:5">
      <c r="A160" t="s">
        <v>571</v>
      </c>
      <c r="B160" t="s">
        <v>571</v>
      </c>
      <c r="C160" t="s">
        <v>2281</v>
      </c>
      <c r="E160" t="s">
        <v>124</v>
      </c>
    </row>
    <row r="161" spans="1:5">
      <c r="A161" t="s">
        <v>760</v>
      </c>
      <c r="B161" t="s">
        <v>760</v>
      </c>
      <c r="C161" t="s">
        <v>2281</v>
      </c>
      <c r="E161" t="s">
        <v>124</v>
      </c>
    </row>
    <row r="162" spans="1:5">
      <c r="A162" t="s">
        <v>2291</v>
      </c>
      <c r="B162" t="s">
        <v>770</v>
      </c>
      <c r="C162" t="s">
        <v>2281</v>
      </c>
      <c r="E162" t="s">
        <v>124</v>
      </c>
    </row>
    <row r="163" spans="1:5">
      <c r="A163" t="s">
        <v>782</v>
      </c>
      <c r="B163" t="s">
        <v>782</v>
      </c>
      <c r="C163" t="s">
        <v>2281</v>
      </c>
      <c r="E163" t="s">
        <v>124</v>
      </c>
    </row>
    <row r="164" spans="1:5">
      <c r="A164" t="s">
        <v>771</v>
      </c>
      <c r="B164" t="s">
        <v>771</v>
      </c>
      <c r="C164" t="s">
        <v>2281</v>
      </c>
      <c r="E164" t="s">
        <v>124</v>
      </c>
    </row>
    <row r="165" spans="1:5">
      <c r="A165" t="s">
        <v>2292</v>
      </c>
      <c r="B165" t="s">
        <v>2292</v>
      </c>
      <c r="C165" t="s">
        <v>2281</v>
      </c>
      <c r="E165" t="s">
        <v>124</v>
      </c>
    </row>
    <row r="166" spans="1:5">
      <c r="A166" t="s">
        <v>141</v>
      </c>
      <c r="C166" t="s">
        <v>141</v>
      </c>
    </row>
    <row r="167" spans="1:5">
      <c r="A167" t="s">
        <v>2304</v>
      </c>
      <c r="C167" t="s">
        <v>2304</v>
      </c>
    </row>
    <row r="168" spans="1:5">
      <c r="A168" t="s">
        <v>2305</v>
      </c>
      <c r="B168" t="s">
        <v>2305</v>
      </c>
      <c r="C168" t="s">
        <v>2304</v>
      </c>
      <c r="E168" t="s">
        <v>2306</v>
      </c>
    </row>
    <row r="169" spans="1:5">
      <c r="A169" t="s">
        <v>2307</v>
      </c>
      <c r="B169" t="s">
        <v>2307</v>
      </c>
      <c r="C169" t="s">
        <v>2304</v>
      </c>
      <c r="E169" t="s">
        <v>124</v>
      </c>
    </row>
    <row r="170" s="83" customFormat="1" spans="1:5">
      <c r="A170" s="83" t="s">
        <v>2308</v>
      </c>
      <c r="B170" s="83" t="s">
        <v>2308</v>
      </c>
      <c r="C170" s="83" t="s">
        <v>2304</v>
      </c>
      <c r="E170" s="83" t="s">
        <v>1783</v>
      </c>
    </row>
    <row r="171" spans="1:5">
      <c r="A171" t="s">
        <v>2309</v>
      </c>
      <c r="B171" t="s">
        <v>2309</v>
      </c>
      <c r="C171" t="s">
        <v>2304</v>
      </c>
      <c r="E171" t="s">
        <v>1124</v>
      </c>
    </row>
    <row r="172" spans="1:5">
      <c r="A172" t="s">
        <v>2310</v>
      </c>
      <c r="B172" t="s">
        <v>2310</v>
      </c>
      <c r="C172" t="s">
        <v>2304</v>
      </c>
      <c r="E172" t="s">
        <v>124</v>
      </c>
    </row>
    <row r="173" spans="1:5">
      <c r="A173" t="s">
        <v>2311</v>
      </c>
      <c r="B173" t="s">
        <v>2311</v>
      </c>
      <c r="C173" t="s">
        <v>2304</v>
      </c>
      <c r="E173" t="s">
        <v>1783</v>
      </c>
    </row>
    <row r="174" spans="1:5">
      <c r="A174" t="s">
        <v>2312</v>
      </c>
      <c r="B174" t="s">
        <v>2312</v>
      </c>
      <c r="C174" t="s">
        <v>2304</v>
      </c>
      <c r="E174" t="s">
        <v>1783</v>
      </c>
    </row>
    <row r="175" spans="1:5">
      <c r="A175" t="s">
        <v>2313</v>
      </c>
      <c r="B175" t="s">
        <v>2313</v>
      </c>
      <c r="C175" t="s">
        <v>2304</v>
      </c>
      <c r="E175" t="s">
        <v>1124</v>
      </c>
    </row>
    <row r="176" s="83" customFormat="1" spans="1:5">
      <c r="A176" s="83" t="s">
        <v>2314</v>
      </c>
      <c r="B176" s="83" t="s">
        <v>2314</v>
      </c>
      <c r="C176" s="83" t="s">
        <v>2304</v>
      </c>
      <c r="E176" s="83" t="s">
        <v>1124</v>
      </c>
    </row>
    <row r="177" spans="1:5">
      <c r="A177" t="s">
        <v>2315</v>
      </c>
      <c r="B177" t="s">
        <v>2315</v>
      </c>
      <c r="C177" t="s">
        <v>2304</v>
      </c>
      <c r="E177" t="s">
        <v>1783</v>
      </c>
    </row>
    <row r="178" spans="1:5">
      <c r="A178" t="s">
        <v>2316</v>
      </c>
      <c r="B178" t="s">
        <v>2316</v>
      </c>
      <c r="C178" t="s">
        <v>2304</v>
      </c>
      <c r="E178" t="s">
        <v>1783</v>
      </c>
    </row>
    <row r="179" spans="1:5">
      <c r="A179" t="s">
        <v>2317</v>
      </c>
      <c r="B179" t="s">
        <v>2317</v>
      </c>
      <c r="C179" t="s">
        <v>2304</v>
      </c>
      <c r="E179" t="s">
        <v>124</v>
      </c>
    </row>
    <row r="180" spans="1:5">
      <c r="A180" t="s">
        <v>2318</v>
      </c>
      <c r="B180" t="s">
        <v>2318</v>
      </c>
      <c r="C180" t="s">
        <v>2304</v>
      </c>
      <c r="E180" t="s">
        <v>1783</v>
      </c>
    </row>
    <row r="181" spans="1:5">
      <c r="A181" t="s">
        <v>2319</v>
      </c>
      <c r="B181" t="s">
        <v>2319</v>
      </c>
      <c r="C181" t="s">
        <v>2304</v>
      </c>
      <c r="E181" t="s">
        <v>124</v>
      </c>
    </row>
    <row r="182" spans="1:5">
      <c r="A182" t="s">
        <v>2320</v>
      </c>
      <c r="B182" t="s">
        <v>2320</v>
      </c>
      <c r="C182" t="s">
        <v>2304</v>
      </c>
      <c r="E182" t="s">
        <v>124</v>
      </c>
    </row>
    <row r="183" s="83" customFormat="1" spans="1:5">
      <c r="A183" s="83" t="s">
        <v>2321</v>
      </c>
      <c r="B183" s="83" t="s">
        <v>2321</v>
      </c>
      <c r="C183" s="83" t="s">
        <v>2304</v>
      </c>
      <c r="E183" s="83" t="s">
        <v>1124</v>
      </c>
    </row>
    <row r="184" spans="1:5">
      <c r="A184" t="s">
        <v>2322</v>
      </c>
      <c r="B184" t="s">
        <v>2322</v>
      </c>
      <c r="C184" t="s">
        <v>2304</v>
      </c>
      <c r="E184" t="s">
        <v>1124</v>
      </c>
    </row>
    <row r="185" spans="1:5">
      <c r="A185" t="s">
        <v>2323</v>
      </c>
      <c r="B185" t="s">
        <v>2323</v>
      </c>
      <c r="C185" t="s">
        <v>2304</v>
      </c>
      <c r="E185" t="s">
        <v>1124</v>
      </c>
    </row>
    <row r="186" spans="1:5">
      <c r="A186" t="s">
        <v>2324</v>
      </c>
      <c r="B186" t="s">
        <v>2324</v>
      </c>
      <c r="C186" t="s">
        <v>2304</v>
      </c>
      <c r="E186" t="s">
        <v>1124</v>
      </c>
    </row>
    <row r="187" spans="1:5">
      <c r="A187" t="s">
        <v>2325</v>
      </c>
      <c r="B187" t="s">
        <v>2325</v>
      </c>
      <c r="C187" t="s">
        <v>2304</v>
      </c>
      <c r="E187" t="s">
        <v>1124</v>
      </c>
    </row>
    <row r="188" spans="1:5">
      <c r="A188" t="s">
        <v>2326</v>
      </c>
      <c r="B188" t="s">
        <v>2326</v>
      </c>
      <c r="C188" t="s">
        <v>2304</v>
      </c>
      <c r="E188" t="s">
        <v>1124</v>
      </c>
    </row>
    <row r="189" spans="1:5">
      <c r="A189" t="s">
        <v>2327</v>
      </c>
      <c r="B189" t="s">
        <v>2327</v>
      </c>
      <c r="C189" t="s">
        <v>2304</v>
      </c>
      <c r="E189" t="s">
        <v>1124</v>
      </c>
    </row>
    <row r="190" spans="1:5">
      <c r="A190" t="s">
        <v>2328</v>
      </c>
      <c r="B190" t="s">
        <v>2328</v>
      </c>
      <c r="C190" t="s">
        <v>2304</v>
      </c>
      <c r="E190" t="s">
        <v>1124</v>
      </c>
    </row>
    <row r="191" spans="1:5">
      <c r="A191" t="s">
        <v>2329</v>
      </c>
      <c r="B191" t="s">
        <v>2329</v>
      </c>
      <c r="C191" t="s">
        <v>2304</v>
      </c>
      <c r="E191" t="s">
        <v>1124</v>
      </c>
    </row>
    <row r="192" spans="1:5">
      <c r="A192" t="s">
        <v>2330</v>
      </c>
      <c r="B192" t="s">
        <v>2330</v>
      </c>
      <c r="C192" t="s">
        <v>2304</v>
      </c>
      <c r="E192" t="s">
        <v>1124</v>
      </c>
    </row>
    <row r="193" spans="1:5">
      <c r="A193" t="s">
        <v>2331</v>
      </c>
      <c r="B193" t="s">
        <v>2331</v>
      </c>
      <c r="C193" t="s">
        <v>2304</v>
      </c>
      <c r="E193" t="s">
        <v>1124</v>
      </c>
    </row>
    <row r="194" spans="1:5">
      <c r="A194" t="s">
        <v>2332</v>
      </c>
      <c r="B194" t="s">
        <v>2332</v>
      </c>
      <c r="C194" t="s">
        <v>2304</v>
      </c>
      <c r="E194" t="s">
        <v>1124</v>
      </c>
    </row>
    <row r="195" spans="1:5">
      <c r="A195" t="s">
        <v>2333</v>
      </c>
      <c r="B195" t="s">
        <v>2333</v>
      </c>
      <c r="C195" t="s">
        <v>2304</v>
      </c>
      <c r="E195" t="s">
        <v>1124</v>
      </c>
    </row>
    <row r="196" spans="1:5">
      <c r="A196" t="s">
        <v>2334</v>
      </c>
      <c r="B196" t="s">
        <v>2334</v>
      </c>
      <c r="C196" t="s">
        <v>2304</v>
      </c>
      <c r="E196" t="s">
        <v>1124</v>
      </c>
    </row>
    <row r="197" s="83" customFormat="1" spans="1:5">
      <c r="A197" s="83" t="s">
        <v>2335</v>
      </c>
      <c r="B197" s="83" t="s">
        <v>2335</v>
      </c>
      <c r="C197" s="83" t="s">
        <v>2304</v>
      </c>
      <c r="E197" s="83" t="s">
        <v>1124</v>
      </c>
    </row>
    <row r="198" s="83" customFormat="1" spans="1:5">
      <c r="A198" s="83" t="s">
        <v>2336</v>
      </c>
      <c r="B198" s="83" t="s">
        <v>2336</v>
      </c>
      <c r="C198" s="83" t="s">
        <v>2304</v>
      </c>
      <c r="E198" s="83" t="s">
        <v>1124</v>
      </c>
    </row>
    <row r="199" s="83" customFormat="1" spans="1:5">
      <c r="A199" s="83" t="s">
        <v>2337</v>
      </c>
      <c r="B199" s="83" t="s">
        <v>2337</v>
      </c>
      <c r="C199" s="83" t="s">
        <v>2304</v>
      </c>
      <c r="E199" s="83" t="s">
        <v>1124</v>
      </c>
    </row>
    <row r="200" spans="1:5">
      <c r="A200" t="s">
        <v>2338</v>
      </c>
      <c r="B200" t="s">
        <v>2338</v>
      </c>
      <c r="C200" t="s">
        <v>2304</v>
      </c>
      <c r="E200" t="s">
        <v>1124</v>
      </c>
    </row>
    <row r="201" spans="1:5">
      <c r="A201" t="s">
        <v>2339</v>
      </c>
      <c r="B201" t="s">
        <v>2339</v>
      </c>
      <c r="C201" t="s">
        <v>2304</v>
      </c>
      <c r="E201" t="s">
        <v>1124</v>
      </c>
    </row>
    <row r="202" spans="1:5">
      <c r="A202" t="s">
        <v>2340</v>
      </c>
      <c r="B202" t="s">
        <v>2340</v>
      </c>
      <c r="C202" t="s">
        <v>2304</v>
      </c>
      <c r="E202" t="s">
        <v>1124</v>
      </c>
    </row>
    <row r="203" spans="1:5">
      <c r="A203" t="s">
        <v>2341</v>
      </c>
      <c r="B203" t="s">
        <v>2341</v>
      </c>
      <c r="C203" t="s">
        <v>2304</v>
      </c>
      <c r="E203" t="s">
        <v>1124</v>
      </c>
    </row>
    <row r="204" spans="1:5">
      <c r="A204" t="s">
        <v>2342</v>
      </c>
      <c r="B204" t="s">
        <v>2342</v>
      </c>
      <c r="C204" t="s">
        <v>2304</v>
      </c>
      <c r="E204" t="s">
        <v>1783</v>
      </c>
    </row>
    <row r="205" spans="1:5">
      <c r="A205" t="s">
        <v>2343</v>
      </c>
      <c r="B205" t="s">
        <v>2343</v>
      </c>
      <c r="C205" t="s">
        <v>2304</v>
      </c>
      <c r="E205" t="s">
        <v>124</v>
      </c>
    </row>
    <row r="206" s="83" customFormat="1" spans="1:5">
      <c r="A206" s="83" t="s">
        <v>2344</v>
      </c>
      <c r="B206" s="83" t="s">
        <v>2344</v>
      </c>
      <c r="C206" s="83" t="s">
        <v>2304</v>
      </c>
      <c r="E206" s="83" t="s">
        <v>1124</v>
      </c>
    </row>
    <row r="207" s="83" customFormat="1" spans="1:5">
      <c r="A207" s="83" t="s">
        <v>2345</v>
      </c>
      <c r="B207" s="83" t="s">
        <v>2345</v>
      </c>
      <c r="C207" s="83" t="s">
        <v>2304</v>
      </c>
      <c r="E207" s="83" t="s">
        <v>1124</v>
      </c>
    </row>
    <row r="208" s="83" customFormat="1" spans="1:5">
      <c r="A208" s="83" t="s">
        <v>2346</v>
      </c>
      <c r="B208" s="83" t="s">
        <v>2346</v>
      </c>
      <c r="C208" s="83" t="s">
        <v>2304</v>
      </c>
      <c r="E208" s="83" t="s">
        <v>1124</v>
      </c>
    </row>
    <row r="209" spans="1:5">
      <c r="A209" t="s">
        <v>2347</v>
      </c>
      <c r="B209" t="s">
        <v>2347</v>
      </c>
      <c r="C209" t="s">
        <v>2304</v>
      </c>
      <c r="E209" t="s">
        <v>1783</v>
      </c>
    </row>
    <row r="210" spans="1:5">
      <c r="A210" t="s">
        <v>2348</v>
      </c>
      <c r="B210" t="s">
        <v>2348</v>
      </c>
      <c r="C210" t="s">
        <v>2304</v>
      </c>
      <c r="E210" t="s">
        <v>124</v>
      </c>
    </row>
    <row r="211" spans="1:5">
      <c r="A211" t="s">
        <v>2349</v>
      </c>
      <c r="B211" t="s">
        <v>2349</v>
      </c>
      <c r="C211" t="s">
        <v>2304</v>
      </c>
      <c r="E211" t="s">
        <v>1124</v>
      </c>
    </row>
    <row r="212" spans="1:5">
      <c r="A212" t="s">
        <v>2350</v>
      </c>
      <c r="B212" t="s">
        <v>2350</v>
      </c>
      <c r="C212" t="s">
        <v>2304</v>
      </c>
      <c r="E212" t="s">
        <v>1783</v>
      </c>
    </row>
    <row r="213" spans="1:5">
      <c r="A213" t="s">
        <v>2351</v>
      </c>
      <c r="B213" t="s">
        <v>2351</v>
      </c>
      <c r="C213" t="s">
        <v>2304</v>
      </c>
      <c r="E213" t="s">
        <v>1783</v>
      </c>
    </row>
    <row r="214" spans="1:5">
      <c r="A214" t="s">
        <v>2352</v>
      </c>
      <c r="B214" t="s">
        <v>2352</v>
      </c>
      <c r="C214" t="s">
        <v>2304</v>
      </c>
      <c r="E214" t="s">
        <v>1783</v>
      </c>
    </row>
    <row r="215" s="83" customFormat="1" spans="1:5">
      <c r="A215" s="83" t="s">
        <v>2353</v>
      </c>
      <c r="B215" s="83" t="s">
        <v>2353</v>
      </c>
      <c r="C215" s="83" t="s">
        <v>2304</v>
      </c>
      <c r="E215" s="83" t="s">
        <v>1124</v>
      </c>
    </row>
    <row r="216" s="83" customFormat="1" spans="1:5">
      <c r="A216" s="83" t="s">
        <v>2354</v>
      </c>
      <c r="B216" s="83" t="s">
        <v>2354</v>
      </c>
      <c r="C216" s="83" t="s">
        <v>2304</v>
      </c>
      <c r="E216" s="83" t="s">
        <v>1124</v>
      </c>
    </row>
    <row r="217" s="83" customFormat="1" spans="1:5">
      <c r="A217" s="83" t="s">
        <v>2355</v>
      </c>
      <c r="B217" s="83" t="s">
        <v>2355</v>
      </c>
      <c r="C217" s="83" t="s">
        <v>2304</v>
      </c>
      <c r="E217" s="83" t="s">
        <v>1124</v>
      </c>
    </row>
    <row r="218" s="83" customFormat="1" spans="1:5">
      <c r="A218" s="83" t="s">
        <v>2356</v>
      </c>
      <c r="B218" s="83" t="s">
        <v>2356</v>
      </c>
      <c r="C218" s="83" t="s">
        <v>2304</v>
      </c>
      <c r="E218" s="83" t="s">
        <v>1124</v>
      </c>
    </row>
    <row r="219" s="83" customFormat="1" spans="1:5">
      <c r="A219" s="83" t="s">
        <v>2357</v>
      </c>
      <c r="B219" s="83" t="s">
        <v>2357</v>
      </c>
      <c r="C219" s="83" t="s">
        <v>2304</v>
      </c>
      <c r="E219" s="83" t="s">
        <v>1124</v>
      </c>
    </row>
    <row r="220" s="83" customFormat="1" spans="1:5">
      <c r="A220" s="83" t="s">
        <v>2358</v>
      </c>
      <c r="B220" s="83" t="s">
        <v>2358</v>
      </c>
      <c r="C220" s="83" t="s">
        <v>2304</v>
      </c>
      <c r="E220" s="83" t="s">
        <v>1124</v>
      </c>
    </row>
    <row r="221" s="83" customFormat="1" spans="1:5">
      <c r="A221" s="83" t="s">
        <v>2359</v>
      </c>
      <c r="B221" s="83" t="s">
        <v>2359</v>
      </c>
      <c r="C221" s="83" t="s">
        <v>2304</v>
      </c>
      <c r="E221" s="83" t="s">
        <v>1124</v>
      </c>
    </row>
    <row r="222" spans="1:5">
      <c r="A222" t="s">
        <v>2360</v>
      </c>
      <c r="B222" t="s">
        <v>2360</v>
      </c>
      <c r="C222" t="s">
        <v>2304</v>
      </c>
      <c r="E222" t="s">
        <v>1783</v>
      </c>
    </row>
    <row r="223" s="83" customFormat="1" spans="1:5">
      <c r="A223" s="83" t="s">
        <v>2361</v>
      </c>
      <c r="B223" s="83" t="s">
        <v>2361</v>
      </c>
      <c r="C223" s="83" t="s">
        <v>2304</v>
      </c>
      <c r="E223" s="83" t="s">
        <v>1124</v>
      </c>
    </row>
    <row r="224" spans="1:5">
      <c r="A224" t="s">
        <v>2362</v>
      </c>
      <c r="B224" t="s">
        <v>2362</v>
      </c>
      <c r="C224" t="s">
        <v>2304</v>
      </c>
      <c r="E224" t="s">
        <v>1783</v>
      </c>
    </row>
    <row r="225" spans="1:5">
      <c r="A225" t="s">
        <v>2363</v>
      </c>
      <c r="B225" t="s">
        <v>2363</v>
      </c>
      <c r="C225" t="s">
        <v>2304</v>
      </c>
      <c r="E225" t="s">
        <v>124</v>
      </c>
    </row>
    <row r="226" spans="1:5">
      <c r="A226" t="s">
        <v>2364</v>
      </c>
      <c r="B226" t="s">
        <v>2364</v>
      </c>
      <c r="C226" t="s">
        <v>2304</v>
      </c>
      <c r="E226" t="s">
        <v>1783</v>
      </c>
    </row>
    <row r="227" spans="1:5">
      <c r="A227" t="s">
        <v>2365</v>
      </c>
      <c r="B227" t="s">
        <v>2365</v>
      </c>
      <c r="C227" t="s">
        <v>2304</v>
      </c>
      <c r="E227" t="s">
        <v>1783</v>
      </c>
    </row>
    <row r="228" spans="1:5">
      <c r="A228" t="s">
        <v>2366</v>
      </c>
      <c r="B228" t="s">
        <v>2367</v>
      </c>
      <c r="C228" t="s">
        <v>2304</v>
      </c>
      <c r="E228" t="s">
        <v>124</v>
      </c>
    </row>
    <row r="229" s="83" customFormat="1" spans="1:5">
      <c r="A229" s="83" t="s">
        <v>2368</v>
      </c>
      <c r="B229" s="83" t="s">
        <v>2368</v>
      </c>
      <c r="C229" s="83" t="s">
        <v>2304</v>
      </c>
      <c r="E229" s="83" t="s">
        <v>124</v>
      </c>
    </row>
    <row r="230" spans="1:5">
      <c r="A230" t="s">
        <v>2369</v>
      </c>
      <c r="B230" t="s">
        <v>2369</v>
      </c>
      <c r="C230" t="s">
        <v>2304</v>
      </c>
      <c r="E230" t="s">
        <v>2370</v>
      </c>
    </row>
    <row r="231" spans="1:5">
      <c r="A231" t="s">
        <v>2371</v>
      </c>
      <c r="B231" t="s">
        <v>2371</v>
      </c>
      <c r="C231" t="s">
        <v>2304</v>
      </c>
      <c r="E231" t="s">
        <v>124</v>
      </c>
    </row>
    <row r="232" spans="1:5">
      <c r="A232" t="s">
        <v>2372</v>
      </c>
      <c r="B232" t="s">
        <v>2372</v>
      </c>
      <c r="C232" t="s">
        <v>2304</v>
      </c>
      <c r="E232" t="s">
        <v>124</v>
      </c>
    </row>
    <row r="233" spans="1:5">
      <c r="A233" t="s">
        <v>2373</v>
      </c>
      <c r="B233" t="s">
        <v>2374</v>
      </c>
      <c r="C233" t="s">
        <v>2304</v>
      </c>
      <c r="E233" t="s">
        <v>124</v>
      </c>
    </row>
    <row r="234" spans="1:5">
      <c r="A234" t="s">
        <v>2375</v>
      </c>
      <c r="B234" t="s">
        <v>2376</v>
      </c>
      <c r="C234" t="s">
        <v>2304</v>
      </c>
      <c r="E234" t="s">
        <v>124</v>
      </c>
    </row>
    <row r="235" spans="1:5">
      <c r="A235" t="s">
        <v>914</v>
      </c>
      <c r="B235" t="s">
        <v>914</v>
      </c>
      <c r="C235" t="s">
        <v>2304</v>
      </c>
      <c r="E235" t="s">
        <v>124</v>
      </c>
    </row>
    <row r="236" spans="1:5">
      <c r="A236" t="s">
        <v>2377</v>
      </c>
      <c r="B236" t="s">
        <v>2377</v>
      </c>
      <c r="C236" t="s">
        <v>2304</v>
      </c>
      <c r="E236" t="s">
        <v>124</v>
      </c>
    </row>
    <row r="237" spans="1:5">
      <c r="A237" t="s">
        <v>929</v>
      </c>
      <c r="B237" t="s">
        <v>929</v>
      </c>
      <c r="C237" t="s">
        <v>2304</v>
      </c>
      <c r="E237" t="s">
        <v>124</v>
      </c>
    </row>
    <row r="238" spans="1:5">
      <c r="A238" t="s">
        <v>2378</v>
      </c>
      <c r="B238" t="s">
        <v>2378</v>
      </c>
      <c r="C238" t="s">
        <v>2304</v>
      </c>
      <c r="E238" t="s">
        <v>287</v>
      </c>
    </row>
    <row r="239" spans="1:5">
      <c r="A239" t="s">
        <v>2379</v>
      </c>
      <c r="B239" t="s">
        <v>2379</v>
      </c>
      <c r="C239" t="s">
        <v>2304</v>
      </c>
      <c r="E239" t="s">
        <v>287</v>
      </c>
    </row>
    <row r="240" spans="1:5">
      <c r="A240" t="s">
        <v>2380</v>
      </c>
      <c r="B240" t="s">
        <v>2380</v>
      </c>
      <c r="C240" t="s">
        <v>2304</v>
      </c>
      <c r="E240" t="s">
        <v>287</v>
      </c>
    </row>
    <row r="241" spans="1:5">
      <c r="A241" t="s">
        <v>2381</v>
      </c>
      <c r="B241" t="s">
        <v>2381</v>
      </c>
      <c r="C241" t="s">
        <v>2304</v>
      </c>
      <c r="E241" t="s">
        <v>1783</v>
      </c>
    </row>
    <row r="242" spans="1:5">
      <c r="A242" t="s">
        <v>2382</v>
      </c>
      <c r="B242" t="s">
        <v>2382</v>
      </c>
      <c r="C242" t="s">
        <v>2304</v>
      </c>
      <c r="E242" t="s">
        <v>1783</v>
      </c>
    </row>
    <row r="243" spans="1:5">
      <c r="A243" t="s">
        <v>2383</v>
      </c>
      <c r="B243" t="s">
        <v>2384</v>
      </c>
      <c r="C243" t="s">
        <v>2304</v>
      </c>
      <c r="E243" t="s">
        <v>1124</v>
      </c>
    </row>
    <row r="244" spans="1:5">
      <c r="A244" t="s">
        <v>2385</v>
      </c>
      <c r="B244" t="s">
        <v>2385</v>
      </c>
      <c r="C244" t="s">
        <v>2304</v>
      </c>
      <c r="E244" t="s">
        <v>1124</v>
      </c>
    </row>
    <row r="245" spans="1:5">
      <c r="A245" t="s">
        <v>2386</v>
      </c>
      <c r="B245" t="s">
        <v>2386</v>
      </c>
      <c r="C245" t="s">
        <v>2304</v>
      </c>
      <c r="E245" t="s">
        <v>1124</v>
      </c>
    </row>
    <row r="246" spans="1:5">
      <c r="A246" t="s">
        <v>2387</v>
      </c>
      <c r="B246" t="s">
        <v>2387</v>
      </c>
      <c r="C246" t="s">
        <v>2304</v>
      </c>
      <c r="E246" t="s">
        <v>124</v>
      </c>
    </row>
    <row r="247" s="83" customFormat="1" spans="1:5">
      <c r="A247" s="83" t="s">
        <v>2388</v>
      </c>
      <c r="B247" s="83" t="s">
        <v>2388</v>
      </c>
      <c r="C247" s="83" t="s">
        <v>2304</v>
      </c>
      <c r="E247" s="83" t="s">
        <v>1124</v>
      </c>
    </row>
    <row r="248" s="83" customFormat="1" spans="1:5">
      <c r="A248" s="83" t="s">
        <v>2389</v>
      </c>
      <c r="B248" s="83" t="s">
        <v>2389</v>
      </c>
      <c r="C248" s="83" t="s">
        <v>2304</v>
      </c>
      <c r="E248" s="83" t="s">
        <v>1124</v>
      </c>
    </row>
    <row r="249" s="83" customFormat="1" spans="1:5">
      <c r="A249" s="83" t="s">
        <v>2390</v>
      </c>
      <c r="B249" s="83" t="s">
        <v>2391</v>
      </c>
      <c r="C249" s="83" t="s">
        <v>2304</v>
      </c>
      <c r="E249" s="83" t="s">
        <v>1124</v>
      </c>
    </row>
    <row r="250" s="83" customFormat="1" spans="1:5">
      <c r="A250" s="83" t="s">
        <v>2392</v>
      </c>
      <c r="B250" s="83" t="s">
        <v>2392</v>
      </c>
      <c r="C250" s="83" t="s">
        <v>2304</v>
      </c>
      <c r="E250" s="83" t="s">
        <v>1124</v>
      </c>
    </row>
    <row r="251" s="83" customFormat="1" spans="1:5">
      <c r="A251" s="83" t="s">
        <v>2393</v>
      </c>
      <c r="B251" s="83" t="s">
        <v>2393</v>
      </c>
      <c r="C251" s="83" t="s">
        <v>2304</v>
      </c>
      <c r="E251" s="83" t="s">
        <v>1124</v>
      </c>
    </row>
    <row r="252" s="83" customFormat="1" spans="1:5">
      <c r="A252" s="83" t="s">
        <v>2394</v>
      </c>
      <c r="B252" s="83" t="s">
        <v>2394</v>
      </c>
      <c r="C252" s="83" t="s">
        <v>2304</v>
      </c>
      <c r="E252" s="83" t="s">
        <v>1124</v>
      </c>
    </row>
    <row r="253" s="83" customFormat="1" spans="1:5">
      <c r="A253" s="83" t="s">
        <v>2395</v>
      </c>
      <c r="B253" s="83" t="s">
        <v>2395</v>
      </c>
      <c r="C253" s="83" t="s">
        <v>2304</v>
      </c>
      <c r="E253" s="83" t="s">
        <v>1124</v>
      </c>
    </row>
    <row r="254" spans="1:5">
      <c r="A254" t="s">
        <v>2396</v>
      </c>
      <c r="B254" t="s">
        <v>2396</v>
      </c>
      <c r="C254" t="s">
        <v>2304</v>
      </c>
      <c r="E254" t="s">
        <v>1124</v>
      </c>
    </row>
    <row r="255" spans="1:5">
      <c r="A255" t="s">
        <v>2397</v>
      </c>
      <c r="B255" t="s">
        <v>2397</v>
      </c>
      <c r="C255" t="s">
        <v>2304</v>
      </c>
      <c r="E255" t="s">
        <v>1124</v>
      </c>
    </row>
    <row r="256" spans="1:5">
      <c r="A256" t="s">
        <v>2398</v>
      </c>
      <c r="B256" t="s">
        <v>2398</v>
      </c>
      <c r="C256" t="s">
        <v>2304</v>
      </c>
      <c r="E256" t="s">
        <v>1124</v>
      </c>
    </row>
    <row r="257" spans="1:5">
      <c r="A257" t="s">
        <v>2399</v>
      </c>
      <c r="B257" t="s">
        <v>2399</v>
      </c>
      <c r="C257" t="s">
        <v>2304</v>
      </c>
      <c r="E257" t="s">
        <v>1124</v>
      </c>
    </row>
    <row r="258" spans="1:5">
      <c r="A258" t="s">
        <v>2400</v>
      </c>
      <c r="B258" t="s">
        <v>2401</v>
      </c>
      <c r="C258" t="s">
        <v>2304</v>
      </c>
      <c r="E258" t="s">
        <v>1124</v>
      </c>
    </row>
    <row r="259" spans="1:5">
      <c r="A259" t="s">
        <v>2402</v>
      </c>
      <c r="B259" t="s">
        <v>2402</v>
      </c>
      <c r="C259" t="s">
        <v>2304</v>
      </c>
      <c r="E259" t="s">
        <v>1124</v>
      </c>
    </row>
    <row r="260" spans="1:5">
      <c r="A260" t="s">
        <v>2403</v>
      </c>
      <c r="B260" t="s">
        <v>2403</v>
      </c>
      <c r="C260" t="s">
        <v>2304</v>
      </c>
      <c r="E260" t="s">
        <v>1124</v>
      </c>
    </row>
    <row r="261" s="83" customFormat="1" spans="1:5">
      <c r="A261" s="83" t="s">
        <v>2404</v>
      </c>
      <c r="B261" s="83" t="s">
        <v>2404</v>
      </c>
      <c r="C261" s="83" t="s">
        <v>2304</v>
      </c>
      <c r="E261" s="83" t="s">
        <v>1124</v>
      </c>
    </row>
    <row r="262" spans="1:5">
      <c r="A262" t="s">
        <v>2405</v>
      </c>
      <c r="B262" t="s">
        <v>2405</v>
      </c>
      <c r="C262" t="s">
        <v>2304</v>
      </c>
      <c r="E262" t="s">
        <v>1124</v>
      </c>
    </row>
    <row r="263" s="83" customFormat="1" spans="1:5">
      <c r="A263" s="83" t="s">
        <v>2406</v>
      </c>
      <c r="B263" s="83" t="s">
        <v>2406</v>
      </c>
      <c r="C263" s="83" t="s">
        <v>2304</v>
      </c>
      <c r="E263" s="83" t="s">
        <v>1124</v>
      </c>
    </row>
    <row r="264" spans="1:5">
      <c r="A264" t="s">
        <v>2407</v>
      </c>
      <c r="B264" t="s">
        <v>2407</v>
      </c>
      <c r="C264" t="s">
        <v>2304</v>
      </c>
      <c r="E264" t="s">
        <v>1783</v>
      </c>
    </row>
    <row r="265" s="83" customFormat="1" spans="1:5">
      <c r="A265" s="83" t="s">
        <v>2408</v>
      </c>
      <c r="B265" s="83" t="s">
        <v>2408</v>
      </c>
      <c r="C265" s="83" t="s">
        <v>2304</v>
      </c>
      <c r="E265" s="83" t="s">
        <v>1124</v>
      </c>
    </row>
    <row r="266" s="83" customFormat="1" spans="1:5">
      <c r="A266" s="83" t="s">
        <v>2409</v>
      </c>
      <c r="B266" s="83" t="s">
        <v>2409</v>
      </c>
      <c r="C266" s="83" t="s">
        <v>2304</v>
      </c>
      <c r="E266" s="83" t="s">
        <v>1124</v>
      </c>
    </row>
    <row r="267" spans="1:5">
      <c r="A267" t="s">
        <v>2410</v>
      </c>
      <c r="B267" t="s">
        <v>2411</v>
      </c>
      <c r="C267" t="s">
        <v>2304</v>
      </c>
      <c r="E267" t="s">
        <v>316</v>
      </c>
    </row>
    <row r="268" spans="1:5">
      <c r="A268" t="s">
        <v>2412</v>
      </c>
      <c r="B268" t="s">
        <v>2412</v>
      </c>
      <c r="C268" t="s">
        <v>2304</v>
      </c>
      <c r="E268" t="s">
        <v>287</v>
      </c>
    </row>
    <row r="269" spans="1:5">
      <c r="A269" t="s">
        <v>950</v>
      </c>
      <c r="B269" t="s">
        <v>950</v>
      </c>
      <c r="C269" t="s">
        <v>2304</v>
      </c>
      <c r="E269" t="s">
        <v>124</v>
      </c>
    </row>
    <row r="270" spans="1:5">
      <c r="A270" t="s">
        <v>2413</v>
      </c>
      <c r="B270" t="s">
        <v>2413</v>
      </c>
      <c r="C270" t="s">
        <v>2304</v>
      </c>
      <c r="E270" t="s">
        <v>124</v>
      </c>
    </row>
    <row r="271" spans="1:5">
      <c r="A271" t="s">
        <v>2414</v>
      </c>
      <c r="B271" t="s">
        <v>2414</v>
      </c>
      <c r="C271" t="s">
        <v>2304</v>
      </c>
      <c r="E271" t="s">
        <v>124</v>
      </c>
    </row>
    <row r="272" spans="1:5">
      <c r="A272" t="s">
        <v>2415</v>
      </c>
      <c r="B272" t="s">
        <v>936</v>
      </c>
      <c r="C272" t="s">
        <v>2304</v>
      </c>
      <c r="E272" t="s">
        <v>124</v>
      </c>
    </row>
    <row r="273" s="83" customFormat="1" spans="1:5">
      <c r="A273" s="83" t="s">
        <v>2416</v>
      </c>
      <c r="B273" s="83" t="s">
        <v>2417</v>
      </c>
      <c r="C273" s="83" t="s">
        <v>2304</v>
      </c>
      <c r="E273" s="83" t="s">
        <v>287</v>
      </c>
    </row>
    <row r="274" s="83" customFormat="1" spans="1:5">
      <c r="A274" s="83" t="s">
        <v>2418</v>
      </c>
      <c r="B274" s="83" t="s">
        <v>2418</v>
      </c>
      <c r="C274" s="83" t="s">
        <v>2304</v>
      </c>
      <c r="E274" s="83" t="s">
        <v>287</v>
      </c>
    </row>
    <row r="275" spans="1:5">
      <c r="A275" t="s">
        <v>2419</v>
      </c>
      <c r="B275" t="s">
        <v>2420</v>
      </c>
      <c r="C275" t="s">
        <v>2304</v>
      </c>
      <c r="E275" t="s">
        <v>124</v>
      </c>
    </row>
    <row r="276" spans="1:5">
      <c r="A276" t="s">
        <v>2421</v>
      </c>
      <c r="B276" t="s">
        <v>2422</v>
      </c>
      <c r="C276" t="s">
        <v>2304</v>
      </c>
      <c r="E276" t="s">
        <v>1124</v>
      </c>
    </row>
    <row r="277" spans="1:5">
      <c r="A277" t="s">
        <v>2423</v>
      </c>
      <c r="B277" t="s">
        <v>2424</v>
      </c>
      <c r="C277" t="s">
        <v>2304</v>
      </c>
      <c r="E277" t="s">
        <v>1124</v>
      </c>
    </row>
    <row r="278" spans="1:5">
      <c r="A278" t="s">
        <v>2425</v>
      </c>
      <c r="B278" t="s">
        <v>2426</v>
      </c>
      <c r="C278" t="s">
        <v>2304</v>
      </c>
      <c r="E278" t="s">
        <v>1124</v>
      </c>
    </row>
    <row r="279" spans="1:5">
      <c r="A279" t="s">
        <v>2427</v>
      </c>
      <c r="B279" t="s">
        <v>2428</v>
      </c>
      <c r="C279" t="s">
        <v>2304</v>
      </c>
      <c r="E279" t="s">
        <v>1124</v>
      </c>
    </row>
    <row r="280" spans="1:5">
      <c r="A280" t="s">
        <v>2433</v>
      </c>
      <c r="B280" t="s">
        <v>2434</v>
      </c>
      <c r="C280" t="s">
        <v>2304</v>
      </c>
      <c r="E280" t="s">
        <v>1124</v>
      </c>
    </row>
    <row r="281" spans="1:5">
      <c r="A281" t="s">
        <v>2435</v>
      </c>
      <c r="B281" t="s">
        <v>2436</v>
      </c>
      <c r="C281" t="s">
        <v>2304</v>
      </c>
      <c r="E281" t="s">
        <v>1783</v>
      </c>
    </row>
    <row r="282" spans="1:5">
      <c r="A282" t="s">
        <v>2437</v>
      </c>
      <c r="B282" t="s">
        <v>2438</v>
      </c>
      <c r="C282" t="s">
        <v>2304</v>
      </c>
      <c r="E282" t="s">
        <v>1783</v>
      </c>
    </row>
    <row r="283" spans="1:5">
      <c r="A283" t="s">
        <v>2439</v>
      </c>
      <c r="B283" t="s">
        <v>2440</v>
      </c>
      <c r="C283" t="s">
        <v>2304</v>
      </c>
      <c r="E283" t="s">
        <v>1124</v>
      </c>
    </row>
    <row r="284" spans="1:5">
      <c r="A284" t="s">
        <v>2441</v>
      </c>
      <c r="B284" t="s">
        <v>2442</v>
      </c>
      <c r="C284" t="s">
        <v>2304</v>
      </c>
      <c r="E284" t="s">
        <v>1124</v>
      </c>
    </row>
    <row r="285" s="83" customFormat="1" spans="1:5">
      <c r="A285" s="83" t="s">
        <v>2443</v>
      </c>
      <c r="B285" s="83" t="s">
        <v>2444</v>
      </c>
      <c r="C285" s="83" t="s">
        <v>2304</v>
      </c>
      <c r="E285" s="83" t="s">
        <v>1124</v>
      </c>
    </row>
    <row r="286" spans="1:5">
      <c r="A286" t="s">
        <v>2445</v>
      </c>
      <c r="B286" t="s">
        <v>2446</v>
      </c>
      <c r="C286" t="s">
        <v>2304</v>
      </c>
      <c r="E286" t="s">
        <v>1124</v>
      </c>
    </row>
    <row r="287" s="83" customFormat="1" spans="1:5">
      <c r="A287" s="83" t="s">
        <v>2447</v>
      </c>
      <c r="B287" s="83" t="s">
        <v>2448</v>
      </c>
      <c r="C287" s="83" t="s">
        <v>2304</v>
      </c>
      <c r="E287" s="83" t="s">
        <v>1124</v>
      </c>
    </row>
    <row r="288" spans="1:5">
      <c r="A288" t="s">
        <v>2449</v>
      </c>
      <c r="B288" t="s">
        <v>2450</v>
      </c>
      <c r="C288" t="s">
        <v>2304</v>
      </c>
      <c r="E288" t="s">
        <v>1124</v>
      </c>
    </row>
    <row r="289" s="83" customFormat="1" spans="1:5">
      <c r="A289" s="83" t="s">
        <v>2453</v>
      </c>
      <c r="B289" s="83" t="s">
        <v>2454</v>
      </c>
      <c r="C289" s="83" t="s">
        <v>2304</v>
      </c>
      <c r="E289" s="83" t="s">
        <v>1124</v>
      </c>
    </row>
    <row r="290" s="83" customFormat="1" spans="1:5">
      <c r="A290" s="83" t="s">
        <v>2455</v>
      </c>
      <c r="B290" s="83" t="s">
        <v>2456</v>
      </c>
      <c r="C290" s="83" t="s">
        <v>2304</v>
      </c>
      <c r="E290" s="83" t="s">
        <v>1124</v>
      </c>
    </row>
    <row r="291" spans="1:5">
      <c r="A291" t="s">
        <v>2457</v>
      </c>
      <c r="B291" t="s">
        <v>2458</v>
      </c>
      <c r="C291" t="s">
        <v>2304</v>
      </c>
      <c r="E291" t="s">
        <v>1124</v>
      </c>
    </row>
    <row r="292" s="83" customFormat="1" spans="1:5">
      <c r="A292" s="83" t="s">
        <v>2459</v>
      </c>
      <c r="B292" s="83" t="s">
        <v>2460</v>
      </c>
      <c r="C292" s="83" t="s">
        <v>2304</v>
      </c>
      <c r="E292" s="83" t="s">
        <v>1124</v>
      </c>
    </row>
    <row r="293" s="83" customFormat="1" spans="1:5">
      <c r="A293" s="83" t="s">
        <v>2461</v>
      </c>
      <c r="B293" s="83" t="s">
        <v>2462</v>
      </c>
      <c r="C293" s="83" t="s">
        <v>2304</v>
      </c>
      <c r="E293" s="83" t="s">
        <v>1124</v>
      </c>
    </row>
    <row r="294" s="83" customFormat="1" spans="1:5">
      <c r="A294" s="83" t="s">
        <v>2463</v>
      </c>
      <c r="B294" s="83" t="s">
        <v>2464</v>
      </c>
      <c r="C294" s="83" t="s">
        <v>2304</v>
      </c>
      <c r="E294" s="83" t="s">
        <v>1124</v>
      </c>
    </row>
    <row r="295" spans="1:5">
      <c r="A295" t="s">
        <v>2465</v>
      </c>
      <c r="B295" t="s">
        <v>2466</v>
      </c>
      <c r="C295" t="s">
        <v>2304</v>
      </c>
      <c r="E295" t="s">
        <v>1124</v>
      </c>
    </row>
    <row r="296" spans="1:5">
      <c r="A296" t="s">
        <v>2467</v>
      </c>
      <c r="B296" t="s">
        <v>2468</v>
      </c>
      <c r="C296" t="s">
        <v>2304</v>
      </c>
      <c r="E296" t="s">
        <v>1124</v>
      </c>
    </row>
    <row r="297" spans="1:5">
      <c r="A297" t="s">
        <v>2469</v>
      </c>
      <c r="B297" t="s">
        <v>2470</v>
      </c>
      <c r="C297" t="s">
        <v>2304</v>
      </c>
      <c r="E297" t="s">
        <v>1783</v>
      </c>
    </row>
    <row r="298" spans="1:5">
      <c r="A298" t="s">
        <v>2471</v>
      </c>
      <c r="B298" t="s">
        <v>2471</v>
      </c>
      <c r="C298" t="s">
        <v>2304</v>
      </c>
      <c r="E298" t="s">
        <v>1124</v>
      </c>
    </row>
    <row r="299" spans="1:5">
      <c r="A299" t="s">
        <v>890</v>
      </c>
      <c r="B299" t="s">
        <v>890</v>
      </c>
      <c r="C299" t="s">
        <v>2304</v>
      </c>
      <c r="E299" t="s">
        <v>124</v>
      </c>
    </row>
    <row r="300" spans="1:5">
      <c r="A300" t="s">
        <v>440</v>
      </c>
      <c r="B300" t="s">
        <v>440</v>
      </c>
      <c r="C300" t="s">
        <v>2304</v>
      </c>
      <c r="E300" t="s">
        <v>124</v>
      </c>
    </row>
    <row r="301" spans="1:5">
      <c r="A301" t="s">
        <v>947</v>
      </c>
      <c r="B301" t="s">
        <v>947</v>
      </c>
      <c r="C301" t="s">
        <v>2304</v>
      </c>
      <c r="E301" t="s">
        <v>124</v>
      </c>
    </row>
    <row r="302" spans="1:5">
      <c r="A302" t="s">
        <v>903</v>
      </c>
      <c r="B302" t="s">
        <v>903</v>
      </c>
      <c r="C302" t="s">
        <v>2304</v>
      </c>
      <c r="E302" t="s">
        <v>124</v>
      </c>
    </row>
    <row r="303" spans="1:5">
      <c r="A303" t="s">
        <v>2472</v>
      </c>
      <c r="B303" t="s">
        <v>2472</v>
      </c>
      <c r="C303" t="s">
        <v>2304</v>
      </c>
      <c r="E303" t="s">
        <v>287</v>
      </c>
    </row>
    <row r="304" spans="1:5">
      <c r="A304" t="s">
        <v>2473</v>
      </c>
      <c r="B304" t="s">
        <v>2473</v>
      </c>
      <c r="C304" t="s">
        <v>2304</v>
      </c>
      <c r="E304" t="s">
        <v>287</v>
      </c>
    </row>
    <row r="305" spans="1:5">
      <c r="A305" t="s">
        <v>2474</v>
      </c>
      <c r="B305" t="s">
        <v>896</v>
      </c>
      <c r="C305" t="s">
        <v>2304</v>
      </c>
      <c r="E305" t="s">
        <v>124</v>
      </c>
    </row>
    <row r="306" spans="1:5">
      <c r="A306" t="s">
        <v>2475</v>
      </c>
      <c r="B306" t="s">
        <v>2475</v>
      </c>
      <c r="C306" t="s">
        <v>2304</v>
      </c>
      <c r="E306" t="s">
        <v>1124</v>
      </c>
    </row>
    <row r="307" spans="1:5">
      <c r="A307" t="s">
        <v>2476</v>
      </c>
      <c r="B307" t="s">
        <v>2476</v>
      </c>
      <c r="C307" t="s">
        <v>2304</v>
      </c>
      <c r="E307" t="s">
        <v>1783</v>
      </c>
    </row>
    <row r="308" spans="1:5">
      <c r="A308" t="s">
        <v>952</v>
      </c>
      <c r="B308" t="s">
        <v>952</v>
      </c>
      <c r="C308" t="s">
        <v>2304</v>
      </c>
      <c r="E308" t="s">
        <v>124</v>
      </c>
    </row>
    <row r="309" spans="1:5">
      <c r="A309" t="s">
        <v>2477</v>
      </c>
      <c r="B309" t="s">
        <v>963</v>
      </c>
      <c r="C309" t="s">
        <v>2304</v>
      </c>
      <c r="E309" t="s">
        <v>124</v>
      </c>
    </row>
    <row r="310" spans="1:5">
      <c r="A310" t="s">
        <v>946</v>
      </c>
      <c r="B310" t="s">
        <v>946</v>
      </c>
      <c r="C310" t="s">
        <v>2304</v>
      </c>
      <c r="E310" t="s">
        <v>124</v>
      </c>
    </row>
    <row r="311" spans="1:5">
      <c r="A311" t="s">
        <v>945</v>
      </c>
      <c r="B311" t="s">
        <v>945</v>
      </c>
      <c r="C311" t="s">
        <v>2304</v>
      </c>
      <c r="E311" t="s">
        <v>124</v>
      </c>
    </row>
    <row r="312" spans="1:5">
      <c r="A312" t="s">
        <v>2478</v>
      </c>
      <c r="B312" t="s">
        <v>2478</v>
      </c>
      <c r="C312" t="s">
        <v>2304</v>
      </c>
      <c r="E312" t="s">
        <v>124</v>
      </c>
    </row>
    <row r="313" spans="1:5">
      <c r="A313" t="s">
        <v>2479</v>
      </c>
      <c r="B313" t="s">
        <v>2479</v>
      </c>
      <c r="C313" t="s">
        <v>2304</v>
      </c>
      <c r="E313" t="s">
        <v>124</v>
      </c>
    </row>
    <row r="314" spans="1:5">
      <c r="A314" t="s">
        <v>2480</v>
      </c>
      <c r="B314" t="s">
        <v>910</v>
      </c>
      <c r="C314" t="s">
        <v>2304</v>
      </c>
      <c r="E314" t="s">
        <v>124</v>
      </c>
    </row>
    <row r="315" spans="1:5">
      <c r="A315" t="s">
        <v>2481</v>
      </c>
      <c r="B315" t="s">
        <v>2481</v>
      </c>
      <c r="C315" t="s">
        <v>2304</v>
      </c>
      <c r="E315" t="s">
        <v>803</v>
      </c>
    </row>
    <row r="316" s="83" customFormat="1" spans="1:5">
      <c r="A316" s="83" t="s">
        <v>2482</v>
      </c>
      <c r="B316" s="83" t="s">
        <v>2482</v>
      </c>
      <c r="C316" s="83" t="s">
        <v>2304</v>
      </c>
      <c r="E316" s="83" t="s">
        <v>1124</v>
      </c>
    </row>
    <row r="317" s="83" customFormat="1" spans="1:5">
      <c r="A317" s="83" t="s">
        <v>2483</v>
      </c>
      <c r="B317" s="83" t="s">
        <v>2483</v>
      </c>
      <c r="C317" s="83" t="s">
        <v>2304</v>
      </c>
      <c r="E317" s="83" t="s">
        <v>1783</v>
      </c>
    </row>
    <row r="318" spans="1:5">
      <c r="A318" t="s">
        <v>2484</v>
      </c>
      <c r="B318" t="s">
        <v>2484</v>
      </c>
      <c r="C318" t="s">
        <v>2304</v>
      </c>
      <c r="E318" t="s">
        <v>1124</v>
      </c>
    </row>
    <row r="319" spans="1:5">
      <c r="A319" t="s">
        <v>2485</v>
      </c>
      <c r="B319" t="s">
        <v>2485</v>
      </c>
      <c r="C319" t="s">
        <v>2304</v>
      </c>
      <c r="E319" t="s">
        <v>124</v>
      </c>
    </row>
    <row r="320" spans="1:5">
      <c r="A320" t="s">
        <v>2486</v>
      </c>
      <c r="B320" t="s">
        <v>2486</v>
      </c>
      <c r="C320" t="s">
        <v>2304</v>
      </c>
      <c r="E320" t="s">
        <v>1124</v>
      </c>
    </row>
    <row r="321" spans="1:5">
      <c r="A321" t="s">
        <v>2487</v>
      </c>
      <c r="B321" t="s">
        <v>2487</v>
      </c>
      <c r="C321" t="s">
        <v>2304</v>
      </c>
      <c r="E321" t="s">
        <v>1124</v>
      </c>
    </row>
    <row r="322" spans="1:5">
      <c r="A322" t="s">
        <v>2488</v>
      </c>
      <c r="B322" t="s">
        <v>2489</v>
      </c>
      <c r="C322" t="s">
        <v>2304</v>
      </c>
      <c r="E322" t="s">
        <v>1124</v>
      </c>
    </row>
    <row r="323" spans="1:5">
      <c r="A323" t="s">
        <v>2490</v>
      </c>
      <c r="B323" t="s">
        <v>2490</v>
      </c>
      <c r="C323" t="s">
        <v>2304</v>
      </c>
      <c r="E323" t="s">
        <v>1124</v>
      </c>
    </row>
    <row r="324" spans="1:5">
      <c r="A324" t="s">
        <v>2491</v>
      </c>
      <c r="B324" t="s">
        <v>2491</v>
      </c>
      <c r="C324" t="s">
        <v>2304</v>
      </c>
      <c r="E324" t="s">
        <v>287</v>
      </c>
    </row>
    <row r="325" spans="1:5">
      <c r="A325" t="s">
        <v>2492</v>
      </c>
      <c r="B325" t="s">
        <v>2492</v>
      </c>
      <c r="C325" t="s">
        <v>2304</v>
      </c>
      <c r="E325" t="s">
        <v>1124</v>
      </c>
    </row>
    <row r="326" spans="1:5">
      <c r="A326" t="s">
        <v>2493</v>
      </c>
      <c r="B326" t="s">
        <v>2494</v>
      </c>
      <c r="C326" t="s">
        <v>2304</v>
      </c>
      <c r="E326" t="s">
        <v>124</v>
      </c>
    </row>
    <row r="327" spans="1:5">
      <c r="A327" t="s">
        <v>2495</v>
      </c>
      <c r="B327" t="s">
        <v>2495</v>
      </c>
      <c r="C327" t="s">
        <v>2304</v>
      </c>
      <c r="E327" t="s">
        <v>1124</v>
      </c>
    </row>
    <row r="328" spans="1:5">
      <c r="A328" t="s">
        <v>2496</v>
      </c>
      <c r="B328" t="s">
        <v>2496</v>
      </c>
      <c r="C328" t="s">
        <v>2304</v>
      </c>
      <c r="E328" t="s">
        <v>1124</v>
      </c>
    </row>
    <row r="329" spans="1:5">
      <c r="A329" t="s">
        <v>2497</v>
      </c>
      <c r="B329" t="s">
        <v>2497</v>
      </c>
      <c r="C329" t="s">
        <v>2304</v>
      </c>
      <c r="E329" t="s">
        <v>1783</v>
      </c>
    </row>
    <row r="330" spans="1:5">
      <c r="A330" t="s">
        <v>2498</v>
      </c>
      <c r="B330" t="s">
        <v>2498</v>
      </c>
      <c r="C330" t="s">
        <v>2304</v>
      </c>
      <c r="E330" t="s">
        <v>1124</v>
      </c>
    </row>
    <row r="331" spans="1:5">
      <c r="A331" t="s">
        <v>2499</v>
      </c>
      <c r="B331" t="s">
        <v>2499</v>
      </c>
      <c r="C331" t="s">
        <v>2304</v>
      </c>
      <c r="E331" t="s">
        <v>1783</v>
      </c>
    </row>
    <row r="332" spans="1:5">
      <c r="A332" t="s">
        <v>2500</v>
      </c>
      <c r="B332" t="s">
        <v>2500</v>
      </c>
      <c r="C332" t="s">
        <v>2304</v>
      </c>
      <c r="E332" t="s">
        <v>1783</v>
      </c>
    </row>
    <row r="333" spans="1:5">
      <c r="A333" t="s">
        <v>2501</v>
      </c>
      <c r="B333" t="s">
        <v>2501</v>
      </c>
      <c r="C333" t="s">
        <v>2304</v>
      </c>
      <c r="E333" t="s">
        <v>1783</v>
      </c>
    </row>
    <row r="334" s="83" customFormat="1" spans="1:5">
      <c r="A334" s="83" t="s">
        <v>2502</v>
      </c>
      <c r="B334" s="83" t="s">
        <v>2502</v>
      </c>
      <c r="C334" s="83" t="s">
        <v>2304</v>
      </c>
      <c r="E334" s="83" t="s">
        <v>1124</v>
      </c>
    </row>
    <row r="335" s="83" customFormat="1" spans="1:5">
      <c r="A335" s="83" t="s">
        <v>2503</v>
      </c>
      <c r="B335" s="83" t="s">
        <v>2503</v>
      </c>
      <c r="C335" s="83" t="s">
        <v>2304</v>
      </c>
      <c r="E335" s="83" t="s">
        <v>1124</v>
      </c>
    </row>
    <row r="336" spans="1:5">
      <c r="A336" t="s">
        <v>2504</v>
      </c>
      <c r="B336" t="s">
        <v>2504</v>
      </c>
      <c r="C336" t="s">
        <v>2304</v>
      </c>
      <c r="E336" t="s">
        <v>1124</v>
      </c>
    </row>
    <row r="337" spans="1:5">
      <c r="A337" t="s">
        <v>926</v>
      </c>
      <c r="B337" t="s">
        <v>926</v>
      </c>
      <c r="C337" t="s">
        <v>2304</v>
      </c>
      <c r="E337" t="s">
        <v>124</v>
      </c>
    </row>
    <row r="338" spans="1:5">
      <c r="A338" t="s">
        <v>923</v>
      </c>
      <c r="B338" t="s">
        <v>923</v>
      </c>
      <c r="C338" t="s">
        <v>2304</v>
      </c>
      <c r="E338" t="s">
        <v>124</v>
      </c>
    </row>
    <row r="339" spans="1:5">
      <c r="A339" t="s">
        <v>924</v>
      </c>
      <c r="B339" t="s">
        <v>924</v>
      </c>
      <c r="C339" t="s">
        <v>2304</v>
      </c>
      <c r="E339" t="s">
        <v>124</v>
      </c>
    </row>
    <row r="340" spans="1:5">
      <c r="A340" t="s">
        <v>2505</v>
      </c>
      <c r="B340" t="s">
        <v>925</v>
      </c>
      <c r="C340" t="s">
        <v>2304</v>
      </c>
      <c r="E340" t="s">
        <v>124</v>
      </c>
    </row>
    <row r="341" spans="1:5">
      <c r="A341" t="s">
        <v>928</v>
      </c>
      <c r="B341" t="s">
        <v>928</v>
      </c>
      <c r="C341" t="s">
        <v>2304</v>
      </c>
      <c r="E341" t="s">
        <v>124</v>
      </c>
    </row>
    <row r="342" s="83" customFormat="1" spans="1:5">
      <c r="A342" s="83" t="s">
        <v>927</v>
      </c>
      <c r="B342" s="83" t="s">
        <v>927</v>
      </c>
      <c r="C342" s="83" t="s">
        <v>2304</v>
      </c>
      <c r="E342" s="83" t="s">
        <v>124</v>
      </c>
    </row>
    <row r="343" spans="1:5">
      <c r="A343" t="s">
        <v>2506</v>
      </c>
      <c r="B343" t="s">
        <v>2506</v>
      </c>
      <c r="C343" t="s">
        <v>2304</v>
      </c>
      <c r="E343" t="s">
        <v>287</v>
      </c>
    </row>
    <row r="344" spans="1:5">
      <c r="A344" t="s">
        <v>2507</v>
      </c>
      <c r="B344" t="s">
        <v>2507</v>
      </c>
      <c r="C344" t="s">
        <v>2304</v>
      </c>
      <c r="E344" t="s">
        <v>287</v>
      </c>
    </row>
    <row r="345" spans="1:5">
      <c r="A345" t="s">
        <v>2508</v>
      </c>
      <c r="B345" t="s">
        <v>2508</v>
      </c>
      <c r="C345" t="s">
        <v>2304</v>
      </c>
      <c r="E345" t="s">
        <v>124</v>
      </c>
    </row>
    <row r="346" spans="1:5">
      <c r="A346" t="s">
        <v>2509</v>
      </c>
      <c r="B346" t="s">
        <v>2509</v>
      </c>
      <c r="C346" t="s">
        <v>2304</v>
      </c>
      <c r="E346" t="s">
        <v>1783</v>
      </c>
    </row>
    <row r="347" spans="1:5">
      <c r="A347" t="s">
        <v>2510</v>
      </c>
      <c r="B347" t="s">
        <v>2510</v>
      </c>
      <c r="C347" t="s">
        <v>2304</v>
      </c>
      <c r="E347" t="s">
        <v>1783</v>
      </c>
    </row>
    <row r="348" spans="1:5">
      <c r="A348" t="s">
        <v>902</v>
      </c>
      <c r="B348" t="s">
        <v>902</v>
      </c>
      <c r="C348" t="s">
        <v>2304</v>
      </c>
      <c r="E348" t="s">
        <v>124</v>
      </c>
    </row>
    <row r="349" spans="1:5">
      <c r="A349" t="s">
        <v>2511</v>
      </c>
      <c r="B349" t="s">
        <v>2511</v>
      </c>
      <c r="C349" t="s">
        <v>2304</v>
      </c>
      <c r="E349" t="s">
        <v>124</v>
      </c>
    </row>
    <row r="350" spans="1:5">
      <c r="A350" t="s">
        <v>958</v>
      </c>
      <c r="B350" t="s">
        <v>958</v>
      </c>
      <c r="C350" t="s">
        <v>2304</v>
      </c>
      <c r="E350" t="s">
        <v>124</v>
      </c>
    </row>
    <row r="351" spans="1:5">
      <c r="A351" t="s">
        <v>935</v>
      </c>
      <c r="B351" t="s">
        <v>935</v>
      </c>
      <c r="C351" t="s">
        <v>2304</v>
      </c>
      <c r="E351" t="s">
        <v>124</v>
      </c>
    </row>
    <row r="352" spans="1:5">
      <c r="A352" t="s">
        <v>2512</v>
      </c>
      <c r="B352" t="s">
        <v>2512</v>
      </c>
      <c r="C352" t="s">
        <v>2304</v>
      </c>
      <c r="E352" t="s">
        <v>287</v>
      </c>
    </row>
    <row r="353" spans="1:5">
      <c r="A353" t="s">
        <v>2513</v>
      </c>
      <c r="B353" t="s">
        <v>2513</v>
      </c>
      <c r="C353" t="s">
        <v>2304</v>
      </c>
      <c r="E353" t="s">
        <v>287</v>
      </c>
    </row>
    <row r="354" spans="1:5">
      <c r="A354" t="s">
        <v>2514</v>
      </c>
      <c r="B354" t="s">
        <v>2514</v>
      </c>
      <c r="C354" t="s">
        <v>2304</v>
      </c>
      <c r="E354" t="s">
        <v>287</v>
      </c>
    </row>
    <row r="355" spans="1:5">
      <c r="A355" t="s">
        <v>2515</v>
      </c>
      <c r="B355" t="s">
        <v>2515</v>
      </c>
      <c r="C355" t="s">
        <v>2304</v>
      </c>
      <c r="E355" t="s">
        <v>124</v>
      </c>
    </row>
    <row r="356" spans="1:5">
      <c r="A356" t="s">
        <v>959</v>
      </c>
      <c r="B356" t="s">
        <v>959</v>
      </c>
      <c r="C356" t="s">
        <v>2304</v>
      </c>
      <c r="E356" t="s">
        <v>124</v>
      </c>
    </row>
    <row r="357" spans="1:5">
      <c r="A357" t="s">
        <v>2516</v>
      </c>
      <c r="B357" t="s">
        <v>2516</v>
      </c>
      <c r="C357" t="s">
        <v>2304</v>
      </c>
      <c r="E357" t="s">
        <v>124</v>
      </c>
    </row>
    <row r="358" spans="1:5">
      <c r="A358" t="s">
        <v>2517</v>
      </c>
      <c r="B358" t="s">
        <v>2517</v>
      </c>
      <c r="C358" t="s">
        <v>2304</v>
      </c>
      <c r="E358" t="s">
        <v>124</v>
      </c>
    </row>
    <row r="359" spans="1:5">
      <c r="A359" t="s">
        <v>2518</v>
      </c>
      <c r="B359" t="s">
        <v>2518</v>
      </c>
      <c r="C359" t="s">
        <v>2304</v>
      </c>
      <c r="E359" t="s">
        <v>124</v>
      </c>
    </row>
    <row r="360" spans="1:5">
      <c r="A360" t="s">
        <v>2519</v>
      </c>
      <c r="B360" t="s">
        <v>2519</v>
      </c>
      <c r="C360" t="s">
        <v>2304</v>
      </c>
      <c r="E360" t="s">
        <v>124</v>
      </c>
    </row>
    <row r="361" spans="1:5">
      <c r="A361" t="s">
        <v>2520</v>
      </c>
      <c r="B361" t="s">
        <v>2520</v>
      </c>
      <c r="C361" t="s">
        <v>2304</v>
      </c>
      <c r="E361" t="s">
        <v>1124</v>
      </c>
    </row>
    <row r="362" spans="1:5">
      <c r="A362" t="s">
        <v>2521</v>
      </c>
      <c r="B362" t="s">
        <v>2521</v>
      </c>
      <c r="C362" t="s">
        <v>2304</v>
      </c>
      <c r="E362" t="s">
        <v>1124</v>
      </c>
    </row>
    <row r="363" spans="1:5">
      <c r="A363" t="s">
        <v>2522</v>
      </c>
      <c r="B363" t="s">
        <v>2522</v>
      </c>
      <c r="C363" t="s">
        <v>2304</v>
      </c>
      <c r="E363" t="s">
        <v>1124</v>
      </c>
    </row>
    <row r="364" spans="1:5">
      <c r="A364" t="s">
        <v>2523</v>
      </c>
      <c r="B364" t="s">
        <v>2523</v>
      </c>
      <c r="C364" t="s">
        <v>2304</v>
      </c>
      <c r="E364" t="s">
        <v>1124</v>
      </c>
    </row>
    <row r="365" spans="1:5">
      <c r="A365" t="s">
        <v>2524</v>
      </c>
      <c r="B365" t="s">
        <v>2524</v>
      </c>
      <c r="C365" t="s">
        <v>2304</v>
      </c>
      <c r="E365" t="s">
        <v>1124</v>
      </c>
    </row>
    <row r="366" spans="1:5">
      <c r="A366" t="s">
        <v>2525</v>
      </c>
      <c r="B366" t="s">
        <v>2525</v>
      </c>
      <c r="C366" t="s">
        <v>2304</v>
      </c>
      <c r="E366" t="s">
        <v>124</v>
      </c>
    </row>
    <row r="367" spans="1:5">
      <c r="A367" t="s">
        <v>2526</v>
      </c>
      <c r="B367" t="s">
        <v>2526</v>
      </c>
      <c r="C367" t="s">
        <v>2304</v>
      </c>
      <c r="E367" t="s">
        <v>1783</v>
      </c>
    </row>
    <row r="368" spans="1:5">
      <c r="A368" t="s">
        <v>2527</v>
      </c>
      <c r="B368" t="s">
        <v>2527</v>
      </c>
      <c r="C368" t="s">
        <v>2304</v>
      </c>
      <c r="E368" t="s">
        <v>1783</v>
      </c>
    </row>
    <row r="369" spans="1:5">
      <c r="A369" t="s">
        <v>2528</v>
      </c>
      <c r="B369" t="s">
        <v>2528</v>
      </c>
      <c r="C369" t="s">
        <v>2304</v>
      </c>
      <c r="E369" t="s">
        <v>124</v>
      </c>
    </row>
    <row r="370" spans="1:5">
      <c r="A370" t="s">
        <v>2529</v>
      </c>
      <c r="B370" t="s">
        <v>2530</v>
      </c>
      <c r="C370" t="s">
        <v>2304</v>
      </c>
      <c r="E370" t="s">
        <v>1124</v>
      </c>
    </row>
    <row r="371" spans="1:5">
      <c r="A371" t="s">
        <v>2531</v>
      </c>
      <c r="B371" t="s">
        <v>2531</v>
      </c>
      <c r="C371" t="s">
        <v>2304</v>
      </c>
      <c r="E371" t="s">
        <v>1124</v>
      </c>
    </row>
    <row r="372" spans="1:5">
      <c r="A372" t="s">
        <v>2532</v>
      </c>
      <c r="B372" t="s">
        <v>2532</v>
      </c>
      <c r="C372" t="s">
        <v>2304</v>
      </c>
      <c r="E372" t="s">
        <v>124</v>
      </c>
    </row>
    <row r="373" spans="1:5">
      <c r="A373" t="s">
        <v>2533</v>
      </c>
      <c r="B373" t="s">
        <v>2533</v>
      </c>
      <c r="C373" t="s">
        <v>2304</v>
      </c>
      <c r="E373" t="s">
        <v>1124</v>
      </c>
    </row>
    <row r="374" spans="1:5">
      <c r="A374" t="s">
        <v>2534</v>
      </c>
      <c r="B374" t="s">
        <v>2534</v>
      </c>
      <c r="C374" t="s">
        <v>2304</v>
      </c>
      <c r="E374" t="s">
        <v>124</v>
      </c>
    </row>
    <row r="375" spans="1:5">
      <c r="A375" t="s">
        <v>961</v>
      </c>
      <c r="B375" t="s">
        <v>961</v>
      </c>
      <c r="C375" t="s">
        <v>2304</v>
      </c>
      <c r="E375" t="s">
        <v>124</v>
      </c>
    </row>
    <row r="376" spans="1:5">
      <c r="A376" t="s">
        <v>2535</v>
      </c>
      <c r="B376" t="s">
        <v>2535</v>
      </c>
      <c r="C376" t="s">
        <v>2304</v>
      </c>
      <c r="E376" t="s">
        <v>287</v>
      </c>
    </row>
    <row r="377" spans="1:5">
      <c r="A377" t="s">
        <v>2536</v>
      </c>
      <c r="B377" t="s">
        <v>2536</v>
      </c>
      <c r="C377" t="s">
        <v>2304</v>
      </c>
      <c r="E377" t="s">
        <v>124</v>
      </c>
    </row>
    <row r="378" spans="1:5">
      <c r="A378" t="s">
        <v>913</v>
      </c>
      <c r="B378" t="s">
        <v>913</v>
      </c>
      <c r="C378" t="s">
        <v>2304</v>
      </c>
      <c r="E378" t="s">
        <v>124</v>
      </c>
    </row>
    <row r="379" spans="1:5">
      <c r="A379" t="s">
        <v>2537</v>
      </c>
      <c r="B379" t="s">
        <v>2537</v>
      </c>
      <c r="C379" t="s">
        <v>2304</v>
      </c>
      <c r="E379" t="s">
        <v>124</v>
      </c>
    </row>
    <row r="380" spans="1:5">
      <c r="A380" t="s">
        <v>2538</v>
      </c>
      <c r="B380" t="s">
        <v>2538</v>
      </c>
      <c r="C380" t="s">
        <v>2304</v>
      </c>
      <c r="E380" t="s">
        <v>1124</v>
      </c>
    </row>
    <row r="381" spans="1:5">
      <c r="A381" t="s">
        <v>2539</v>
      </c>
      <c r="B381" t="s">
        <v>2539</v>
      </c>
      <c r="C381" t="s">
        <v>2304</v>
      </c>
      <c r="E381" t="s">
        <v>1124</v>
      </c>
    </row>
    <row r="382" spans="1:5">
      <c r="A382" t="s">
        <v>2540</v>
      </c>
      <c r="B382" t="s">
        <v>2540</v>
      </c>
      <c r="C382" t="s">
        <v>2304</v>
      </c>
      <c r="E382" t="s">
        <v>124</v>
      </c>
    </row>
    <row r="383" spans="1:5">
      <c r="A383" t="s">
        <v>2541</v>
      </c>
      <c r="B383" t="s">
        <v>2541</v>
      </c>
      <c r="C383" t="s">
        <v>2304</v>
      </c>
      <c r="E383" t="s">
        <v>124</v>
      </c>
    </row>
    <row r="384" spans="1:5">
      <c r="A384" t="s">
        <v>2542</v>
      </c>
      <c r="B384" t="s">
        <v>2542</v>
      </c>
      <c r="C384" t="s">
        <v>2304</v>
      </c>
      <c r="E384" t="s">
        <v>124</v>
      </c>
    </row>
    <row r="385" spans="1:5">
      <c r="A385" t="s">
        <v>2543</v>
      </c>
      <c r="B385" t="s">
        <v>2543</v>
      </c>
      <c r="C385" t="s">
        <v>2304</v>
      </c>
      <c r="E385" t="s">
        <v>124</v>
      </c>
    </row>
    <row r="386" spans="1:5">
      <c r="A386" t="s">
        <v>2544</v>
      </c>
      <c r="B386" t="s">
        <v>2544</v>
      </c>
      <c r="C386" t="s">
        <v>2304</v>
      </c>
      <c r="E386" t="s">
        <v>124</v>
      </c>
    </row>
    <row r="387" spans="1:5">
      <c r="A387" t="s">
        <v>2545</v>
      </c>
      <c r="B387" t="s">
        <v>2545</v>
      </c>
      <c r="C387" t="s">
        <v>2304</v>
      </c>
      <c r="E387" t="s">
        <v>124</v>
      </c>
    </row>
    <row r="388" spans="1:5">
      <c r="A388" t="s">
        <v>2546</v>
      </c>
      <c r="B388" t="s">
        <v>2546</v>
      </c>
      <c r="C388" t="s">
        <v>2304</v>
      </c>
      <c r="E388" t="s">
        <v>124</v>
      </c>
    </row>
    <row r="389" spans="1:5">
      <c r="A389" t="s">
        <v>2547</v>
      </c>
      <c r="B389" t="s">
        <v>2547</v>
      </c>
      <c r="C389" t="s">
        <v>2304</v>
      </c>
      <c r="E389" t="s">
        <v>124</v>
      </c>
    </row>
    <row r="390" spans="1:5">
      <c r="A390" t="s">
        <v>2548</v>
      </c>
      <c r="B390" t="s">
        <v>2548</v>
      </c>
      <c r="C390" t="s">
        <v>2304</v>
      </c>
      <c r="E390" t="s">
        <v>287</v>
      </c>
    </row>
    <row r="391" spans="1:5">
      <c r="A391" t="s">
        <v>2549</v>
      </c>
      <c r="B391" t="s">
        <v>2550</v>
      </c>
      <c r="C391" t="s">
        <v>2304</v>
      </c>
      <c r="E391" t="s">
        <v>316</v>
      </c>
    </row>
    <row r="392" spans="1:5">
      <c r="A392" t="s">
        <v>2551</v>
      </c>
      <c r="B392" t="s">
        <v>2551</v>
      </c>
      <c r="C392" t="s">
        <v>2304</v>
      </c>
      <c r="E392" t="s">
        <v>287</v>
      </c>
    </row>
    <row r="393" spans="1:5">
      <c r="A393" t="s">
        <v>2552</v>
      </c>
      <c r="B393" t="s">
        <v>2552</v>
      </c>
      <c r="C393" t="s">
        <v>2304</v>
      </c>
      <c r="E393" t="s">
        <v>124</v>
      </c>
    </row>
    <row r="394" spans="1:5">
      <c r="A394" t="s">
        <v>2553</v>
      </c>
      <c r="B394" t="s">
        <v>2553</v>
      </c>
      <c r="C394" t="s">
        <v>2304</v>
      </c>
      <c r="E394" t="s">
        <v>547</v>
      </c>
    </row>
    <row r="395" spans="1:5">
      <c r="A395" t="s">
        <v>891</v>
      </c>
      <c r="B395" t="s">
        <v>891</v>
      </c>
      <c r="C395" t="s">
        <v>2304</v>
      </c>
      <c r="E395" t="s">
        <v>124</v>
      </c>
    </row>
    <row r="396" spans="1:5">
      <c r="A396" t="s">
        <v>2554</v>
      </c>
      <c r="B396" t="s">
        <v>2555</v>
      </c>
      <c r="C396" t="s">
        <v>2304</v>
      </c>
      <c r="E396" t="s">
        <v>124</v>
      </c>
    </row>
    <row r="397" spans="1:5">
      <c r="A397" t="s">
        <v>2556</v>
      </c>
      <c r="B397" t="s">
        <v>2556</v>
      </c>
      <c r="C397" t="s">
        <v>2304</v>
      </c>
      <c r="E397" t="s">
        <v>124</v>
      </c>
    </row>
    <row r="398" spans="1:5">
      <c r="A398" t="s">
        <v>2557</v>
      </c>
      <c r="B398" t="s">
        <v>2557</v>
      </c>
      <c r="C398" t="s">
        <v>2304</v>
      </c>
      <c r="E398" t="s">
        <v>1124</v>
      </c>
    </row>
    <row r="399" spans="1:5">
      <c r="A399" t="s">
        <v>2558</v>
      </c>
      <c r="B399" t="s">
        <v>2558</v>
      </c>
      <c r="C399" t="s">
        <v>2304</v>
      </c>
      <c r="E399" t="s">
        <v>1124</v>
      </c>
    </row>
    <row r="400" spans="1:5">
      <c r="A400" t="s">
        <v>2559</v>
      </c>
      <c r="B400" t="s">
        <v>909</v>
      </c>
      <c r="C400" t="s">
        <v>2304</v>
      </c>
      <c r="E400" t="s">
        <v>124</v>
      </c>
    </row>
    <row r="401" spans="1:5">
      <c r="A401" t="s">
        <v>2560</v>
      </c>
      <c r="B401" t="s">
        <v>2560</v>
      </c>
      <c r="C401" t="s">
        <v>2304</v>
      </c>
      <c r="E401" t="s">
        <v>287</v>
      </c>
    </row>
    <row r="402" spans="1:5">
      <c r="A402" t="s">
        <v>2561</v>
      </c>
      <c r="B402" t="s">
        <v>2561</v>
      </c>
      <c r="C402" t="s">
        <v>2304</v>
      </c>
      <c r="E402" t="s">
        <v>1124</v>
      </c>
    </row>
    <row r="403" s="83" customFormat="1" spans="1:5">
      <c r="A403" s="83" t="s">
        <v>2562</v>
      </c>
      <c r="B403" s="83" t="s">
        <v>2563</v>
      </c>
      <c r="C403" s="83" t="s">
        <v>2304</v>
      </c>
      <c r="E403" s="83" t="s">
        <v>124</v>
      </c>
    </row>
    <row r="404" spans="1:5">
      <c r="A404" t="s">
        <v>2564</v>
      </c>
      <c r="B404" t="s">
        <v>2564</v>
      </c>
      <c r="C404" t="s">
        <v>2304</v>
      </c>
      <c r="E404" t="s">
        <v>287</v>
      </c>
    </row>
    <row r="405" spans="1:5">
      <c r="A405" t="s">
        <v>2565</v>
      </c>
      <c r="B405" t="s">
        <v>912</v>
      </c>
      <c r="C405" t="s">
        <v>2304</v>
      </c>
      <c r="E405" t="s">
        <v>124</v>
      </c>
    </row>
    <row r="406" spans="1:5">
      <c r="A406" t="s">
        <v>2566</v>
      </c>
      <c r="B406" t="s">
        <v>2566</v>
      </c>
      <c r="C406" t="s">
        <v>2304</v>
      </c>
      <c r="E406" t="s">
        <v>2306</v>
      </c>
    </row>
    <row r="407" spans="1:5">
      <c r="A407" t="s">
        <v>2567</v>
      </c>
      <c r="B407" t="s">
        <v>2567</v>
      </c>
      <c r="C407" t="s">
        <v>2304</v>
      </c>
      <c r="E407" t="s">
        <v>1783</v>
      </c>
    </row>
    <row r="408" spans="1:5">
      <c r="A408" t="s">
        <v>907</v>
      </c>
      <c r="B408" t="s">
        <v>907</v>
      </c>
      <c r="C408" t="s">
        <v>2304</v>
      </c>
      <c r="E408" t="s">
        <v>124</v>
      </c>
    </row>
    <row r="409" spans="1:5">
      <c r="A409" t="s">
        <v>2568</v>
      </c>
      <c r="B409" t="s">
        <v>2568</v>
      </c>
      <c r="C409" t="s">
        <v>2304</v>
      </c>
      <c r="E409" t="s">
        <v>124</v>
      </c>
    </row>
    <row r="410" spans="1:5">
      <c r="A410" t="s">
        <v>2569</v>
      </c>
      <c r="B410" t="s">
        <v>2569</v>
      </c>
      <c r="C410" t="s">
        <v>2304</v>
      </c>
      <c r="E410" t="s">
        <v>1124</v>
      </c>
    </row>
    <row r="411" spans="1:5">
      <c r="A411" t="s">
        <v>2570</v>
      </c>
      <c r="B411" t="s">
        <v>2570</v>
      </c>
      <c r="C411" t="s">
        <v>2304</v>
      </c>
      <c r="E411" t="s">
        <v>287</v>
      </c>
    </row>
    <row r="412" spans="1:5">
      <c r="A412" t="s">
        <v>957</v>
      </c>
      <c r="B412" t="s">
        <v>957</v>
      </c>
      <c r="C412" t="s">
        <v>2304</v>
      </c>
      <c r="E412" t="s">
        <v>124</v>
      </c>
    </row>
    <row r="413" s="83" customFormat="1" spans="1:5">
      <c r="A413" s="83" t="s">
        <v>2571</v>
      </c>
      <c r="B413" s="83" t="s">
        <v>2571</v>
      </c>
      <c r="C413" s="83" t="s">
        <v>2304</v>
      </c>
      <c r="E413" s="83" t="s">
        <v>1124</v>
      </c>
    </row>
    <row r="414" s="83" customFormat="1" spans="1:5">
      <c r="A414" s="83" t="s">
        <v>2572</v>
      </c>
      <c r="B414" s="83" t="s">
        <v>2572</v>
      </c>
      <c r="C414" s="83" t="s">
        <v>2304</v>
      </c>
      <c r="E414" s="83" t="s">
        <v>1124</v>
      </c>
    </row>
    <row r="415" s="83" customFormat="1" spans="1:5">
      <c r="A415" s="83" t="s">
        <v>2573</v>
      </c>
      <c r="B415" s="83" t="s">
        <v>2573</v>
      </c>
      <c r="C415" s="83" t="s">
        <v>2304</v>
      </c>
      <c r="E415" s="83" t="s">
        <v>1124</v>
      </c>
    </row>
    <row r="416" s="83" customFormat="1" spans="1:5">
      <c r="A416" s="83" t="s">
        <v>2574</v>
      </c>
      <c r="B416" s="83" t="s">
        <v>2574</v>
      </c>
      <c r="C416" s="83" t="s">
        <v>2304</v>
      </c>
      <c r="E416" s="83" t="s">
        <v>1783</v>
      </c>
    </row>
    <row r="417" s="83" customFormat="1" spans="1:5">
      <c r="A417" s="83" t="s">
        <v>2575</v>
      </c>
      <c r="B417" s="83" t="s">
        <v>2575</v>
      </c>
      <c r="C417" s="83" t="s">
        <v>2304</v>
      </c>
      <c r="E417" s="83" t="s">
        <v>1124</v>
      </c>
    </row>
    <row r="418" s="83" customFormat="1" spans="1:5">
      <c r="A418" s="83" t="s">
        <v>2576</v>
      </c>
      <c r="B418" s="83" t="s">
        <v>2576</v>
      </c>
      <c r="C418" s="83" t="s">
        <v>2304</v>
      </c>
      <c r="E418" s="83" t="s">
        <v>1124</v>
      </c>
    </row>
    <row r="419" spans="1:5">
      <c r="A419" t="s">
        <v>2577</v>
      </c>
      <c r="B419" t="s">
        <v>2577</v>
      </c>
      <c r="C419" t="s">
        <v>2304</v>
      </c>
      <c r="E419" t="s">
        <v>1124</v>
      </c>
    </row>
    <row r="420" spans="1:5">
      <c r="A420" t="s">
        <v>2578</v>
      </c>
      <c r="B420" t="s">
        <v>2578</v>
      </c>
      <c r="C420" t="s">
        <v>2304</v>
      </c>
      <c r="E420" t="s">
        <v>1783</v>
      </c>
    </row>
    <row r="421" spans="1:5">
      <c r="A421" t="s">
        <v>2579</v>
      </c>
      <c r="B421" t="s">
        <v>2579</v>
      </c>
      <c r="C421" t="s">
        <v>2304</v>
      </c>
      <c r="E421" t="s">
        <v>1124</v>
      </c>
    </row>
    <row r="422" s="83" customFormat="1" spans="1:5">
      <c r="A422" s="83" t="s">
        <v>2580</v>
      </c>
      <c r="B422" s="83" t="s">
        <v>2580</v>
      </c>
      <c r="C422" s="83" t="s">
        <v>2304</v>
      </c>
      <c r="E422" s="83" t="s">
        <v>1124</v>
      </c>
    </row>
    <row r="423" spans="1:5">
      <c r="A423" t="s">
        <v>2581</v>
      </c>
      <c r="B423" t="s">
        <v>2581</v>
      </c>
      <c r="C423" t="s">
        <v>2304</v>
      </c>
      <c r="E423" t="s">
        <v>1783</v>
      </c>
    </row>
    <row r="424" s="83" customFormat="1" spans="1:5">
      <c r="A424" s="83" t="s">
        <v>2582</v>
      </c>
      <c r="B424" s="83" t="s">
        <v>2582</v>
      </c>
      <c r="C424" s="83" t="s">
        <v>2304</v>
      </c>
      <c r="E424" s="83" t="s">
        <v>1124</v>
      </c>
    </row>
    <row r="425" spans="1:5">
      <c r="A425" t="s">
        <v>2583</v>
      </c>
      <c r="B425" t="s">
        <v>2583</v>
      </c>
      <c r="C425" t="s">
        <v>2304</v>
      </c>
      <c r="E425" t="s">
        <v>1783</v>
      </c>
    </row>
    <row r="426" spans="1:5">
      <c r="A426" t="s">
        <v>2584</v>
      </c>
      <c r="B426" t="s">
        <v>2584</v>
      </c>
      <c r="C426" t="s">
        <v>2304</v>
      </c>
      <c r="E426" t="s">
        <v>1783</v>
      </c>
    </row>
    <row r="427" s="83" customFormat="1" spans="1:5">
      <c r="A427" s="83" t="s">
        <v>2585</v>
      </c>
      <c r="B427" s="83" t="s">
        <v>2585</v>
      </c>
      <c r="C427" s="83" t="s">
        <v>2304</v>
      </c>
      <c r="E427" s="83" t="s">
        <v>1124</v>
      </c>
    </row>
    <row r="428" s="83" customFormat="1" spans="1:5">
      <c r="A428" s="83" t="s">
        <v>2586</v>
      </c>
      <c r="B428" s="83" t="s">
        <v>2586</v>
      </c>
      <c r="C428" s="83" t="s">
        <v>2304</v>
      </c>
      <c r="E428" s="83" t="s">
        <v>1124</v>
      </c>
    </row>
    <row r="429" spans="1:5">
      <c r="A429" t="s">
        <v>2587</v>
      </c>
      <c r="B429" t="s">
        <v>2587</v>
      </c>
      <c r="C429" t="s">
        <v>2304</v>
      </c>
      <c r="E429" t="s">
        <v>1783</v>
      </c>
    </row>
    <row r="430" s="83" customFormat="1" spans="1:5">
      <c r="A430" s="83" t="s">
        <v>2588</v>
      </c>
      <c r="B430" s="83" t="s">
        <v>2588</v>
      </c>
      <c r="C430" s="83" t="s">
        <v>2304</v>
      </c>
      <c r="E430" s="83" t="s">
        <v>1124</v>
      </c>
    </row>
    <row r="431" spans="1:5">
      <c r="A431" t="s">
        <v>2589</v>
      </c>
      <c r="B431" t="s">
        <v>2589</v>
      </c>
      <c r="C431" t="s">
        <v>2304</v>
      </c>
      <c r="E431" t="s">
        <v>1124</v>
      </c>
    </row>
    <row r="432" spans="1:5">
      <c r="A432" t="s">
        <v>2590</v>
      </c>
      <c r="B432" t="s">
        <v>2590</v>
      </c>
      <c r="C432" t="s">
        <v>2304</v>
      </c>
      <c r="E432" t="s">
        <v>1124</v>
      </c>
    </row>
    <row r="433" spans="1:5">
      <c r="A433" t="s">
        <v>2591</v>
      </c>
      <c r="B433" t="s">
        <v>2591</v>
      </c>
      <c r="C433" t="s">
        <v>2304</v>
      </c>
      <c r="E433" t="s">
        <v>1783</v>
      </c>
    </row>
    <row r="434" s="83" customFormat="1" spans="1:5">
      <c r="A434" s="83" t="s">
        <v>2592</v>
      </c>
      <c r="B434" s="83" t="s">
        <v>2592</v>
      </c>
      <c r="C434" s="83" t="s">
        <v>2304</v>
      </c>
      <c r="E434" s="83" t="s">
        <v>1124</v>
      </c>
    </row>
    <row r="435" s="83" customFormat="1" spans="1:5">
      <c r="A435" s="83" t="s">
        <v>2593</v>
      </c>
      <c r="B435" s="83" t="s">
        <v>2593</v>
      </c>
      <c r="C435" s="83" t="s">
        <v>2304</v>
      </c>
      <c r="E435" s="83" t="s">
        <v>1124</v>
      </c>
    </row>
    <row r="436" spans="1:5">
      <c r="A436" t="s">
        <v>2594</v>
      </c>
      <c r="B436" t="s">
        <v>2594</v>
      </c>
      <c r="C436" t="s">
        <v>2304</v>
      </c>
      <c r="E436" t="s">
        <v>124</v>
      </c>
    </row>
    <row r="437" spans="1:5">
      <c r="A437" t="s">
        <v>2595</v>
      </c>
      <c r="B437" t="s">
        <v>2595</v>
      </c>
      <c r="C437" t="s">
        <v>2304</v>
      </c>
      <c r="E437" t="s">
        <v>1124</v>
      </c>
    </row>
    <row r="438" spans="1:5">
      <c r="A438" t="s">
        <v>2596</v>
      </c>
      <c r="B438" t="s">
        <v>2596</v>
      </c>
      <c r="C438" t="s">
        <v>2304</v>
      </c>
      <c r="E438" t="s">
        <v>1124</v>
      </c>
    </row>
    <row r="439" s="83" customFormat="1" spans="1:5">
      <c r="A439" s="83" t="s">
        <v>2597</v>
      </c>
      <c r="B439" s="83" t="s">
        <v>2597</v>
      </c>
      <c r="C439" s="83" t="s">
        <v>2304</v>
      </c>
      <c r="E439" s="83" t="s">
        <v>1124</v>
      </c>
    </row>
    <row r="440" spans="1:5">
      <c r="A440" t="s">
        <v>2598</v>
      </c>
      <c r="B440" t="s">
        <v>2598</v>
      </c>
      <c r="C440" t="s">
        <v>2304</v>
      </c>
      <c r="E440" t="s">
        <v>1124</v>
      </c>
    </row>
    <row r="441" spans="1:5">
      <c r="A441" t="s">
        <v>2599</v>
      </c>
      <c r="B441" t="s">
        <v>2599</v>
      </c>
      <c r="C441" t="s">
        <v>2304</v>
      </c>
      <c r="E441" t="s">
        <v>1124</v>
      </c>
    </row>
    <row r="442" spans="1:5">
      <c r="A442" t="s">
        <v>2600</v>
      </c>
      <c r="B442" t="s">
        <v>2601</v>
      </c>
      <c r="C442" t="s">
        <v>2304</v>
      </c>
      <c r="E442" t="s">
        <v>124</v>
      </c>
    </row>
    <row r="443" spans="1:5">
      <c r="A443" t="s">
        <v>2602</v>
      </c>
      <c r="B443" t="s">
        <v>2603</v>
      </c>
      <c r="C443" t="s">
        <v>2304</v>
      </c>
      <c r="E443" t="s">
        <v>124</v>
      </c>
    </row>
    <row r="444" spans="1:5">
      <c r="A444" t="s">
        <v>2604</v>
      </c>
      <c r="B444" t="s">
        <v>2604</v>
      </c>
      <c r="C444" t="s">
        <v>2304</v>
      </c>
      <c r="E444" t="s">
        <v>124</v>
      </c>
    </row>
    <row r="445" spans="1:5">
      <c r="A445" t="s">
        <v>2605</v>
      </c>
      <c r="B445" t="s">
        <v>2605</v>
      </c>
      <c r="C445" t="s">
        <v>2304</v>
      </c>
      <c r="E445" t="s">
        <v>1124</v>
      </c>
    </row>
    <row r="446" spans="1:5">
      <c r="A446" t="s">
        <v>2606</v>
      </c>
      <c r="B446" t="s">
        <v>2606</v>
      </c>
      <c r="C446" t="s">
        <v>2304</v>
      </c>
      <c r="E446" t="s">
        <v>287</v>
      </c>
    </row>
    <row r="447" spans="1:5">
      <c r="A447" t="s">
        <v>2607</v>
      </c>
      <c r="B447" t="s">
        <v>2607</v>
      </c>
      <c r="C447" t="s">
        <v>2304</v>
      </c>
      <c r="E447" t="s">
        <v>1124</v>
      </c>
    </row>
    <row r="448" s="83" customFormat="1" spans="1:5">
      <c r="A448" s="83" t="s">
        <v>2608</v>
      </c>
      <c r="B448" s="83" t="s">
        <v>2608</v>
      </c>
      <c r="C448" s="83" t="s">
        <v>2304</v>
      </c>
      <c r="E448" s="83" t="s">
        <v>1124</v>
      </c>
    </row>
    <row r="449" s="83" customFormat="1" spans="1:5">
      <c r="A449" s="83" t="s">
        <v>2609</v>
      </c>
      <c r="B449" s="83" t="s">
        <v>2609</v>
      </c>
      <c r="C449" s="83" t="s">
        <v>2304</v>
      </c>
      <c r="E449" s="83" t="s">
        <v>1124</v>
      </c>
    </row>
    <row r="450" spans="1:5">
      <c r="A450" t="s">
        <v>2610</v>
      </c>
      <c r="B450" t="s">
        <v>2610</v>
      </c>
      <c r="C450" t="s">
        <v>2304</v>
      </c>
      <c r="E450" t="s">
        <v>124</v>
      </c>
    </row>
    <row r="451" spans="1:5">
      <c r="A451" t="s">
        <v>2611</v>
      </c>
      <c r="B451" t="s">
        <v>2611</v>
      </c>
      <c r="C451" t="s">
        <v>2304</v>
      </c>
      <c r="E451" t="s">
        <v>1783</v>
      </c>
    </row>
    <row r="452" spans="1:5">
      <c r="A452" t="s">
        <v>2612</v>
      </c>
      <c r="B452" t="s">
        <v>2612</v>
      </c>
      <c r="C452" t="s">
        <v>2304</v>
      </c>
      <c r="E452" t="s">
        <v>287</v>
      </c>
    </row>
    <row r="453" spans="1:5">
      <c r="A453" t="s">
        <v>2613</v>
      </c>
      <c r="B453" t="s">
        <v>2613</v>
      </c>
      <c r="C453" t="s">
        <v>2304</v>
      </c>
      <c r="E453" t="s">
        <v>287</v>
      </c>
    </row>
    <row r="454" spans="1:5">
      <c r="A454" t="s">
        <v>2614</v>
      </c>
      <c r="B454" t="s">
        <v>2614</v>
      </c>
      <c r="C454" t="s">
        <v>2304</v>
      </c>
      <c r="E454" t="s">
        <v>287</v>
      </c>
    </row>
    <row r="455" spans="1:5">
      <c r="A455" t="s">
        <v>2615</v>
      </c>
      <c r="B455" t="s">
        <v>2615</v>
      </c>
      <c r="C455" t="s">
        <v>2304</v>
      </c>
      <c r="E455" t="s">
        <v>1124</v>
      </c>
    </row>
    <row r="456" spans="1:5">
      <c r="A456" t="s">
        <v>2616</v>
      </c>
      <c r="B456" t="s">
        <v>2616</v>
      </c>
      <c r="C456" t="s">
        <v>2304</v>
      </c>
      <c r="E456" t="s">
        <v>2370</v>
      </c>
    </row>
    <row r="457" spans="1:5">
      <c r="A457" t="s">
        <v>2617</v>
      </c>
      <c r="B457" t="s">
        <v>2617</v>
      </c>
      <c r="C457" t="s">
        <v>2304</v>
      </c>
      <c r="E457" t="s">
        <v>1124</v>
      </c>
    </row>
    <row r="458" spans="1:5">
      <c r="A458" t="s">
        <v>2618</v>
      </c>
      <c r="B458" t="s">
        <v>2618</v>
      </c>
      <c r="C458" t="s">
        <v>2304</v>
      </c>
      <c r="E458" t="s">
        <v>1783</v>
      </c>
    </row>
    <row r="459" spans="1:5">
      <c r="A459" t="s">
        <v>2619</v>
      </c>
      <c r="B459" t="s">
        <v>2619</v>
      </c>
      <c r="C459" t="s">
        <v>2304</v>
      </c>
      <c r="E459" t="s">
        <v>1783</v>
      </c>
    </row>
    <row r="460" spans="1:5">
      <c r="A460" t="s">
        <v>2620</v>
      </c>
      <c r="B460" t="s">
        <v>2620</v>
      </c>
      <c r="C460" t="s">
        <v>2304</v>
      </c>
      <c r="E460" t="s">
        <v>1783</v>
      </c>
    </row>
    <row r="461" spans="1:5">
      <c r="A461" t="s">
        <v>2621</v>
      </c>
      <c r="B461" t="s">
        <v>2622</v>
      </c>
      <c r="C461" t="s">
        <v>2304</v>
      </c>
      <c r="E461" t="s">
        <v>124</v>
      </c>
    </row>
    <row r="462" spans="1:5">
      <c r="A462" t="s">
        <v>2623</v>
      </c>
      <c r="B462" t="s">
        <v>2623</v>
      </c>
      <c r="C462" t="s">
        <v>2304</v>
      </c>
      <c r="E462" t="s">
        <v>2624</v>
      </c>
    </row>
    <row r="463" spans="1:5">
      <c r="A463" t="s">
        <v>785</v>
      </c>
      <c r="B463" t="s">
        <v>785</v>
      </c>
      <c r="C463" t="s">
        <v>2304</v>
      </c>
      <c r="E463" t="s">
        <v>377</v>
      </c>
    </row>
    <row r="464" spans="1:5">
      <c r="A464" t="s">
        <v>788</v>
      </c>
      <c r="B464" t="s">
        <v>788</v>
      </c>
      <c r="C464" t="s">
        <v>2304</v>
      </c>
      <c r="E464" t="s">
        <v>377</v>
      </c>
    </row>
    <row r="465" spans="1:5">
      <c r="A465" t="s">
        <v>2625</v>
      </c>
      <c r="B465" t="s">
        <v>789</v>
      </c>
      <c r="C465" t="s">
        <v>2304</v>
      </c>
      <c r="E465" t="s">
        <v>124</v>
      </c>
    </row>
    <row r="466" spans="1:5">
      <c r="A466" t="s">
        <v>2626</v>
      </c>
      <c r="B466" t="s">
        <v>2626</v>
      </c>
      <c r="C466" t="s">
        <v>2304</v>
      </c>
      <c r="E466" t="s">
        <v>805</v>
      </c>
    </row>
    <row r="467" spans="1:5">
      <c r="A467" t="s">
        <v>2627</v>
      </c>
      <c r="B467" t="s">
        <v>2627</v>
      </c>
      <c r="C467" t="s">
        <v>2304</v>
      </c>
      <c r="E467" t="s">
        <v>803</v>
      </c>
    </row>
    <row r="468" spans="1:5">
      <c r="A468" t="s">
        <v>2628</v>
      </c>
      <c r="B468" t="s">
        <v>2628</v>
      </c>
      <c r="C468" t="s">
        <v>2304</v>
      </c>
      <c r="E468" t="s">
        <v>805</v>
      </c>
    </row>
    <row r="469" s="83" customFormat="1" spans="1:5">
      <c r="A469" s="83" t="s">
        <v>2629</v>
      </c>
      <c r="B469" s="83" t="s">
        <v>2630</v>
      </c>
      <c r="C469" s="83" t="s">
        <v>2304</v>
      </c>
      <c r="E469" s="83" t="s">
        <v>1124</v>
      </c>
    </row>
    <row r="470" s="83" customFormat="1" spans="1:5">
      <c r="A470" s="83" t="s">
        <v>2631</v>
      </c>
      <c r="B470" s="83" t="s">
        <v>2631</v>
      </c>
      <c r="C470" s="83" t="s">
        <v>2304</v>
      </c>
      <c r="E470" s="83" t="s">
        <v>1124</v>
      </c>
    </row>
    <row r="471" spans="1:5">
      <c r="A471" t="s">
        <v>2632</v>
      </c>
      <c r="B471" t="s">
        <v>2632</v>
      </c>
      <c r="C471" t="s">
        <v>2304</v>
      </c>
      <c r="E471" t="s">
        <v>287</v>
      </c>
    </row>
    <row r="472" spans="1:5">
      <c r="A472" t="s">
        <v>898</v>
      </c>
      <c r="B472" t="s">
        <v>898</v>
      </c>
      <c r="C472" t="s">
        <v>2304</v>
      </c>
      <c r="E472" t="s">
        <v>124</v>
      </c>
    </row>
    <row r="473" spans="1:5">
      <c r="A473" t="s">
        <v>897</v>
      </c>
      <c r="B473" t="s">
        <v>897</v>
      </c>
      <c r="C473" t="s">
        <v>2304</v>
      </c>
      <c r="E473" t="s">
        <v>124</v>
      </c>
    </row>
    <row r="474" spans="1:5">
      <c r="A474" t="s">
        <v>932</v>
      </c>
      <c r="B474" t="s">
        <v>932</v>
      </c>
      <c r="C474" t="s">
        <v>2304</v>
      </c>
      <c r="E474" t="s">
        <v>124</v>
      </c>
    </row>
    <row r="475" spans="1:5">
      <c r="A475" t="s">
        <v>2633</v>
      </c>
      <c r="B475" t="s">
        <v>964</v>
      </c>
      <c r="C475" t="s">
        <v>2304</v>
      </c>
      <c r="E475" t="s">
        <v>124</v>
      </c>
    </row>
    <row r="476" spans="1:5">
      <c r="A476" t="s">
        <v>2634</v>
      </c>
      <c r="B476" t="s">
        <v>2634</v>
      </c>
      <c r="C476" t="s">
        <v>2304</v>
      </c>
      <c r="E476" t="s">
        <v>1783</v>
      </c>
    </row>
    <row r="477" spans="1:5">
      <c r="A477" t="s">
        <v>904</v>
      </c>
      <c r="B477" t="s">
        <v>904</v>
      </c>
      <c r="C477" t="s">
        <v>2304</v>
      </c>
      <c r="E477" t="s">
        <v>124</v>
      </c>
    </row>
    <row r="478" spans="1:5">
      <c r="A478" t="s">
        <v>2635</v>
      </c>
      <c r="B478" t="s">
        <v>2636</v>
      </c>
      <c r="C478" t="s">
        <v>2304</v>
      </c>
      <c r="E478" t="s">
        <v>124</v>
      </c>
    </row>
    <row r="479" spans="1:5">
      <c r="A479" t="s">
        <v>2637</v>
      </c>
      <c r="B479" t="s">
        <v>2638</v>
      </c>
      <c r="C479" t="s">
        <v>2304</v>
      </c>
      <c r="E479" t="s">
        <v>124</v>
      </c>
    </row>
    <row r="480" spans="1:5">
      <c r="A480" t="s">
        <v>2639</v>
      </c>
      <c r="B480" t="s">
        <v>2639</v>
      </c>
      <c r="C480" t="s">
        <v>2304</v>
      </c>
      <c r="E480" t="s">
        <v>124</v>
      </c>
    </row>
    <row r="481" spans="1:5">
      <c r="A481" t="s">
        <v>2640</v>
      </c>
      <c r="B481" t="s">
        <v>2640</v>
      </c>
      <c r="C481" t="s">
        <v>2304</v>
      </c>
      <c r="E481" t="s">
        <v>803</v>
      </c>
    </row>
    <row r="482" spans="1:5">
      <c r="A482" t="s">
        <v>2641</v>
      </c>
      <c r="B482" t="s">
        <v>2641</v>
      </c>
      <c r="C482" t="s">
        <v>2304</v>
      </c>
      <c r="E482" t="s">
        <v>1783</v>
      </c>
    </row>
    <row r="483" spans="1:5">
      <c r="A483" t="s">
        <v>2642</v>
      </c>
      <c r="B483" t="s">
        <v>2642</v>
      </c>
      <c r="C483" t="s">
        <v>2304</v>
      </c>
      <c r="E483" t="s">
        <v>124</v>
      </c>
    </row>
    <row r="484" spans="1:5">
      <c r="A484" t="s">
        <v>2643</v>
      </c>
      <c r="B484" t="s">
        <v>2644</v>
      </c>
      <c r="C484" t="s">
        <v>2304</v>
      </c>
      <c r="E484" t="s">
        <v>2645</v>
      </c>
    </row>
    <row r="485" spans="1:5">
      <c r="A485" t="s">
        <v>2646</v>
      </c>
      <c r="B485" t="s">
        <v>2646</v>
      </c>
      <c r="C485" t="s">
        <v>2304</v>
      </c>
      <c r="E485" t="s">
        <v>124</v>
      </c>
    </row>
    <row r="486" spans="1:5">
      <c r="A486" t="s">
        <v>2647</v>
      </c>
      <c r="B486" t="s">
        <v>2648</v>
      </c>
      <c r="C486" t="s">
        <v>2304</v>
      </c>
      <c r="E486" t="s">
        <v>377</v>
      </c>
    </row>
    <row r="487" spans="1:5">
      <c r="A487" t="s">
        <v>2649</v>
      </c>
      <c r="B487" t="s">
        <v>2649</v>
      </c>
      <c r="C487" t="s">
        <v>2304</v>
      </c>
      <c r="E487" t="s">
        <v>124</v>
      </c>
    </row>
    <row r="488" spans="1:5">
      <c r="A488" t="s">
        <v>2650</v>
      </c>
      <c r="B488" t="s">
        <v>2650</v>
      </c>
      <c r="C488" t="s">
        <v>2304</v>
      </c>
      <c r="E488" t="s">
        <v>124</v>
      </c>
    </row>
    <row r="489" spans="1:5">
      <c r="A489" t="s">
        <v>2651</v>
      </c>
      <c r="B489" t="s">
        <v>2651</v>
      </c>
      <c r="C489" t="s">
        <v>2304</v>
      </c>
      <c r="E489" t="s">
        <v>124</v>
      </c>
    </row>
    <row r="490" spans="1:5">
      <c r="A490" t="s">
        <v>2652</v>
      </c>
      <c r="B490" t="s">
        <v>2652</v>
      </c>
      <c r="C490" t="s">
        <v>2304</v>
      </c>
      <c r="E490" t="s">
        <v>124</v>
      </c>
    </row>
    <row r="491" spans="1:5">
      <c r="A491" t="s">
        <v>893</v>
      </c>
      <c r="B491" t="s">
        <v>893</v>
      </c>
      <c r="C491" t="s">
        <v>2304</v>
      </c>
      <c r="E491" t="s">
        <v>124</v>
      </c>
    </row>
    <row r="492" spans="1:5">
      <c r="A492" t="s">
        <v>2653</v>
      </c>
      <c r="B492" t="s">
        <v>2654</v>
      </c>
      <c r="C492" t="s">
        <v>2304</v>
      </c>
      <c r="E492" t="s">
        <v>124</v>
      </c>
    </row>
    <row r="493" spans="1:5">
      <c r="A493" t="s">
        <v>2655</v>
      </c>
      <c r="B493" t="s">
        <v>916</v>
      </c>
      <c r="C493" t="s">
        <v>2304</v>
      </c>
      <c r="E493" t="s">
        <v>124</v>
      </c>
    </row>
    <row r="494" spans="1:5">
      <c r="A494" t="s">
        <v>2656</v>
      </c>
      <c r="B494" t="s">
        <v>2656</v>
      </c>
      <c r="C494" t="s">
        <v>2304</v>
      </c>
      <c r="E494" t="s">
        <v>124</v>
      </c>
    </row>
    <row r="495" spans="1:5">
      <c r="A495" t="s">
        <v>2657</v>
      </c>
      <c r="B495" t="s">
        <v>2657</v>
      </c>
      <c r="C495" t="s">
        <v>2304</v>
      </c>
      <c r="E495" t="s">
        <v>124</v>
      </c>
    </row>
    <row r="496" spans="1:5">
      <c r="A496" t="s">
        <v>2658</v>
      </c>
      <c r="B496" t="s">
        <v>2658</v>
      </c>
      <c r="C496" t="s">
        <v>2304</v>
      </c>
      <c r="E496" t="s">
        <v>124</v>
      </c>
    </row>
    <row r="497" spans="1:5">
      <c r="A497" t="s">
        <v>2659</v>
      </c>
      <c r="B497" t="s">
        <v>2659</v>
      </c>
      <c r="C497" t="s">
        <v>2304</v>
      </c>
      <c r="E497" t="s">
        <v>1124</v>
      </c>
    </row>
    <row r="498" spans="1:5">
      <c r="A498" t="s">
        <v>2660</v>
      </c>
      <c r="B498" t="s">
        <v>2660</v>
      </c>
      <c r="C498" t="s">
        <v>2304</v>
      </c>
      <c r="E498" t="s">
        <v>1124</v>
      </c>
    </row>
    <row r="499" spans="1:5">
      <c r="A499" t="s">
        <v>2661</v>
      </c>
      <c r="B499" t="s">
        <v>2661</v>
      </c>
      <c r="C499" t="s">
        <v>2304</v>
      </c>
      <c r="E499" t="s">
        <v>1783</v>
      </c>
    </row>
    <row r="500" spans="1:5">
      <c r="A500" t="s">
        <v>894</v>
      </c>
      <c r="B500" t="s">
        <v>894</v>
      </c>
      <c r="C500" t="s">
        <v>2304</v>
      </c>
      <c r="E500" t="s">
        <v>124</v>
      </c>
    </row>
    <row r="501" spans="1:5">
      <c r="A501" t="s">
        <v>2662</v>
      </c>
      <c r="B501" t="s">
        <v>2662</v>
      </c>
      <c r="C501" t="s">
        <v>2304</v>
      </c>
      <c r="E501" t="s">
        <v>1124</v>
      </c>
    </row>
    <row r="502" spans="1:5">
      <c r="A502" t="s">
        <v>2663</v>
      </c>
      <c r="B502" t="s">
        <v>2663</v>
      </c>
      <c r="C502" t="s">
        <v>2304</v>
      </c>
      <c r="E502" t="s">
        <v>1124</v>
      </c>
    </row>
    <row r="503" spans="1:5">
      <c r="A503" t="s">
        <v>2664</v>
      </c>
      <c r="B503" t="s">
        <v>2664</v>
      </c>
      <c r="C503" t="s">
        <v>2304</v>
      </c>
      <c r="E503" t="s">
        <v>1124</v>
      </c>
    </row>
    <row r="504" spans="1:5">
      <c r="A504" t="s">
        <v>2665</v>
      </c>
      <c r="B504" t="s">
        <v>2665</v>
      </c>
      <c r="C504" t="s">
        <v>2304</v>
      </c>
      <c r="E504" t="s">
        <v>1124</v>
      </c>
    </row>
    <row r="505" spans="1:5">
      <c r="A505" t="s">
        <v>2666</v>
      </c>
      <c r="B505" t="s">
        <v>2666</v>
      </c>
      <c r="C505" t="s">
        <v>2304</v>
      </c>
      <c r="E505" t="s">
        <v>1124</v>
      </c>
    </row>
    <row r="506" spans="1:5">
      <c r="A506" t="s">
        <v>2667</v>
      </c>
      <c r="B506" t="s">
        <v>2667</v>
      </c>
      <c r="C506" t="s">
        <v>2304</v>
      </c>
      <c r="E506" t="s">
        <v>124</v>
      </c>
    </row>
    <row r="507" spans="1:5">
      <c r="A507" t="s">
        <v>889</v>
      </c>
      <c r="B507" t="s">
        <v>889</v>
      </c>
      <c r="C507" t="s">
        <v>2304</v>
      </c>
      <c r="E507" t="s">
        <v>124</v>
      </c>
    </row>
    <row r="508" spans="1:5">
      <c r="A508" t="s">
        <v>917</v>
      </c>
      <c r="B508" t="s">
        <v>917</v>
      </c>
      <c r="C508" t="s">
        <v>2304</v>
      </c>
      <c r="E508" t="s">
        <v>124</v>
      </c>
    </row>
    <row r="509" spans="1:5">
      <c r="A509" t="s">
        <v>2668</v>
      </c>
      <c r="B509" t="s">
        <v>2668</v>
      </c>
      <c r="C509" t="s">
        <v>2304</v>
      </c>
      <c r="E509" t="s">
        <v>124</v>
      </c>
    </row>
    <row r="510" spans="1:5">
      <c r="A510" t="s">
        <v>2669</v>
      </c>
      <c r="B510" t="s">
        <v>2669</v>
      </c>
      <c r="C510" t="s">
        <v>2304</v>
      </c>
      <c r="E510" t="s">
        <v>124</v>
      </c>
    </row>
    <row r="511" spans="1:5">
      <c r="A511" t="s">
        <v>2670</v>
      </c>
      <c r="B511" t="s">
        <v>2671</v>
      </c>
      <c r="C511" t="s">
        <v>2304</v>
      </c>
      <c r="E511" t="s">
        <v>124</v>
      </c>
    </row>
    <row r="512" spans="1:5">
      <c r="A512" t="s">
        <v>2672</v>
      </c>
      <c r="B512" t="s">
        <v>2672</v>
      </c>
      <c r="C512" t="s">
        <v>2304</v>
      </c>
      <c r="E512" t="s">
        <v>1124</v>
      </c>
    </row>
    <row r="513" spans="1:5">
      <c r="A513" t="s">
        <v>2673</v>
      </c>
      <c r="B513" t="s">
        <v>2673</v>
      </c>
      <c r="C513" t="s">
        <v>2304</v>
      </c>
      <c r="E513" t="s">
        <v>2674</v>
      </c>
    </row>
    <row r="514" spans="1:5">
      <c r="A514" t="s">
        <v>2675</v>
      </c>
      <c r="B514" t="s">
        <v>2675</v>
      </c>
      <c r="C514" t="s">
        <v>2304</v>
      </c>
      <c r="E514" t="s">
        <v>1783</v>
      </c>
    </row>
    <row r="515" s="83" customFormat="1" spans="1:5">
      <c r="A515" s="83" t="s">
        <v>2676</v>
      </c>
      <c r="B515" s="83" t="s">
        <v>2676</v>
      </c>
      <c r="C515" s="83" t="s">
        <v>2304</v>
      </c>
      <c r="E515" s="83" t="s">
        <v>1783</v>
      </c>
    </row>
    <row r="516" s="83" customFormat="1" spans="1:5">
      <c r="A516" s="83" t="s">
        <v>2677</v>
      </c>
      <c r="B516" s="83" t="s">
        <v>2677</v>
      </c>
      <c r="C516" s="83" t="s">
        <v>2304</v>
      </c>
      <c r="E516" s="83" t="s">
        <v>1124</v>
      </c>
    </row>
    <row r="517" spans="1:5">
      <c r="A517" t="s">
        <v>2678</v>
      </c>
      <c r="B517" t="s">
        <v>948</v>
      </c>
      <c r="C517" t="s">
        <v>2304</v>
      </c>
      <c r="E517" t="s">
        <v>124</v>
      </c>
    </row>
    <row r="518" spans="1:5">
      <c r="A518" t="s">
        <v>2679</v>
      </c>
      <c r="B518" t="s">
        <v>920</v>
      </c>
      <c r="C518" t="s">
        <v>2304</v>
      </c>
      <c r="E518" t="s">
        <v>124</v>
      </c>
    </row>
    <row r="519" spans="1:5">
      <c r="A519" t="s">
        <v>2680</v>
      </c>
      <c r="B519" t="s">
        <v>2680</v>
      </c>
      <c r="C519" t="s">
        <v>2304</v>
      </c>
      <c r="E519" t="s">
        <v>805</v>
      </c>
    </row>
    <row r="520" spans="1:5">
      <c r="A520" t="s">
        <v>887</v>
      </c>
      <c r="B520" t="s">
        <v>887</v>
      </c>
      <c r="C520" t="s">
        <v>2304</v>
      </c>
      <c r="E520" t="s">
        <v>124</v>
      </c>
    </row>
    <row r="521" spans="1:5">
      <c r="A521" t="s">
        <v>2681</v>
      </c>
      <c r="B521" t="s">
        <v>2681</v>
      </c>
      <c r="C521" t="s">
        <v>2304</v>
      </c>
      <c r="E521" t="s">
        <v>124</v>
      </c>
    </row>
    <row r="522" spans="1:5">
      <c r="A522" t="s">
        <v>2682</v>
      </c>
      <c r="B522" t="s">
        <v>2682</v>
      </c>
      <c r="C522" t="s">
        <v>2304</v>
      </c>
      <c r="E522" t="s">
        <v>124</v>
      </c>
    </row>
    <row r="523" spans="1:5">
      <c r="A523" t="s">
        <v>2683</v>
      </c>
      <c r="B523" t="s">
        <v>2683</v>
      </c>
      <c r="C523" t="s">
        <v>2304</v>
      </c>
      <c r="E523" t="s">
        <v>124</v>
      </c>
    </row>
    <row r="524" spans="1:5">
      <c r="A524" t="s">
        <v>2684</v>
      </c>
      <c r="B524" t="s">
        <v>2684</v>
      </c>
      <c r="C524" t="s">
        <v>2304</v>
      </c>
      <c r="E524" t="s">
        <v>377</v>
      </c>
    </row>
    <row r="525" spans="1:5">
      <c r="A525" t="s">
        <v>2685</v>
      </c>
      <c r="B525" t="s">
        <v>2685</v>
      </c>
      <c r="C525" t="s">
        <v>2304</v>
      </c>
      <c r="E525" t="s">
        <v>377</v>
      </c>
    </row>
    <row r="526" spans="1:5">
      <c r="A526" t="s">
        <v>2686</v>
      </c>
      <c r="B526" t="s">
        <v>2686</v>
      </c>
      <c r="C526" t="s">
        <v>2304</v>
      </c>
      <c r="E526" t="s">
        <v>124</v>
      </c>
    </row>
    <row r="527" spans="1:5">
      <c r="A527" t="s">
        <v>906</v>
      </c>
      <c r="B527" t="s">
        <v>906</v>
      </c>
      <c r="C527" t="s">
        <v>2304</v>
      </c>
      <c r="E527" t="s">
        <v>124</v>
      </c>
    </row>
    <row r="528" spans="1:5">
      <c r="A528" t="s">
        <v>942</v>
      </c>
      <c r="B528" t="s">
        <v>942</v>
      </c>
      <c r="C528" t="s">
        <v>2304</v>
      </c>
      <c r="E528" t="s">
        <v>124</v>
      </c>
    </row>
    <row r="529" spans="1:5">
      <c r="A529" t="s">
        <v>2687</v>
      </c>
      <c r="B529" t="s">
        <v>2687</v>
      </c>
      <c r="C529" t="s">
        <v>2304</v>
      </c>
      <c r="E529" t="s">
        <v>1124</v>
      </c>
    </row>
    <row r="530" spans="1:5">
      <c r="A530" t="s">
        <v>2688</v>
      </c>
      <c r="B530" t="s">
        <v>2688</v>
      </c>
      <c r="C530" t="s">
        <v>2304</v>
      </c>
      <c r="E530" t="s">
        <v>1124</v>
      </c>
    </row>
    <row r="531" spans="1:5">
      <c r="A531" t="s">
        <v>2689</v>
      </c>
      <c r="B531" t="s">
        <v>2689</v>
      </c>
      <c r="C531" t="s">
        <v>2304</v>
      </c>
      <c r="E531" t="s">
        <v>1124</v>
      </c>
    </row>
    <row r="532" spans="1:5">
      <c r="A532" t="s">
        <v>2690</v>
      </c>
      <c r="B532" t="s">
        <v>2690</v>
      </c>
      <c r="C532" t="s">
        <v>2304</v>
      </c>
      <c r="E532" t="s">
        <v>1783</v>
      </c>
    </row>
    <row r="533" spans="1:5">
      <c r="A533" t="s">
        <v>2691</v>
      </c>
      <c r="B533" t="s">
        <v>2691</v>
      </c>
      <c r="C533" t="s">
        <v>2304</v>
      </c>
      <c r="E533" t="s">
        <v>1783</v>
      </c>
    </row>
    <row r="534" s="83" customFormat="1" spans="1:5">
      <c r="A534" s="83" t="s">
        <v>2692</v>
      </c>
      <c r="B534" s="83" t="s">
        <v>2692</v>
      </c>
      <c r="C534" s="83" t="s">
        <v>2304</v>
      </c>
      <c r="E534" s="83" t="s">
        <v>1124</v>
      </c>
    </row>
    <row r="535" spans="1:5">
      <c r="A535" t="s">
        <v>2693</v>
      </c>
      <c r="B535" t="s">
        <v>2693</v>
      </c>
      <c r="C535" t="s">
        <v>2304</v>
      </c>
      <c r="E535" t="s">
        <v>1124</v>
      </c>
    </row>
    <row r="536" spans="1:5">
      <c r="A536" t="s">
        <v>2694</v>
      </c>
      <c r="B536" t="s">
        <v>2694</v>
      </c>
      <c r="C536" t="s">
        <v>2304</v>
      </c>
      <c r="E536" t="s">
        <v>1124</v>
      </c>
    </row>
    <row r="537" spans="1:5">
      <c r="A537" t="s">
        <v>2695</v>
      </c>
      <c r="B537" t="s">
        <v>2695</v>
      </c>
      <c r="C537" t="s">
        <v>2304</v>
      </c>
      <c r="E537" t="s">
        <v>1783</v>
      </c>
    </row>
    <row r="538" s="83" customFormat="1" spans="1:5">
      <c r="A538" s="83" t="s">
        <v>2696</v>
      </c>
      <c r="B538" s="83" t="s">
        <v>2696</v>
      </c>
      <c r="C538" s="83" t="s">
        <v>2304</v>
      </c>
      <c r="E538" s="83" t="s">
        <v>1124</v>
      </c>
    </row>
    <row r="539" s="83" customFormat="1" spans="1:5">
      <c r="A539" s="83" t="s">
        <v>2697</v>
      </c>
      <c r="B539" s="83" t="s">
        <v>2697</v>
      </c>
      <c r="C539" s="83" t="s">
        <v>2304</v>
      </c>
      <c r="E539" s="83" t="s">
        <v>1124</v>
      </c>
    </row>
    <row r="540" spans="1:5">
      <c r="A540" t="s">
        <v>2698</v>
      </c>
      <c r="B540" t="s">
        <v>2698</v>
      </c>
      <c r="C540" t="s">
        <v>2304</v>
      </c>
      <c r="E540" t="s">
        <v>1124</v>
      </c>
    </row>
    <row r="541" spans="1:5">
      <c r="A541" t="s">
        <v>2699</v>
      </c>
      <c r="B541" t="s">
        <v>2699</v>
      </c>
      <c r="C541" t="s">
        <v>2304</v>
      </c>
      <c r="E541" t="s">
        <v>1124</v>
      </c>
    </row>
    <row r="542" spans="1:5">
      <c r="A542" t="s">
        <v>2700</v>
      </c>
      <c r="B542" t="s">
        <v>2700</v>
      </c>
      <c r="C542" t="s">
        <v>2304</v>
      </c>
      <c r="E542" t="s">
        <v>1783</v>
      </c>
    </row>
    <row r="543" s="83" customFormat="1" spans="1:5">
      <c r="A543" s="83" t="s">
        <v>2701</v>
      </c>
      <c r="B543" s="83" t="s">
        <v>2701</v>
      </c>
      <c r="C543" s="83" t="s">
        <v>2304</v>
      </c>
      <c r="E543" s="83" t="s">
        <v>1124</v>
      </c>
    </row>
    <row r="544" s="83" customFormat="1" spans="1:5">
      <c r="A544" s="83" t="s">
        <v>2702</v>
      </c>
      <c r="B544" s="83" t="s">
        <v>2702</v>
      </c>
      <c r="C544" s="83" t="s">
        <v>2304</v>
      </c>
      <c r="E544" s="83" t="s">
        <v>1124</v>
      </c>
    </row>
    <row r="545" spans="1:5">
      <c r="A545" t="s">
        <v>2703</v>
      </c>
      <c r="B545" t="s">
        <v>2703</v>
      </c>
      <c r="C545" t="s">
        <v>2304</v>
      </c>
      <c r="E545" t="s">
        <v>124</v>
      </c>
    </row>
    <row r="546" spans="1:5">
      <c r="A546" t="s">
        <v>2704</v>
      </c>
      <c r="B546" t="s">
        <v>2704</v>
      </c>
      <c r="C546" t="s">
        <v>2304</v>
      </c>
      <c r="E546" t="s">
        <v>124</v>
      </c>
    </row>
    <row r="547" spans="1:5">
      <c r="A547" t="s">
        <v>2705</v>
      </c>
      <c r="B547" t="s">
        <v>2705</v>
      </c>
      <c r="C547" t="s">
        <v>2304</v>
      </c>
      <c r="E547" t="s">
        <v>124</v>
      </c>
    </row>
    <row r="548" spans="1:5">
      <c r="A548" t="s">
        <v>2706</v>
      </c>
      <c r="B548" t="s">
        <v>2706</v>
      </c>
      <c r="C548" t="s">
        <v>2304</v>
      </c>
      <c r="E548" t="s">
        <v>124</v>
      </c>
    </row>
    <row r="549" spans="1:5">
      <c r="A549" t="s">
        <v>2707</v>
      </c>
      <c r="B549" t="s">
        <v>2707</v>
      </c>
      <c r="C549" t="s">
        <v>2304</v>
      </c>
      <c r="E549" t="s">
        <v>124</v>
      </c>
    </row>
    <row r="550" spans="1:5">
      <c r="A550" t="s">
        <v>2708</v>
      </c>
      <c r="B550" t="s">
        <v>941</v>
      </c>
      <c r="C550" t="s">
        <v>2304</v>
      </c>
      <c r="E550" t="s">
        <v>124</v>
      </c>
    </row>
    <row r="551" spans="1:5">
      <c r="A551" t="s">
        <v>2709</v>
      </c>
      <c r="B551" t="s">
        <v>2709</v>
      </c>
      <c r="C551" t="s">
        <v>2304</v>
      </c>
      <c r="E551" t="s">
        <v>287</v>
      </c>
    </row>
    <row r="552" spans="1:5">
      <c r="A552" t="s">
        <v>2710</v>
      </c>
      <c r="B552" t="s">
        <v>2710</v>
      </c>
      <c r="C552" t="s">
        <v>2304</v>
      </c>
      <c r="E552" t="s">
        <v>287</v>
      </c>
    </row>
    <row r="553" spans="1:5">
      <c r="A553" t="s">
        <v>2711</v>
      </c>
      <c r="B553" t="s">
        <v>2711</v>
      </c>
      <c r="C553" t="s">
        <v>2304</v>
      </c>
      <c r="E553" t="s">
        <v>124</v>
      </c>
    </row>
    <row r="554" spans="1:5">
      <c r="A554" t="s">
        <v>2712</v>
      </c>
      <c r="B554" t="s">
        <v>2712</v>
      </c>
      <c r="C554" t="s">
        <v>2304</v>
      </c>
      <c r="E554" t="s">
        <v>1124</v>
      </c>
    </row>
    <row r="555" spans="1:5">
      <c r="A555" t="s">
        <v>2713</v>
      </c>
      <c r="B555" t="s">
        <v>2713</v>
      </c>
      <c r="C555" t="s">
        <v>2304</v>
      </c>
      <c r="E555" t="s">
        <v>124</v>
      </c>
    </row>
    <row r="556" spans="1:5">
      <c r="A556" t="s">
        <v>2714</v>
      </c>
      <c r="B556" t="s">
        <v>2714</v>
      </c>
      <c r="C556" t="s">
        <v>2304</v>
      </c>
      <c r="E556" t="s">
        <v>124</v>
      </c>
    </row>
    <row r="557" spans="1:5">
      <c r="A557" t="s">
        <v>2715</v>
      </c>
      <c r="B557" t="s">
        <v>2715</v>
      </c>
      <c r="C557" t="s">
        <v>2304</v>
      </c>
      <c r="E557" t="s">
        <v>1124</v>
      </c>
    </row>
    <row r="558" s="83" customFormat="1" spans="1:5">
      <c r="A558" s="83" t="s">
        <v>2716</v>
      </c>
      <c r="B558" s="83" t="s">
        <v>2716</v>
      </c>
      <c r="C558" s="83" t="s">
        <v>2304</v>
      </c>
      <c r="E558" s="83" t="s">
        <v>1124</v>
      </c>
    </row>
    <row r="559" spans="1:5">
      <c r="A559" t="s">
        <v>2717</v>
      </c>
      <c r="B559" t="s">
        <v>2717</v>
      </c>
      <c r="C559" t="s">
        <v>2304</v>
      </c>
      <c r="E559" t="s">
        <v>1124</v>
      </c>
    </row>
    <row r="560" spans="1:5">
      <c r="A560" t="s">
        <v>2718</v>
      </c>
      <c r="B560" t="s">
        <v>2718</v>
      </c>
      <c r="C560" t="s">
        <v>2304</v>
      </c>
      <c r="E560" t="s">
        <v>1124</v>
      </c>
    </row>
    <row r="561" spans="1:5">
      <c r="A561" t="s">
        <v>2719</v>
      </c>
      <c r="B561" t="s">
        <v>2719</v>
      </c>
      <c r="C561" t="s">
        <v>2304</v>
      </c>
      <c r="E561" t="s">
        <v>1124</v>
      </c>
    </row>
    <row r="562" spans="1:5">
      <c r="A562" t="s">
        <v>2720</v>
      </c>
      <c r="B562" t="s">
        <v>905</v>
      </c>
      <c r="C562" t="s">
        <v>2304</v>
      </c>
      <c r="E562" t="s">
        <v>124</v>
      </c>
    </row>
    <row r="563" spans="1:5">
      <c r="A563" t="s">
        <v>2721</v>
      </c>
      <c r="B563" t="s">
        <v>2721</v>
      </c>
      <c r="C563" t="s">
        <v>2304</v>
      </c>
      <c r="E563" t="s">
        <v>287</v>
      </c>
    </row>
    <row r="564" spans="1:5">
      <c r="A564" t="s">
        <v>2722</v>
      </c>
      <c r="B564" t="s">
        <v>2722</v>
      </c>
      <c r="C564" t="s">
        <v>2304</v>
      </c>
      <c r="E564" t="s">
        <v>287</v>
      </c>
    </row>
    <row r="565" spans="1:5">
      <c r="A565" t="s">
        <v>2723</v>
      </c>
      <c r="B565" t="s">
        <v>2723</v>
      </c>
      <c r="C565" t="s">
        <v>2304</v>
      </c>
      <c r="E565" t="s">
        <v>287</v>
      </c>
    </row>
    <row r="566" spans="1:5">
      <c r="A566" t="s">
        <v>2724</v>
      </c>
      <c r="B566" t="s">
        <v>2725</v>
      </c>
      <c r="C566" t="s">
        <v>2304</v>
      </c>
      <c r="E566" t="s">
        <v>1124</v>
      </c>
    </row>
    <row r="567" spans="1:5">
      <c r="A567" t="s">
        <v>2726</v>
      </c>
      <c r="B567" t="s">
        <v>2726</v>
      </c>
      <c r="C567" t="s">
        <v>2304</v>
      </c>
      <c r="E567" t="s">
        <v>124</v>
      </c>
    </row>
    <row r="568" spans="1:5">
      <c r="A568" t="s">
        <v>953</v>
      </c>
      <c r="B568" t="s">
        <v>953</v>
      </c>
      <c r="C568" t="s">
        <v>2304</v>
      </c>
      <c r="E568" t="s">
        <v>124</v>
      </c>
    </row>
    <row r="569" s="83" customFormat="1" spans="1:5">
      <c r="A569" s="83" t="s">
        <v>2727</v>
      </c>
      <c r="B569" s="83" t="s">
        <v>2727</v>
      </c>
      <c r="C569" s="83" t="s">
        <v>2304</v>
      </c>
      <c r="E569" s="83" t="s">
        <v>1783</v>
      </c>
    </row>
    <row r="570" s="83" customFormat="1" spans="1:5">
      <c r="A570" s="83" t="s">
        <v>2728</v>
      </c>
      <c r="B570" s="83" t="s">
        <v>2728</v>
      </c>
      <c r="C570" s="83" t="s">
        <v>2304</v>
      </c>
      <c r="E570" s="83" t="s">
        <v>1783</v>
      </c>
    </row>
    <row r="571" spans="1:5">
      <c r="A571" t="s">
        <v>2729</v>
      </c>
      <c r="B571" t="s">
        <v>2729</v>
      </c>
      <c r="C571" t="s">
        <v>2304</v>
      </c>
      <c r="E571" t="s">
        <v>1124</v>
      </c>
    </row>
    <row r="572" spans="1:5">
      <c r="A572" t="s">
        <v>2730</v>
      </c>
      <c r="B572" t="s">
        <v>2730</v>
      </c>
      <c r="C572" t="s">
        <v>2304</v>
      </c>
      <c r="E572" t="s">
        <v>1783</v>
      </c>
    </row>
    <row r="573" spans="1:5">
      <c r="A573" t="s">
        <v>2731</v>
      </c>
      <c r="B573" t="s">
        <v>2731</v>
      </c>
      <c r="C573" t="s">
        <v>2304</v>
      </c>
      <c r="E573" t="s">
        <v>124</v>
      </c>
    </row>
    <row r="574" spans="1:5">
      <c r="A574" t="s">
        <v>2732</v>
      </c>
      <c r="B574" t="s">
        <v>2732</v>
      </c>
      <c r="C574" t="s">
        <v>2304</v>
      </c>
      <c r="E574" t="s">
        <v>287</v>
      </c>
    </row>
    <row r="575" spans="1:5">
      <c r="A575" t="s">
        <v>895</v>
      </c>
      <c r="B575" t="s">
        <v>895</v>
      </c>
      <c r="C575" t="s">
        <v>2304</v>
      </c>
      <c r="E575" t="s">
        <v>124</v>
      </c>
    </row>
    <row r="576" spans="1:5">
      <c r="A576" t="s">
        <v>2733</v>
      </c>
      <c r="B576" t="s">
        <v>2733</v>
      </c>
      <c r="C576" t="s">
        <v>2304</v>
      </c>
      <c r="E576" t="s">
        <v>124</v>
      </c>
    </row>
    <row r="577" spans="1:5">
      <c r="A577" t="s">
        <v>2734</v>
      </c>
      <c r="B577" t="s">
        <v>2734</v>
      </c>
      <c r="C577" t="s">
        <v>2304</v>
      </c>
      <c r="E577" t="s">
        <v>124</v>
      </c>
    </row>
    <row r="578" spans="1:5">
      <c r="A578" t="s">
        <v>2735</v>
      </c>
      <c r="B578" t="s">
        <v>2735</v>
      </c>
      <c r="C578" t="s">
        <v>2304</v>
      </c>
      <c r="E578" t="s">
        <v>287</v>
      </c>
    </row>
    <row r="579" spans="1:5">
      <c r="A579" t="s">
        <v>2736</v>
      </c>
      <c r="B579" t="s">
        <v>2736</v>
      </c>
      <c r="C579" t="s">
        <v>2304</v>
      </c>
      <c r="E579" t="s">
        <v>287</v>
      </c>
    </row>
    <row r="580" spans="1:5">
      <c r="A580" t="s">
        <v>2737</v>
      </c>
      <c r="B580" t="s">
        <v>2737</v>
      </c>
      <c r="C580" t="s">
        <v>2304</v>
      </c>
      <c r="E580" t="s">
        <v>287</v>
      </c>
    </row>
    <row r="581" s="83" customFormat="1" spans="1:5">
      <c r="A581" s="83" t="s">
        <v>2738</v>
      </c>
      <c r="B581" s="83" t="s">
        <v>2738</v>
      </c>
      <c r="C581" s="83" t="s">
        <v>2304</v>
      </c>
      <c r="E581" s="83" t="s">
        <v>124</v>
      </c>
    </row>
    <row r="582" s="83" customFormat="1" spans="1:5">
      <c r="A582" s="83" t="s">
        <v>2739</v>
      </c>
      <c r="B582" s="83" t="s">
        <v>901</v>
      </c>
      <c r="C582" s="83" t="s">
        <v>2304</v>
      </c>
      <c r="E582" s="83" t="s">
        <v>124</v>
      </c>
    </row>
    <row r="583" s="83" customFormat="1" spans="1:5">
      <c r="A583" s="83" t="s">
        <v>2740</v>
      </c>
      <c r="B583" s="83" t="s">
        <v>2741</v>
      </c>
      <c r="C583" s="83" t="s">
        <v>2304</v>
      </c>
      <c r="E583" s="83" t="s">
        <v>124</v>
      </c>
    </row>
    <row r="584" spans="1:5">
      <c r="A584" t="s">
        <v>922</v>
      </c>
      <c r="B584" t="s">
        <v>922</v>
      </c>
      <c r="C584" t="s">
        <v>2304</v>
      </c>
      <c r="E584" t="s">
        <v>124</v>
      </c>
    </row>
    <row r="585" spans="1:5">
      <c r="A585" t="s">
        <v>2742</v>
      </c>
      <c r="B585" t="s">
        <v>2743</v>
      </c>
      <c r="C585" t="s">
        <v>2304</v>
      </c>
      <c r="E585" t="s">
        <v>124</v>
      </c>
    </row>
    <row r="586" spans="1:5">
      <c r="A586" t="s">
        <v>2744</v>
      </c>
      <c r="B586" t="s">
        <v>2744</v>
      </c>
      <c r="C586" t="s">
        <v>2304</v>
      </c>
      <c r="E586" t="s">
        <v>124</v>
      </c>
    </row>
    <row r="587" spans="1:5">
      <c r="A587" t="s">
        <v>2745</v>
      </c>
      <c r="B587" t="s">
        <v>930</v>
      </c>
      <c r="C587" t="s">
        <v>2304</v>
      </c>
      <c r="E587" t="s">
        <v>124</v>
      </c>
    </row>
    <row r="588" spans="1:5">
      <c r="A588" t="s">
        <v>2746</v>
      </c>
      <c r="B588" t="s">
        <v>2746</v>
      </c>
      <c r="C588" t="s">
        <v>2304</v>
      </c>
      <c r="E588" t="s">
        <v>124</v>
      </c>
    </row>
    <row r="589" spans="1:5">
      <c r="A589" t="s">
        <v>951</v>
      </c>
      <c r="B589" t="s">
        <v>951</v>
      </c>
      <c r="C589" t="s">
        <v>2304</v>
      </c>
      <c r="E589" t="s">
        <v>124</v>
      </c>
    </row>
    <row r="590" spans="1:5">
      <c r="A590" t="s">
        <v>2747</v>
      </c>
      <c r="B590" t="s">
        <v>2747</v>
      </c>
      <c r="C590" t="s">
        <v>2304</v>
      </c>
      <c r="E590" t="s">
        <v>1783</v>
      </c>
    </row>
    <row r="591" spans="1:5">
      <c r="A591" t="s">
        <v>2748</v>
      </c>
      <c r="B591" t="s">
        <v>2748</v>
      </c>
      <c r="C591" t="s">
        <v>2304</v>
      </c>
      <c r="E591" t="s">
        <v>124</v>
      </c>
    </row>
    <row r="592" spans="1:5">
      <c r="A592" t="s">
        <v>2749</v>
      </c>
      <c r="B592" t="s">
        <v>2749</v>
      </c>
      <c r="C592" t="s">
        <v>2304</v>
      </c>
      <c r="E592" t="s">
        <v>124</v>
      </c>
    </row>
    <row r="593" spans="1:5">
      <c r="A593" t="s">
        <v>2750</v>
      </c>
      <c r="B593" t="s">
        <v>2750</v>
      </c>
      <c r="C593" t="s">
        <v>2304</v>
      </c>
      <c r="E593" t="s">
        <v>124</v>
      </c>
    </row>
    <row r="594" spans="1:5">
      <c r="A594" t="s">
        <v>2751</v>
      </c>
      <c r="B594" t="s">
        <v>2751</v>
      </c>
      <c r="C594" t="s">
        <v>2304</v>
      </c>
      <c r="E594" t="s">
        <v>124</v>
      </c>
    </row>
    <row r="595" spans="1:5">
      <c r="A595" t="s">
        <v>2752</v>
      </c>
      <c r="B595" t="s">
        <v>2752</v>
      </c>
      <c r="C595" t="s">
        <v>2304</v>
      </c>
      <c r="E595" t="s">
        <v>124</v>
      </c>
    </row>
    <row r="596" spans="1:5">
      <c r="A596" t="s">
        <v>2753</v>
      </c>
      <c r="B596" t="s">
        <v>2753</v>
      </c>
      <c r="C596" t="s">
        <v>2304</v>
      </c>
      <c r="E596" t="s">
        <v>805</v>
      </c>
    </row>
    <row r="597" spans="1:5">
      <c r="A597" t="s">
        <v>2754</v>
      </c>
      <c r="B597" t="s">
        <v>2754</v>
      </c>
      <c r="C597" t="s">
        <v>2304</v>
      </c>
      <c r="E597" t="s">
        <v>124</v>
      </c>
    </row>
    <row r="598" spans="1:5">
      <c r="A598" t="s">
        <v>2755</v>
      </c>
      <c r="B598" t="s">
        <v>2756</v>
      </c>
      <c r="C598" t="s">
        <v>2304</v>
      </c>
      <c r="E598" t="s">
        <v>805</v>
      </c>
    </row>
    <row r="599" spans="1:5">
      <c r="A599" t="s">
        <v>2757</v>
      </c>
      <c r="B599" t="s">
        <v>2757</v>
      </c>
      <c r="C599" t="s">
        <v>2304</v>
      </c>
      <c r="E599" t="s">
        <v>124</v>
      </c>
    </row>
    <row r="600" spans="1:5">
      <c r="A600" t="s">
        <v>2758</v>
      </c>
      <c r="B600" t="s">
        <v>2758</v>
      </c>
      <c r="C600" t="s">
        <v>2304</v>
      </c>
      <c r="E600" t="s">
        <v>287</v>
      </c>
    </row>
    <row r="601" spans="1:5">
      <c r="A601" t="s">
        <v>2759</v>
      </c>
      <c r="B601" t="s">
        <v>2760</v>
      </c>
      <c r="C601" t="s">
        <v>2304</v>
      </c>
      <c r="E601" t="s">
        <v>124</v>
      </c>
    </row>
    <row r="602" spans="1:5">
      <c r="A602" t="s">
        <v>2761</v>
      </c>
      <c r="B602" t="s">
        <v>2762</v>
      </c>
      <c r="C602" t="s">
        <v>2304</v>
      </c>
      <c r="E602" t="s">
        <v>124</v>
      </c>
    </row>
    <row r="603" spans="1:5">
      <c r="A603" t="s">
        <v>2763</v>
      </c>
      <c r="B603" t="s">
        <v>2763</v>
      </c>
      <c r="C603" t="s">
        <v>2304</v>
      </c>
      <c r="E603" t="s">
        <v>124</v>
      </c>
    </row>
    <row r="604" spans="1:5">
      <c r="A604" t="s">
        <v>2764</v>
      </c>
      <c r="B604" t="s">
        <v>2764</v>
      </c>
      <c r="C604" t="s">
        <v>2304</v>
      </c>
      <c r="E604" t="s">
        <v>1124</v>
      </c>
    </row>
    <row r="605" spans="1:5">
      <c r="A605" t="s">
        <v>2765</v>
      </c>
      <c r="B605" t="s">
        <v>2765</v>
      </c>
      <c r="C605" t="s">
        <v>2304</v>
      </c>
      <c r="E605" t="s">
        <v>1124</v>
      </c>
    </row>
    <row r="606" s="83" customFormat="1" spans="1:5">
      <c r="A606" s="83" t="s">
        <v>2766</v>
      </c>
      <c r="B606" s="83" t="s">
        <v>2766</v>
      </c>
      <c r="C606" s="83" t="s">
        <v>2304</v>
      </c>
      <c r="E606" s="83" t="s">
        <v>287</v>
      </c>
    </row>
    <row r="607" spans="1:5">
      <c r="A607" t="s">
        <v>2767</v>
      </c>
      <c r="B607" t="s">
        <v>2767</v>
      </c>
      <c r="C607" t="s">
        <v>2304</v>
      </c>
      <c r="E607" t="s">
        <v>1124</v>
      </c>
    </row>
    <row r="608" spans="1:5">
      <c r="A608" t="s">
        <v>2768</v>
      </c>
      <c r="B608" t="s">
        <v>2768</v>
      </c>
      <c r="C608" t="s">
        <v>2304</v>
      </c>
      <c r="E608" t="s">
        <v>1124</v>
      </c>
    </row>
    <row r="609" s="83" customFormat="1" spans="1:5">
      <c r="A609" s="83" t="s">
        <v>2429</v>
      </c>
      <c r="B609" s="83" t="s">
        <v>2429</v>
      </c>
      <c r="C609" s="83" t="s">
        <v>2304</v>
      </c>
      <c r="E609" s="83" t="s">
        <v>1124</v>
      </c>
    </row>
    <row r="610" s="83" customFormat="1" spans="1:5">
      <c r="A610" s="83" t="s">
        <v>2431</v>
      </c>
      <c r="B610" s="83" t="s">
        <v>2431</v>
      </c>
      <c r="C610" s="83" t="s">
        <v>2304</v>
      </c>
      <c r="E610" s="83" t="s">
        <v>1124</v>
      </c>
    </row>
    <row r="611" spans="1:5">
      <c r="A611" t="s">
        <v>2769</v>
      </c>
      <c r="B611" t="s">
        <v>2769</v>
      </c>
      <c r="C611" t="s">
        <v>2304</v>
      </c>
      <c r="E611" t="s">
        <v>1124</v>
      </c>
    </row>
    <row r="612" spans="1:5">
      <c r="A612" t="s">
        <v>2770</v>
      </c>
      <c r="B612" t="s">
        <v>2770</v>
      </c>
      <c r="C612" t="s">
        <v>2304</v>
      </c>
      <c r="E612" t="s">
        <v>1124</v>
      </c>
    </row>
    <row r="613" s="83" customFormat="1" spans="1:5">
      <c r="A613" s="83" t="s">
        <v>2771</v>
      </c>
      <c r="B613" s="83" t="s">
        <v>2771</v>
      </c>
      <c r="C613" s="83" t="s">
        <v>2304</v>
      </c>
      <c r="E613" s="83" t="s">
        <v>1124</v>
      </c>
    </row>
    <row r="614" spans="1:5">
      <c r="A614" t="s">
        <v>2772</v>
      </c>
      <c r="B614" t="s">
        <v>2772</v>
      </c>
      <c r="C614" t="s">
        <v>2304</v>
      </c>
      <c r="E614" t="s">
        <v>1124</v>
      </c>
    </row>
    <row r="615" spans="1:5">
      <c r="A615" t="s">
        <v>2773</v>
      </c>
      <c r="B615" t="s">
        <v>2773</v>
      </c>
      <c r="C615" t="s">
        <v>2304</v>
      </c>
      <c r="E615" t="s">
        <v>1124</v>
      </c>
    </row>
    <row r="616" spans="1:5">
      <c r="A616" t="s">
        <v>2774</v>
      </c>
      <c r="B616" t="s">
        <v>2774</v>
      </c>
      <c r="C616" t="s">
        <v>2304</v>
      </c>
      <c r="E616" t="s">
        <v>1124</v>
      </c>
    </row>
    <row r="617" spans="1:5">
      <c r="A617" t="s">
        <v>2775</v>
      </c>
      <c r="B617" t="s">
        <v>2775</v>
      </c>
      <c r="C617" t="s">
        <v>2304</v>
      </c>
      <c r="E617" t="s">
        <v>1124</v>
      </c>
    </row>
    <row r="618" spans="1:5">
      <c r="A618" t="s">
        <v>2776</v>
      </c>
      <c r="B618" t="s">
        <v>2776</v>
      </c>
      <c r="C618" t="s">
        <v>2304</v>
      </c>
      <c r="E618" t="s">
        <v>1124</v>
      </c>
    </row>
    <row r="619" spans="1:5">
      <c r="A619" t="s">
        <v>2777</v>
      </c>
      <c r="B619" t="s">
        <v>2777</v>
      </c>
      <c r="C619" t="s">
        <v>2304</v>
      </c>
      <c r="E619" t="s">
        <v>1124</v>
      </c>
    </row>
    <row r="620" spans="1:5">
      <c r="A620" t="s">
        <v>2778</v>
      </c>
      <c r="B620" t="s">
        <v>2778</v>
      </c>
      <c r="C620" t="s">
        <v>2304</v>
      </c>
      <c r="E620" t="s">
        <v>287</v>
      </c>
    </row>
    <row r="621" spans="1:5">
      <c r="A621" t="s">
        <v>2779</v>
      </c>
      <c r="B621" t="s">
        <v>2779</v>
      </c>
      <c r="C621" t="s">
        <v>2304</v>
      </c>
      <c r="E621" t="s">
        <v>1124</v>
      </c>
    </row>
    <row r="622" spans="1:5">
      <c r="A622" t="s">
        <v>2780</v>
      </c>
      <c r="B622" t="s">
        <v>2780</v>
      </c>
      <c r="C622" t="s">
        <v>2304</v>
      </c>
      <c r="E622" t="s">
        <v>124</v>
      </c>
    </row>
    <row r="623" spans="1:5">
      <c r="A623" t="s">
        <v>2781</v>
      </c>
      <c r="B623" t="s">
        <v>2781</v>
      </c>
      <c r="C623" t="s">
        <v>2304</v>
      </c>
      <c r="E623" t="s">
        <v>124</v>
      </c>
    </row>
    <row r="624" spans="1:5">
      <c r="A624" t="s">
        <v>2782</v>
      </c>
      <c r="B624" t="s">
        <v>2783</v>
      </c>
      <c r="C624" t="s">
        <v>2304</v>
      </c>
      <c r="E624" t="s">
        <v>124</v>
      </c>
    </row>
    <row r="625" spans="1:5">
      <c r="A625" t="s">
        <v>2784</v>
      </c>
      <c r="B625" t="s">
        <v>2784</v>
      </c>
      <c r="C625" t="s">
        <v>2304</v>
      </c>
      <c r="E625" t="s">
        <v>124</v>
      </c>
    </row>
    <row r="626" spans="1:5">
      <c r="A626" t="s">
        <v>2785</v>
      </c>
      <c r="B626" t="s">
        <v>2785</v>
      </c>
      <c r="C626" t="s">
        <v>2304</v>
      </c>
      <c r="E626" t="s">
        <v>124</v>
      </c>
    </row>
    <row r="627" spans="1:5">
      <c r="A627" t="s">
        <v>2786</v>
      </c>
      <c r="B627" t="s">
        <v>2787</v>
      </c>
      <c r="C627" t="s">
        <v>2304</v>
      </c>
      <c r="E627" t="s">
        <v>124</v>
      </c>
    </row>
    <row r="628" spans="1:5">
      <c r="A628" t="s">
        <v>2788</v>
      </c>
      <c r="B628" t="s">
        <v>2788</v>
      </c>
      <c r="C628" t="s">
        <v>2304</v>
      </c>
      <c r="E628" t="s">
        <v>124</v>
      </c>
    </row>
    <row r="629" spans="1:5">
      <c r="A629" t="s">
        <v>2789</v>
      </c>
      <c r="B629" t="s">
        <v>2789</v>
      </c>
      <c r="C629" t="s">
        <v>2304</v>
      </c>
      <c r="E629" t="s">
        <v>124</v>
      </c>
    </row>
    <row r="630" spans="1:5">
      <c r="A630" t="s">
        <v>2790</v>
      </c>
      <c r="B630" t="s">
        <v>2791</v>
      </c>
      <c r="C630" t="s">
        <v>2304</v>
      </c>
      <c r="E630" t="s">
        <v>363</v>
      </c>
    </row>
    <row r="631" spans="1:5">
      <c r="A631" t="s">
        <v>899</v>
      </c>
      <c r="B631" t="s">
        <v>899</v>
      </c>
      <c r="C631" t="s">
        <v>2304</v>
      </c>
      <c r="E631" t="s">
        <v>124</v>
      </c>
    </row>
    <row r="632" spans="1:5">
      <c r="A632" t="s">
        <v>2792</v>
      </c>
      <c r="B632" t="s">
        <v>2792</v>
      </c>
      <c r="C632" t="s">
        <v>2304</v>
      </c>
      <c r="E632" t="s">
        <v>124</v>
      </c>
    </row>
    <row r="633" spans="1:5">
      <c r="A633" t="s">
        <v>2793</v>
      </c>
      <c r="B633" t="s">
        <v>2793</v>
      </c>
      <c r="C633" t="s">
        <v>2304</v>
      </c>
      <c r="E633" t="s">
        <v>124</v>
      </c>
    </row>
    <row r="634" spans="1:5">
      <c r="A634" t="s">
        <v>2794</v>
      </c>
      <c r="B634" t="s">
        <v>908</v>
      </c>
      <c r="C634" t="s">
        <v>2304</v>
      </c>
      <c r="E634" t="s">
        <v>124</v>
      </c>
    </row>
    <row r="635" spans="1:5">
      <c r="A635" t="s">
        <v>288</v>
      </c>
      <c r="B635" t="s">
        <v>288</v>
      </c>
      <c r="C635" t="s">
        <v>2304</v>
      </c>
      <c r="E635" t="s">
        <v>124</v>
      </c>
    </row>
    <row r="636" spans="1:5">
      <c r="A636" t="s">
        <v>2795</v>
      </c>
      <c r="B636" t="s">
        <v>2795</v>
      </c>
      <c r="C636" t="s">
        <v>2304</v>
      </c>
      <c r="E636" t="s">
        <v>124</v>
      </c>
    </row>
    <row r="637" spans="1:5">
      <c r="A637" t="s">
        <v>2796</v>
      </c>
      <c r="B637" t="s">
        <v>2796</v>
      </c>
      <c r="C637" t="s">
        <v>2304</v>
      </c>
      <c r="E637" t="s">
        <v>124</v>
      </c>
    </row>
    <row r="638" spans="1:5">
      <c r="A638" t="s">
        <v>2797</v>
      </c>
      <c r="B638" t="s">
        <v>2797</v>
      </c>
      <c r="C638" t="s">
        <v>2304</v>
      </c>
      <c r="E638" t="s">
        <v>124</v>
      </c>
    </row>
    <row r="639" spans="1:5">
      <c r="A639" t="s">
        <v>2798</v>
      </c>
      <c r="B639" t="s">
        <v>2798</v>
      </c>
      <c r="C639" t="s">
        <v>2304</v>
      </c>
      <c r="E639" t="s">
        <v>363</v>
      </c>
    </row>
    <row r="640" spans="1:5">
      <c r="A640" t="s">
        <v>934</v>
      </c>
      <c r="B640" t="s">
        <v>934</v>
      </c>
      <c r="C640" t="s">
        <v>2304</v>
      </c>
      <c r="E640" t="s">
        <v>124</v>
      </c>
    </row>
    <row r="641" spans="1:5">
      <c r="A641" t="s">
        <v>2799</v>
      </c>
      <c r="B641" t="s">
        <v>2799</v>
      </c>
      <c r="C641" t="s">
        <v>2304</v>
      </c>
      <c r="E641" t="s">
        <v>1124</v>
      </c>
    </row>
    <row r="642" spans="1:5">
      <c r="A642" t="s">
        <v>2800</v>
      </c>
      <c r="B642" t="s">
        <v>2801</v>
      </c>
      <c r="C642" t="s">
        <v>2304</v>
      </c>
      <c r="E642" t="s">
        <v>124</v>
      </c>
    </row>
    <row r="643" spans="1:5">
      <c r="A643" t="s">
        <v>2802</v>
      </c>
      <c r="B643" t="s">
        <v>2802</v>
      </c>
      <c r="C643" t="s">
        <v>2304</v>
      </c>
      <c r="E643" t="s">
        <v>1124</v>
      </c>
    </row>
    <row r="644" spans="1:5">
      <c r="A644" t="s">
        <v>2803</v>
      </c>
      <c r="B644" t="s">
        <v>2803</v>
      </c>
      <c r="C644" t="s">
        <v>2304</v>
      </c>
      <c r="E644" t="s">
        <v>1783</v>
      </c>
    </row>
    <row r="645" spans="1:5">
      <c r="A645" t="s">
        <v>2804</v>
      </c>
      <c r="B645" t="s">
        <v>2804</v>
      </c>
      <c r="C645" t="s">
        <v>2304</v>
      </c>
      <c r="E645" t="s">
        <v>1783</v>
      </c>
    </row>
    <row r="646" spans="1:5">
      <c r="A646" t="s">
        <v>2805</v>
      </c>
      <c r="B646" t="s">
        <v>2805</v>
      </c>
      <c r="C646" t="s">
        <v>2304</v>
      </c>
      <c r="E646" t="s">
        <v>1783</v>
      </c>
    </row>
    <row r="647" spans="1:5">
      <c r="A647" t="s">
        <v>2806</v>
      </c>
      <c r="B647" t="s">
        <v>2806</v>
      </c>
      <c r="C647" t="s">
        <v>2304</v>
      </c>
      <c r="E647" t="s">
        <v>1783</v>
      </c>
    </row>
    <row r="648" spans="1:5">
      <c r="A648" t="s">
        <v>2435</v>
      </c>
      <c r="B648" t="s">
        <v>2435</v>
      </c>
      <c r="C648" t="s">
        <v>2304</v>
      </c>
      <c r="E648" t="s">
        <v>1783</v>
      </c>
    </row>
    <row r="649" spans="1:5">
      <c r="A649" t="s">
        <v>2807</v>
      </c>
      <c r="B649" t="s">
        <v>2807</v>
      </c>
      <c r="C649" t="s">
        <v>2304</v>
      </c>
      <c r="E649" t="s">
        <v>1783</v>
      </c>
    </row>
    <row r="650" spans="1:5">
      <c r="A650" t="s">
        <v>2808</v>
      </c>
      <c r="B650" t="s">
        <v>2808</v>
      </c>
      <c r="C650" t="s">
        <v>2304</v>
      </c>
      <c r="E650" t="s">
        <v>1783</v>
      </c>
    </row>
    <row r="651" spans="1:5">
      <c r="A651" t="s">
        <v>2809</v>
      </c>
      <c r="B651" t="s">
        <v>2809</v>
      </c>
      <c r="C651" t="s">
        <v>2304</v>
      </c>
      <c r="E651" t="s">
        <v>1783</v>
      </c>
    </row>
    <row r="652" spans="1:5">
      <c r="A652" t="s">
        <v>2810</v>
      </c>
      <c r="B652" t="s">
        <v>2810</v>
      </c>
      <c r="C652" t="s">
        <v>2304</v>
      </c>
      <c r="E652" t="s">
        <v>1783</v>
      </c>
    </row>
    <row r="653" spans="1:5">
      <c r="A653" t="s">
        <v>2811</v>
      </c>
      <c r="B653" t="s">
        <v>2811</v>
      </c>
      <c r="C653" t="s">
        <v>2304</v>
      </c>
      <c r="E653" t="s">
        <v>1783</v>
      </c>
    </row>
    <row r="654" spans="1:5">
      <c r="A654" t="s">
        <v>2812</v>
      </c>
      <c r="B654" t="s">
        <v>2812</v>
      </c>
      <c r="C654" t="s">
        <v>2304</v>
      </c>
      <c r="E654" t="s">
        <v>1783</v>
      </c>
    </row>
    <row r="655" spans="1:5">
      <c r="A655" t="s">
        <v>933</v>
      </c>
      <c r="B655" t="s">
        <v>933</v>
      </c>
      <c r="C655" t="s">
        <v>2304</v>
      </c>
      <c r="E655" t="s">
        <v>124</v>
      </c>
    </row>
    <row r="656" spans="1:5">
      <c r="A656" t="s">
        <v>2813</v>
      </c>
      <c r="B656" t="s">
        <v>2813</v>
      </c>
      <c r="C656" t="s">
        <v>2304</v>
      </c>
      <c r="E656" t="s">
        <v>124</v>
      </c>
    </row>
    <row r="657" spans="1:5">
      <c r="A657" t="s">
        <v>2814</v>
      </c>
      <c r="B657" t="s">
        <v>2814</v>
      </c>
      <c r="C657" t="s">
        <v>2304</v>
      </c>
      <c r="E657" t="s">
        <v>124</v>
      </c>
    </row>
    <row r="658" spans="1:5">
      <c r="A658" t="s">
        <v>2815</v>
      </c>
      <c r="B658" t="s">
        <v>2815</v>
      </c>
      <c r="C658" t="s">
        <v>2304</v>
      </c>
      <c r="E658" t="s">
        <v>124</v>
      </c>
    </row>
    <row r="659" spans="1:5">
      <c r="A659" t="s">
        <v>2816</v>
      </c>
      <c r="B659" t="s">
        <v>2816</v>
      </c>
      <c r="C659" t="s">
        <v>2304</v>
      </c>
      <c r="E659" t="s">
        <v>124</v>
      </c>
    </row>
    <row r="660" spans="1:5">
      <c r="A660" t="s">
        <v>955</v>
      </c>
      <c r="B660" t="s">
        <v>955</v>
      </c>
      <c r="C660" t="s">
        <v>2304</v>
      </c>
      <c r="E660" t="s">
        <v>124</v>
      </c>
    </row>
    <row r="661" s="83" customFormat="1" spans="1:5">
      <c r="A661" s="83" t="s">
        <v>2817</v>
      </c>
      <c r="B661" s="83" t="s">
        <v>2817</v>
      </c>
      <c r="C661" s="83" t="s">
        <v>2304</v>
      </c>
      <c r="E661" s="83" t="s">
        <v>124</v>
      </c>
    </row>
    <row r="662" spans="1:5">
      <c r="A662" t="s">
        <v>2818</v>
      </c>
      <c r="B662" t="s">
        <v>918</v>
      </c>
      <c r="C662" t="s">
        <v>2304</v>
      </c>
      <c r="E662" t="s">
        <v>124</v>
      </c>
    </row>
    <row r="663" spans="1:5">
      <c r="A663" t="s">
        <v>2819</v>
      </c>
      <c r="B663" t="s">
        <v>892</v>
      </c>
      <c r="C663" t="s">
        <v>2304</v>
      </c>
      <c r="E663" t="s">
        <v>124</v>
      </c>
    </row>
    <row r="664" spans="1:5">
      <c r="A664" t="s">
        <v>2820</v>
      </c>
      <c r="B664" t="s">
        <v>2820</v>
      </c>
      <c r="C664" t="s">
        <v>2304</v>
      </c>
      <c r="E664" t="s">
        <v>1124</v>
      </c>
    </row>
    <row r="665" spans="1:5">
      <c r="A665" t="s">
        <v>954</v>
      </c>
      <c r="B665" t="s">
        <v>954</v>
      </c>
      <c r="C665" t="s">
        <v>2304</v>
      </c>
      <c r="E665" t="s">
        <v>124</v>
      </c>
    </row>
    <row r="666" spans="1:5">
      <c r="A666" t="s">
        <v>2821</v>
      </c>
      <c r="B666" t="s">
        <v>2821</v>
      </c>
      <c r="C666" t="s">
        <v>2304</v>
      </c>
      <c r="E666" t="s">
        <v>124</v>
      </c>
    </row>
    <row r="667" spans="1:5">
      <c r="A667" t="s">
        <v>2822</v>
      </c>
      <c r="B667" t="s">
        <v>2822</v>
      </c>
      <c r="C667" t="s">
        <v>2304</v>
      </c>
      <c r="E667" t="s">
        <v>1124</v>
      </c>
    </row>
    <row r="668" s="83" customFormat="1" spans="1:5">
      <c r="A668" s="83" t="s">
        <v>2823</v>
      </c>
      <c r="B668" s="83" t="s">
        <v>2824</v>
      </c>
      <c r="C668" s="83" t="s">
        <v>2304</v>
      </c>
      <c r="E668" s="83" t="s">
        <v>1124</v>
      </c>
    </row>
    <row r="669" spans="1:5">
      <c r="A669" t="s">
        <v>2825</v>
      </c>
      <c r="B669" t="s">
        <v>2825</v>
      </c>
      <c r="C669" t="s">
        <v>2304</v>
      </c>
      <c r="E669" t="s">
        <v>124</v>
      </c>
    </row>
    <row r="670" spans="1:5">
      <c r="A670" t="s">
        <v>2826</v>
      </c>
      <c r="B670" t="s">
        <v>962</v>
      </c>
      <c r="C670" t="s">
        <v>2304</v>
      </c>
      <c r="E670" t="s">
        <v>124</v>
      </c>
    </row>
    <row r="671" spans="1:5">
      <c r="A671" t="s">
        <v>944</v>
      </c>
      <c r="B671" t="s">
        <v>944</v>
      </c>
      <c r="C671" t="s">
        <v>2304</v>
      </c>
      <c r="E671" t="s">
        <v>124</v>
      </c>
    </row>
    <row r="672" spans="1:5">
      <c r="A672" t="s">
        <v>2827</v>
      </c>
      <c r="B672" t="s">
        <v>943</v>
      </c>
      <c r="C672" t="s">
        <v>2304</v>
      </c>
      <c r="E672" t="s">
        <v>124</v>
      </c>
    </row>
    <row r="673" spans="1:5">
      <c r="A673" t="s">
        <v>2828</v>
      </c>
      <c r="B673" t="s">
        <v>2828</v>
      </c>
      <c r="C673" t="s">
        <v>2304</v>
      </c>
      <c r="E673" t="s">
        <v>124</v>
      </c>
    </row>
    <row r="674" spans="1:5">
      <c r="A674" t="s">
        <v>2829</v>
      </c>
      <c r="B674" t="s">
        <v>2829</v>
      </c>
      <c r="C674" t="s">
        <v>2304</v>
      </c>
      <c r="E674" t="s">
        <v>805</v>
      </c>
    </row>
    <row r="675" spans="1:5">
      <c r="A675" t="s">
        <v>2830</v>
      </c>
      <c r="B675" t="s">
        <v>2830</v>
      </c>
      <c r="C675" t="s">
        <v>2304</v>
      </c>
      <c r="E675" t="s">
        <v>1124</v>
      </c>
    </row>
    <row r="676" spans="1:5">
      <c r="A676" t="s">
        <v>2831</v>
      </c>
      <c r="B676" t="s">
        <v>2831</v>
      </c>
      <c r="C676" t="s">
        <v>2304</v>
      </c>
      <c r="E676" t="s">
        <v>1124</v>
      </c>
    </row>
    <row r="677" s="83" customFormat="1" spans="1:5">
      <c r="A677" s="83" t="s">
        <v>2832</v>
      </c>
      <c r="B677" s="83" t="s">
        <v>2832</v>
      </c>
      <c r="C677" s="83" t="s">
        <v>2304</v>
      </c>
      <c r="E677" s="83" t="s">
        <v>1124</v>
      </c>
    </row>
    <row r="678" s="83" customFormat="1" spans="1:5">
      <c r="A678" s="83" t="s">
        <v>2833</v>
      </c>
      <c r="B678" s="83" t="s">
        <v>2833</v>
      </c>
      <c r="C678" s="83" t="s">
        <v>2304</v>
      </c>
      <c r="E678" s="83" t="s">
        <v>1124</v>
      </c>
    </row>
    <row r="679" s="83" customFormat="1" spans="1:5">
      <c r="A679" s="83" t="s">
        <v>2834</v>
      </c>
      <c r="B679" s="83" t="s">
        <v>2834</v>
      </c>
      <c r="C679" s="83" t="s">
        <v>2304</v>
      </c>
      <c r="E679" s="83" t="s">
        <v>1124</v>
      </c>
    </row>
    <row r="680" s="83" customFormat="1" spans="1:5">
      <c r="A680" s="83" t="s">
        <v>2835</v>
      </c>
      <c r="B680" s="83" t="s">
        <v>2835</v>
      </c>
      <c r="C680" s="83" t="s">
        <v>2304</v>
      </c>
      <c r="E680" s="83" t="s">
        <v>1124</v>
      </c>
    </row>
    <row r="681" s="83" customFormat="1" spans="1:5">
      <c r="A681" s="83" t="s">
        <v>2836</v>
      </c>
      <c r="B681" s="83" t="s">
        <v>2836</v>
      </c>
      <c r="C681" s="83" t="s">
        <v>2304</v>
      </c>
      <c r="E681" s="83" t="s">
        <v>1124</v>
      </c>
    </row>
    <row r="682" s="83" customFormat="1" spans="1:5">
      <c r="A682" s="83" t="s">
        <v>2837</v>
      </c>
      <c r="B682" s="83" t="s">
        <v>2837</v>
      </c>
      <c r="C682" s="83" t="s">
        <v>2304</v>
      </c>
      <c r="E682" s="83" t="s">
        <v>1124</v>
      </c>
    </row>
    <row r="683" s="83" customFormat="1" spans="1:5">
      <c r="A683" s="83" t="s">
        <v>2838</v>
      </c>
      <c r="B683" s="83" t="s">
        <v>2838</v>
      </c>
      <c r="C683" s="83" t="s">
        <v>2304</v>
      </c>
      <c r="E683" s="83" t="s">
        <v>1124</v>
      </c>
    </row>
    <row r="684" s="83" customFormat="1" spans="1:5">
      <c r="A684" s="83" t="s">
        <v>2839</v>
      </c>
      <c r="B684" s="83" t="s">
        <v>2839</v>
      </c>
      <c r="C684" s="83" t="s">
        <v>2304</v>
      </c>
      <c r="E684" s="83" t="s">
        <v>1124</v>
      </c>
    </row>
    <row r="685" s="83" customFormat="1" spans="1:5">
      <c r="A685" s="83" t="s">
        <v>2840</v>
      </c>
      <c r="B685" s="83" t="s">
        <v>2840</v>
      </c>
      <c r="C685" s="83" t="s">
        <v>2304</v>
      </c>
      <c r="E685" s="83" t="s">
        <v>1124</v>
      </c>
    </row>
    <row r="686" spans="1:5">
      <c r="A686" t="s">
        <v>2841</v>
      </c>
      <c r="B686" t="s">
        <v>2841</v>
      </c>
      <c r="C686" t="s">
        <v>2304</v>
      </c>
      <c r="E686" t="s">
        <v>1124</v>
      </c>
    </row>
    <row r="687" s="83" customFormat="1" spans="1:5">
      <c r="A687" s="83" t="s">
        <v>2842</v>
      </c>
      <c r="B687" s="83" t="s">
        <v>2842</v>
      </c>
      <c r="C687" s="83" t="s">
        <v>2304</v>
      </c>
      <c r="E687" s="83" t="s">
        <v>1124</v>
      </c>
    </row>
    <row r="688" s="83" customFormat="1" spans="1:5">
      <c r="A688" s="83" t="s">
        <v>2843</v>
      </c>
      <c r="B688" s="83" t="s">
        <v>2843</v>
      </c>
      <c r="C688" s="83" t="s">
        <v>2304</v>
      </c>
      <c r="E688" s="83" t="s">
        <v>1124</v>
      </c>
    </row>
    <row r="689" s="83" customFormat="1" spans="1:5">
      <c r="A689" s="83" t="s">
        <v>2844</v>
      </c>
      <c r="B689" s="83" t="s">
        <v>2844</v>
      </c>
      <c r="C689" s="83" t="s">
        <v>2304</v>
      </c>
      <c r="E689" s="83" t="s">
        <v>1124</v>
      </c>
    </row>
    <row r="690" s="83" customFormat="1" spans="1:5">
      <c r="A690" s="83" t="s">
        <v>2845</v>
      </c>
      <c r="B690" s="83" t="s">
        <v>2845</v>
      </c>
      <c r="C690" s="83" t="s">
        <v>2304</v>
      </c>
      <c r="E690" s="83" t="s">
        <v>1124</v>
      </c>
    </row>
    <row r="691" spans="1:5">
      <c r="A691" t="s">
        <v>2846</v>
      </c>
      <c r="B691" t="s">
        <v>2846</v>
      </c>
      <c r="C691" t="s">
        <v>2304</v>
      </c>
      <c r="E691" t="s">
        <v>1124</v>
      </c>
    </row>
    <row r="692" spans="1:5">
      <c r="A692" t="s">
        <v>2847</v>
      </c>
      <c r="B692" t="s">
        <v>2847</v>
      </c>
      <c r="C692" t="s">
        <v>2304</v>
      </c>
      <c r="E692" t="s">
        <v>1124</v>
      </c>
    </row>
    <row r="693" spans="1:5">
      <c r="A693" t="s">
        <v>2848</v>
      </c>
      <c r="B693" t="s">
        <v>2848</v>
      </c>
      <c r="C693" t="s">
        <v>2304</v>
      </c>
      <c r="E693" t="s">
        <v>1124</v>
      </c>
    </row>
    <row r="694" spans="1:5">
      <c r="A694" t="s">
        <v>2849</v>
      </c>
      <c r="B694" t="s">
        <v>2849</v>
      </c>
      <c r="C694" t="s">
        <v>2304</v>
      </c>
      <c r="E694" t="s">
        <v>124</v>
      </c>
    </row>
    <row r="695" s="83" customFormat="1" spans="1:5">
      <c r="A695" s="83" t="s">
        <v>2850</v>
      </c>
      <c r="B695" s="83" t="s">
        <v>2850</v>
      </c>
      <c r="C695" s="83" t="s">
        <v>2304</v>
      </c>
      <c r="E695" s="83" t="s">
        <v>1124</v>
      </c>
    </row>
    <row r="696" s="83" customFormat="1" spans="1:5">
      <c r="A696" s="83" t="s">
        <v>2851</v>
      </c>
      <c r="B696" s="83" t="s">
        <v>2851</v>
      </c>
      <c r="C696" s="83" t="s">
        <v>2304</v>
      </c>
      <c r="E696" s="83" t="s">
        <v>1124</v>
      </c>
    </row>
    <row r="697" s="83" customFormat="1" spans="1:5">
      <c r="A697" s="83" t="s">
        <v>2852</v>
      </c>
      <c r="B697" s="83" t="s">
        <v>2852</v>
      </c>
      <c r="C697" s="83" t="s">
        <v>2304</v>
      </c>
      <c r="E697" s="83" t="s">
        <v>1124</v>
      </c>
    </row>
    <row r="698" s="83" customFormat="1" spans="1:5">
      <c r="A698" s="83" t="s">
        <v>2853</v>
      </c>
      <c r="B698" s="83" t="s">
        <v>2853</v>
      </c>
      <c r="C698" s="83" t="s">
        <v>2304</v>
      </c>
      <c r="E698" s="83" t="s">
        <v>1124</v>
      </c>
    </row>
    <row r="699" spans="1:5">
      <c r="A699" t="s">
        <v>2854</v>
      </c>
      <c r="B699" t="s">
        <v>2854</v>
      </c>
      <c r="C699" t="s">
        <v>2304</v>
      </c>
      <c r="E699" t="s">
        <v>1124</v>
      </c>
    </row>
    <row r="700" s="83" customFormat="1" spans="1:5">
      <c r="A700" s="83" t="s">
        <v>2855</v>
      </c>
      <c r="B700" s="83" t="s">
        <v>2855</v>
      </c>
      <c r="C700" s="83" t="s">
        <v>2304</v>
      </c>
      <c r="E700" s="83" t="s">
        <v>1124</v>
      </c>
    </row>
    <row r="701" s="83" customFormat="1" spans="1:5">
      <c r="A701" s="83" t="s">
        <v>2856</v>
      </c>
      <c r="B701" s="83" t="s">
        <v>2856</v>
      </c>
      <c r="C701" s="83" t="s">
        <v>2304</v>
      </c>
      <c r="E701" s="83" t="s">
        <v>1124</v>
      </c>
    </row>
    <row r="702" s="83" customFormat="1" spans="1:5">
      <c r="A702" s="83" t="s">
        <v>2857</v>
      </c>
      <c r="B702" s="83" t="s">
        <v>2857</v>
      </c>
      <c r="C702" s="83" t="s">
        <v>2304</v>
      </c>
      <c r="E702" s="83" t="s">
        <v>1124</v>
      </c>
    </row>
    <row r="703" s="83" customFormat="1" spans="1:5">
      <c r="A703" s="83" t="s">
        <v>2858</v>
      </c>
      <c r="B703" s="83" t="s">
        <v>2858</v>
      </c>
      <c r="C703" s="83" t="s">
        <v>2304</v>
      </c>
      <c r="E703" s="83" t="s">
        <v>1124</v>
      </c>
    </row>
    <row r="704" s="83" customFormat="1" spans="1:5">
      <c r="A704" s="83" t="s">
        <v>2859</v>
      </c>
      <c r="B704" s="83" t="s">
        <v>2859</v>
      </c>
      <c r="C704" s="83" t="s">
        <v>2304</v>
      </c>
      <c r="E704" s="83" t="s">
        <v>1124</v>
      </c>
    </row>
    <row r="705" s="83" customFormat="1" spans="1:5">
      <c r="A705" s="83" t="s">
        <v>2860</v>
      </c>
      <c r="B705" s="83" t="s">
        <v>2860</v>
      </c>
      <c r="C705" s="83" t="s">
        <v>2304</v>
      </c>
      <c r="E705" s="83" t="s">
        <v>1124</v>
      </c>
    </row>
    <row r="706" s="83" customFormat="1" spans="1:5">
      <c r="A706" s="83" t="s">
        <v>2861</v>
      </c>
      <c r="B706" s="83" t="s">
        <v>2861</v>
      </c>
      <c r="C706" s="83" t="s">
        <v>2304</v>
      </c>
      <c r="E706" s="83" t="s">
        <v>1124</v>
      </c>
    </row>
    <row r="707" s="83" customFormat="1" spans="1:5">
      <c r="A707" s="83" t="s">
        <v>2862</v>
      </c>
      <c r="B707" s="83" t="s">
        <v>2862</v>
      </c>
      <c r="C707" s="83" t="s">
        <v>2304</v>
      </c>
      <c r="E707" s="83" t="s">
        <v>1124</v>
      </c>
    </row>
    <row r="708" s="83" customFormat="1" spans="1:5">
      <c r="A708" s="83" t="s">
        <v>2863</v>
      </c>
      <c r="B708" s="83" t="s">
        <v>2863</v>
      </c>
      <c r="C708" s="83" t="s">
        <v>2304</v>
      </c>
      <c r="E708" s="83" t="s">
        <v>1124</v>
      </c>
    </row>
    <row r="709" spans="1:5">
      <c r="A709" t="s">
        <v>2864</v>
      </c>
      <c r="B709" t="s">
        <v>2864</v>
      </c>
      <c r="C709" t="s">
        <v>2304</v>
      </c>
      <c r="E709" t="s">
        <v>1124</v>
      </c>
    </row>
    <row r="710" s="83" customFormat="1" spans="1:5">
      <c r="A710" s="83" t="s">
        <v>2865</v>
      </c>
      <c r="B710" s="83" t="s">
        <v>2865</v>
      </c>
      <c r="C710" s="83" t="s">
        <v>2304</v>
      </c>
      <c r="E710" s="83" t="s">
        <v>1124</v>
      </c>
    </row>
    <row r="711" spans="1:5">
      <c r="A711" t="s">
        <v>2866</v>
      </c>
      <c r="B711" t="s">
        <v>2866</v>
      </c>
      <c r="C711" t="s">
        <v>2304</v>
      </c>
      <c r="E711" t="s">
        <v>1124</v>
      </c>
    </row>
    <row r="712" spans="1:5">
      <c r="A712" t="s">
        <v>2867</v>
      </c>
      <c r="B712" t="s">
        <v>2867</v>
      </c>
      <c r="C712" t="s">
        <v>2304</v>
      </c>
      <c r="E712" t="s">
        <v>1124</v>
      </c>
    </row>
    <row r="713" spans="1:5">
      <c r="A713" t="s">
        <v>2868</v>
      </c>
      <c r="B713" t="s">
        <v>2868</v>
      </c>
      <c r="C713" t="s">
        <v>2304</v>
      </c>
      <c r="E713" t="s">
        <v>1124</v>
      </c>
    </row>
    <row r="714" s="83" customFormat="1" spans="1:5">
      <c r="A714" s="83" t="s">
        <v>2869</v>
      </c>
      <c r="B714" s="83" t="s">
        <v>2869</v>
      </c>
      <c r="C714" s="83" t="s">
        <v>2304</v>
      </c>
      <c r="E714" s="83" t="s">
        <v>1124</v>
      </c>
    </row>
    <row r="715" s="83" customFormat="1" spans="1:5">
      <c r="A715" s="83" t="s">
        <v>2870</v>
      </c>
      <c r="B715" s="83" t="s">
        <v>2870</v>
      </c>
      <c r="C715" s="83" t="s">
        <v>2304</v>
      </c>
      <c r="E715" s="83" t="s">
        <v>1124</v>
      </c>
    </row>
    <row r="716" spans="1:5">
      <c r="A716" t="s">
        <v>2871</v>
      </c>
      <c r="B716" t="s">
        <v>2871</v>
      </c>
      <c r="C716" t="s">
        <v>2304</v>
      </c>
      <c r="E716" t="s">
        <v>1124</v>
      </c>
    </row>
    <row r="717" spans="1:5">
      <c r="A717" t="s">
        <v>2872</v>
      </c>
      <c r="B717" t="s">
        <v>2872</v>
      </c>
      <c r="C717" t="s">
        <v>2304</v>
      </c>
      <c r="E717" t="s">
        <v>1124</v>
      </c>
    </row>
    <row r="718" s="83" customFormat="1" spans="1:5">
      <c r="A718" s="83" t="s">
        <v>2873</v>
      </c>
      <c r="B718" s="83" t="s">
        <v>2873</v>
      </c>
      <c r="C718" s="83" t="s">
        <v>2304</v>
      </c>
      <c r="E718" s="83" t="s">
        <v>1124</v>
      </c>
    </row>
    <row r="719" spans="1:5">
      <c r="A719" t="s">
        <v>2874</v>
      </c>
      <c r="B719" t="s">
        <v>2874</v>
      </c>
      <c r="C719" t="s">
        <v>2304</v>
      </c>
      <c r="E719" t="s">
        <v>1124</v>
      </c>
    </row>
    <row r="720" s="83" customFormat="1" spans="1:5">
      <c r="A720" s="83" t="s">
        <v>2875</v>
      </c>
      <c r="B720" s="83" t="s">
        <v>2875</v>
      </c>
      <c r="C720" s="83" t="s">
        <v>2304</v>
      </c>
      <c r="E720" s="83" t="s">
        <v>1124</v>
      </c>
    </row>
    <row r="721" s="83" customFormat="1" spans="1:5">
      <c r="A721" s="83" t="s">
        <v>2876</v>
      </c>
      <c r="B721" s="83" t="s">
        <v>2876</v>
      </c>
      <c r="C721" s="83" t="s">
        <v>2304</v>
      </c>
      <c r="E721" s="83" t="s">
        <v>1124</v>
      </c>
    </row>
    <row r="722" spans="1:5">
      <c r="A722" t="s">
        <v>2877</v>
      </c>
      <c r="B722" t="s">
        <v>2877</v>
      </c>
      <c r="C722" t="s">
        <v>2304</v>
      </c>
      <c r="E722" t="s">
        <v>1124</v>
      </c>
    </row>
    <row r="723" spans="1:5">
      <c r="A723" t="s">
        <v>2878</v>
      </c>
      <c r="B723" t="s">
        <v>2878</v>
      </c>
      <c r="C723" t="s">
        <v>2304</v>
      </c>
      <c r="E723" t="s">
        <v>1124</v>
      </c>
    </row>
    <row r="724" spans="1:5">
      <c r="A724" t="s">
        <v>2879</v>
      </c>
      <c r="B724" t="s">
        <v>2879</v>
      </c>
      <c r="C724" t="s">
        <v>2304</v>
      </c>
      <c r="E724" t="s">
        <v>1124</v>
      </c>
    </row>
    <row r="725" spans="1:5">
      <c r="A725" t="s">
        <v>2880</v>
      </c>
      <c r="B725" t="s">
        <v>2880</v>
      </c>
      <c r="C725" t="s">
        <v>2304</v>
      </c>
      <c r="E725" t="s">
        <v>1124</v>
      </c>
    </row>
    <row r="726" spans="1:5">
      <c r="A726" t="s">
        <v>2881</v>
      </c>
      <c r="B726" t="s">
        <v>2881</v>
      </c>
      <c r="C726" t="s">
        <v>2304</v>
      </c>
      <c r="E726" t="s">
        <v>1124</v>
      </c>
    </row>
    <row r="727" spans="1:5">
      <c r="A727" t="s">
        <v>2882</v>
      </c>
      <c r="B727" t="s">
        <v>2882</v>
      </c>
      <c r="C727" t="s">
        <v>2304</v>
      </c>
      <c r="E727" t="s">
        <v>1124</v>
      </c>
    </row>
    <row r="728" s="83" customFormat="1" spans="1:5">
      <c r="A728" s="83" t="s">
        <v>2883</v>
      </c>
      <c r="B728" s="83" t="s">
        <v>2883</v>
      </c>
      <c r="C728" s="83" t="s">
        <v>2304</v>
      </c>
      <c r="E728" s="83" t="s">
        <v>1124</v>
      </c>
    </row>
    <row r="729" s="83" customFormat="1" spans="1:5">
      <c r="A729" s="83" t="s">
        <v>2884</v>
      </c>
      <c r="B729" s="83" t="s">
        <v>2884</v>
      </c>
      <c r="C729" s="83" t="s">
        <v>2304</v>
      </c>
      <c r="E729" s="83" t="s">
        <v>1124</v>
      </c>
    </row>
    <row r="730" spans="1:5">
      <c r="A730" t="s">
        <v>2885</v>
      </c>
      <c r="B730" t="s">
        <v>2885</v>
      </c>
      <c r="C730" t="s">
        <v>2304</v>
      </c>
      <c r="E730" t="s">
        <v>1124</v>
      </c>
    </row>
    <row r="731" spans="1:5">
      <c r="A731" t="s">
        <v>2886</v>
      </c>
      <c r="B731" t="s">
        <v>2886</v>
      </c>
      <c r="C731" t="s">
        <v>2304</v>
      </c>
      <c r="E731" t="s">
        <v>1124</v>
      </c>
    </row>
    <row r="732" s="83" customFormat="1" spans="1:5">
      <c r="A732" s="83" t="s">
        <v>2887</v>
      </c>
      <c r="B732" s="83" t="s">
        <v>2887</v>
      </c>
      <c r="C732" s="83" t="s">
        <v>2304</v>
      </c>
      <c r="E732" s="83" t="s">
        <v>1124</v>
      </c>
    </row>
    <row r="733" spans="1:5">
      <c r="A733" t="s">
        <v>2888</v>
      </c>
      <c r="B733" t="s">
        <v>2888</v>
      </c>
      <c r="C733" t="s">
        <v>2304</v>
      </c>
      <c r="E733" t="s">
        <v>1124</v>
      </c>
    </row>
    <row r="734" spans="1:5">
      <c r="A734" t="s">
        <v>2889</v>
      </c>
      <c r="B734" t="s">
        <v>2889</v>
      </c>
      <c r="C734" t="s">
        <v>2304</v>
      </c>
      <c r="E734" t="s">
        <v>1124</v>
      </c>
    </row>
    <row r="735" s="83" customFormat="1" spans="1:5">
      <c r="A735" s="83" t="s">
        <v>2890</v>
      </c>
      <c r="B735" s="83" t="s">
        <v>2890</v>
      </c>
      <c r="C735" s="83" t="s">
        <v>2304</v>
      </c>
      <c r="E735" s="83" t="s">
        <v>1124</v>
      </c>
    </row>
    <row r="736" spans="1:5">
      <c r="A736" t="s">
        <v>2891</v>
      </c>
      <c r="B736" t="s">
        <v>2891</v>
      </c>
      <c r="C736" t="s">
        <v>2304</v>
      </c>
      <c r="E736" t="s">
        <v>124</v>
      </c>
    </row>
    <row r="737" spans="1:5">
      <c r="A737" t="s">
        <v>2892</v>
      </c>
      <c r="B737" t="s">
        <v>2892</v>
      </c>
      <c r="C737" t="s">
        <v>2304</v>
      </c>
      <c r="E737" t="s">
        <v>1124</v>
      </c>
    </row>
    <row r="738" spans="1:5">
      <c r="A738" t="s">
        <v>2893</v>
      </c>
      <c r="B738" t="s">
        <v>2893</v>
      </c>
      <c r="C738" t="s">
        <v>2304</v>
      </c>
      <c r="E738" t="s">
        <v>1124</v>
      </c>
    </row>
    <row r="739" spans="1:5">
      <c r="A739" t="s">
        <v>2894</v>
      </c>
      <c r="B739" t="s">
        <v>2894</v>
      </c>
      <c r="C739" t="s">
        <v>2304</v>
      </c>
      <c r="E739" t="s">
        <v>1124</v>
      </c>
    </row>
    <row r="740" spans="1:5">
      <c r="A740" t="s">
        <v>2895</v>
      </c>
      <c r="B740" t="s">
        <v>2895</v>
      </c>
      <c r="C740" t="s">
        <v>2304</v>
      </c>
      <c r="E740" t="s">
        <v>287</v>
      </c>
    </row>
    <row r="741" spans="1:5">
      <c r="A741" t="s">
        <v>2896</v>
      </c>
      <c r="B741" t="s">
        <v>2896</v>
      </c>
      <c r="C741" t="s">
        <v>2304</v>
      </c>
      <c r="E741" t="s">
        <v>2370</v>
      </c>
    </row>
    <row r="742" spans="1:5">
      <c r="A742" t="s">
        <v>2897</v>
      </c>
      <c r="B742" t="s">
        <v>2897</v>
      </c>
      <c r="C742" t="s">
        <v>2304</v>
      </c>
      <c r="E742" t="s">
        <v>1783</v>
      </c>
    </row>
    <row r="743" spans="1:5">
      <c r="A743" t="s">
        <v>2898</v>
      </c>
      <c r="B743" t="s">
        <v>2898</v>
      </c>
      <c r="C743" t="s">
        <v>2304</v>
      </c>
      <c r="E743" t="s">
        <v>1783</v>
      </c>
    </row>
    <row r="744" spans="1:5">
      <c r="A744" t="s">
        <v>2899</v>
      </c>
      <c r="B744" t="s">
        <v>2899</v>
      </c>
      <c r="C744" t="s">
        <v>2304</v>
      </c>
      <c r="E744" t="s">
        <v>287</v>
      </c>
    </row>
    <row r="745" spans="1:5">
      <c r="A745" t="s">
        <v>2900</v>
      </c>
      <c r="B745" t="s">
        <v>2900</v>
      </c>
      <c r="C745" t="s">
        <v>2304</v>
      </c>
      <c r="E745" t="s">
        <v>287</v>
      </c>
    </row>
    <row r="746" spans="1:5">
      <c r="A746" t="s">
        <v>2901</v>
      </c>
      <c r="B746" t="s">
        <v>2901</v>
      </c>
      <c r="C746" t="s">
        <v>2304</v>
      </c>
      <c r="E746" t="s">
        <v>124</v>
      </c>
    </row>
    <row r="747" spans="1:5">
      <c r="A747" t="s">
        <v>2902</v>
      </c>
      <c r="B747" t="s">
        <v>2902</v>
      </c>
      <c r="C747" t="s">
        <v>2304</v>
      </c>
      <c r="E747" t="s">
        <v>1124</v>
      </c>
    </row>
    <row r="748" spans="1:5">
      <c r="A748" t="s">
        <v>2903</v>
      </c>
      <c r="B748" t="s">
        <v>2903</v>
      </c>
      <c r="C748" t="s">
        <v>2304</v>
      </c>
      <c r="E748" t="s">
        <v>1783</v>
      </c>
    </row>
    <row r="749" spans="1:5">
      <c r="A749" t="s">
        <v>2904</v>
      </c>
      <c r="B749" t="s">
        <v>2904</v>
      </c>
      <c r="C749" t="s">
        <v>2304</v>
      </c>
      <c r="E749" t="s">
        <v>1124</v>
      </c>
    </row>
    <row r="750" spans="1:5">
      <c r="A750" t="s">
        <v>2905</v>
      </c>
      <c r="B750" t="s">
        <v>2905</v>
      </c>
      <c r="C750" t="s">
        <v>2304</v>
      </c>
      <c r="E750" t="s">
        <v>1124</v>
      </c>
    </row>
    <row r="751" spans="1:5">
      <c r="A751" t="s">
        <v>2906</v>
      </c>
      <c r="B751" t="s">
        <v>2906</v>
      </c>
      <c r="C751" t="s">
        <v>2304</v>
      </c>
      <c r="E751" t="s">
        <v>1124</v>
      </c>
    </row>
    <row r="752" s="83" customFormat="1" spans="1:5">
      <c r="A752" s="83" t="s">
        <v>2907</v>
      </c>
      <c r="B752" s="83" t="s">
        <v>2907</v>
      </c>
      <c r="C752" s="83" t="s">
        <v>2304</v>
      </c>
      <c r="E752" s="83" t="s">
        <v>1783</v>
      </c>
    </row>
    <row r="753" s="83" customFormat="1" spans="1:5">
      <c r="A753" s="83" t="s">
        <v>2908</v>
      </c>
      <c r="B753" s="83" t="s">
        <v>2908</v>
      </c>
      <c r="C753" s="83" t="s">
        <v>2304</v>
      </c>
      <c r="E753" s="83" t="s">
        <v>124</v>
      </c>
    </row>
    <row r="754" s="83" customFormat="1" spans="1:5">
      <c r="A754" s="83" t="s">
        <v>2909</v>
      </c>
      <c r="B754" s="83" t="s">
        <v>2909</v>
      </c>
      <c r="C754" s="83" t="s">
        <v>2304</v>
      </c>
      <c r="E754" s="83" t="s">
        <v>124</v>
      </c>
    </row>
    <row r="755" spans="1:5">
      <c r="A755" t="s">
        <v>2910</v>
      </c>
      <c r="B755" t="s">
        <v>2910</v>
      </c>
      <c r="C755" t="s">
        <v>2304</v>
      </c>
      <c r="E755" t="s">
        <v>1124</v>
      </c>
    </row>
    <row r="756" spans="1:5">
      <c r="A756" t="s">
        <v>2911</v>
      </c>
      <c r="B756" t="s">
        <v>2911</v>
      </c>
      <c r="C756" t="s">
        <v>2304</v>
      </c>
      <c r="E756" t="s">
        <v>1124</v>
      </c>
    </row>
    <row r="757" spans="1:5">
      <c r="A757" t="s">
        <v>2912</v>
      </c>
      <c r="B757" t="s">
        <v>2912</v>
      </c>
      <c r="C757" t="s">
        <v>2304</v>
      </c>
      <c r="E757" t="s">
        <v>1124</v>
      </c>
    </row>
    <row r="758" s="83" customFormat="1" spans="1:5">
      <c r="A758" s="83" t="s">
        <v>2913</v>
      </c>
      <c r="B758" s="83" t="s">
        <v>2913</v>
      </c>
      <c r="C758" s="83" t="s">
        <v>2304</v>
      </c>
      <c r="E758" s="83" t="s">
        <v>1124</v>
      </c>
    </row>
    <row r="759" s="83" customFormat="1" spans="1:5">
      <c r="A759" s="83" t="s">
        <v>2914</v>
      </c>
      <c r="B759" s="83" t="s">
        <v>2914</v>
      </c>
      <c r="C759" s="83" t="s">
        <v>2304</v>
      </c>
      <c r="E759" s="83" t="s">
        <v>1124</v>
      </c>
    </row>
    <row r="760" s="83" customFormat="1" spans="1:5">
      <c r="A760" s="83" t="s">
        <v>2915</v>
      </c>
      <c r="B760" s="83" t="s">
        <v>2915</v>
      </c>
      <c r="C760" s="83" t="s">
        <v>2304</v>
      </c>
      <c r="E760" s="83" t="s">
        <v>1783</v>
      </c>
    </row>
    <row r="761" spans="1:5">
      <c r="A761" t="s">
        <v>2916</v>
      </c>
      <c r="B761" t="s">
        <v>2916</v>
      </c>
      <c r="C761" t="s">
        <v>2304</v>
      </c>
      <c r="E761" t="s">
        <v>1124</v>
      </c>
    </row>
    <row r="762" spans="1:5">
      <c r="A762" t="s">
        <v>2917</v>
      </c>
      <c r="B762" t="s">
        <v>2917</v>
      </c>
      <c r="C762" t="s">
        <v>2304</v>
      </c>
      <c r="E762" t="s">
        <v>1124</v>
      </c>
    </row>
    <row r="763" spans="1:5">
      <c r="A763" t="s">
        <v>2918</v>
      </c>
      <c r="B763" t="s">
        <v>2918</v>
      </c>
      <c r="C763" t="s">
        <v>2304</v>
      </c>
      <c r="E763" t="s">
        <v>1124</v>
      </c>
    </row>
    <row r="764" spans="1:5">
      <c r="A764" t="s">
        <v>2919</v>
      </c>
      <c r="B764" t="s">
        <v>2919</v>
      </c>
      <c r="C764" t="s">
        <v>2304</v>
      </c>
      <c r="E764" t="s">
        <v>1124</v>
      </c>
    </row>
    <row r="765" spans="1:5">
      <c r="A765" t="s">
        <v>2920</v>
      </c>
      <c r="B765" t="s">
        <v>2920</v>
      </c>
      <c r="C765" t="s">
        <v>2304</v>
      </c>
      <c r="E765" t="s">
        <v>1124</v>
      </c>
    </row>
    <row r="766" spans="1:5">
      <c r="A766" t="s">
        <v>2921</v>
      </c>
      <c r="B766" t="s">
        <v>2921</v>
      </c>
      <c r="C766" t="s">
        <v>2304</v>
      </c>
      <c r="E766" t="s">
        <v>1124</v>
      </c>
    </row>
    <row r="767" spans="1:5">
      <c r="A767" t="s">
        <v>2922</v>
      </c>
      <c r="B767" t="s">
        <v>2922</v>
      </c>
      <c r="C767" t="s">
        <v>2304</v>
      </c>
      <c r="E767" t="s">
        <v>1124</v>
      </c>
    </row>
    <row r="768" spans="1:5">
      <c r="A768" t="s">
        <v>2923</v>
      </c>
      <c r="B768" t="s">
        <v>2923</v>
      </c>
      <c r="C768" t="s">
        <v>2304</v>
      </c>
      <c r="E768" t="s">
        <v>1124</v>
      </c>
    </row>
    <row r="769" spans="1:5">
      <c r="A769" t="s">
        <v>2924</v>
      </c>
      <c r="B769" t="s">
        <v>2924</v>
      </c>
      <c r="C769" t="s">
        <v>2304</v>
      </c>
      <c r="E769" t="s">
        <v>1124</v>
      </c>
    </row>
    <row r="770" spans="1:5">
      <c r="A770" t="s">
        <v>2925</v>
      </c>
      <c r="B770" t="s">
        <v>2925</v>
      </c>
      <c r="C770" t="s">
        <v>2304</v>
      </c>
      <c r="E770" t="s">
        <v>1124</v>
      </c>
    </row>
    <row r="771" spans="1:5">
      <c r="A771" t="s">
        <v>2926</v>
      </c>
      <c r="B771" t="s">
        <v>2926</v>
      </c>
      <c r="C771" t="s">
        <v>2304</v>
      </c>
      <c r="E771" t="s">
        <v>1124</v>
      </c>
    </row>
    <row r="772" s="83" customFormat="1" spans="1:5">
      <c r="A772" s="83" t="s">
        <v>2927</v>
      </c>
      <c r="B772" s="83" t="s">
        <v>2927</v>
      </c>
      <c r="C772" s="83" t="s">
        <v>2304</v>
      </c>
      <c r="E772" s="83" t="s">
        <v>1124</v>
      </c>
    </row>
    <row r="773" s="83" customFormat="1" spans="1:5">
      <c r="A773" s="83" t="s">
        <v>2928</v>
      </c>
      <c r="B773" s="83" t="s">
        <v>2928</v>
      </c>
      <c r="C773" s="83" t="s">
        <v>2304</v>
      </c>
      <c r="E773" s="83" t="s">
        <v>1783</v>
      </c>
    </row>
    <row r="774" spans="1:5">
      <c r="A774" t="s">
        <v>2929</v>
      </c>
      <c r="B774" t="s">
        <v>2929</v>
      </c>
      <c r="C774" t="s">
        <v>2304</v>
      </c>
      <c r="E774" t="s">
        <v>1124</v>
      </c>
    </row>
    <row r="775" spans="1:5">
      <c r="A775" t="s">
        <v>2930</v>
      </c>
      <c r="B775" t="s">
        <v>2930</v>
      </c>
      <c r="C775" t="s">
        <v>2304</v>
      </c>
      <c r="E775" t="s">
        <v>1124</v>
      </c>
    </row>
    <row r="776" spans="1:5">
      <c r="A776" t="s">
        <v>2931</v>
      </c>
      <c r="B776" t="s">
        <v>2931</v>
      </c>
      <c r="C776" t="s">
        <v>2304</v>
      </c>
      <c r="E776" t="s">
        <v>1124</v>
      </c>
    </row>
    <row r="777" spans="1:5">
      <c r="A777" t="s">
        <v>2932</v>
      </c>
      <c r="B777" t="s">
        <v>2932</v>
      </c>
      <c r="C777" t="s">
        <v>2304</v>
      </c>
      <c r="E777" t="s">
        <v>1124</v>
      </c>
    </row>
    <row r="778" spans="1:5">
      <c r="A778" t="s">
        <v>2933</v>
      </c>
      <c r="B778" t="s">
        <v>2933</v>
      </c>
      <c r="C778" t="s">
        <v>2304</v>
      </c>
      <c r="E778" t="s">
        <v>1124</v>
      </c>
    </row>
    <row r="779" spans="1:5">
      <c r="A779" t="s">
        <v>2934</v>
      </c>
      <c r="B779" t="s">
        <v>2934</v>
      </c>
      <c r="C779" t="s">
        <v>2304</v>
      </c>
      <c r="E779" t="s">
        <v>1783</v>
      </c>
    </row>
    <row r="780" spans="1:5">
      <c r="A780" t="s">
        <v>2935</v>
      </c>
      <c r="B780" t="s">
        <v>2935</v>
      </c>
      <c r="C780" t="s">
        <v>2304</v>
      </c>
      <c r="E780" t="s">
        <v>1124</v>
      </c>
    </row>
    <row r="781" spans="1:5">
      <c r="A781" t="s">
        <v>2936</v>
      </c>
      <c r="B781" t="s">
        <v>2936</v>
      </c>
      <c r="C781" t="s">
        <v>2304</v>
      </c>
      <c r="E781" t="s">
        <v>1124</v>
      </c>
    </row>
    <row r="782" spans="1:5">
      <c r="A782" t="s">
        <v>2937</v>
      </c>
      <c r="B782" t="s">
        <v>2937</v>
      </c>
      <c r="C782" t="s">
        <v>2304</v>
      </c>
      <c r="E782" t="s">
        <v>1124</v>
      </c>
    </row>
    <row r="783" spans="1:5">
      <c r="A783" t="s">
        <v>2938</v>
      </c>
      <c r="B783" t="s">
        <v>2938</v>
      </c>
      <c r="C783" t="s">
        <v>2304</v>
      </c>
      <c r="E783" t="s">
        <v>1124</v>
      </c>
    </row>
    <row r="784" spans="1:5">
      <c r="A784" t="s">
        <v>2939</v>
      </c>
      <c r="B784" t="s">
        <v>2939</v>
      </c>
      <c r="C784" t="s">
        <v>2304</v>
      </c>
      <c r="E784" t="s">
        <v>1124</v>
      </c>
    </row>
    <row r="785" s="83" customFormat="1" spans="1:5">
      <c r="A785" s="83" t="s">
        <v>2940</v>
      </c>
      <c r="B785" s="83" t="s">
        <v>2940</v>
      </c>
      <c r="C785" s="83" t="s">
        <v>2304</v>
      </c>
      <c r="E785" s="83" t="s">
        <v>1124</v>
      </c>
    </row>
    <row r="786" s="83" customFormat="1" spans="1:5">
      <c r="A786" s="83" t="s">
        <v>2451</v>
      </c>
      <c r="B786" s="83" t="s">
        <v>2451</v>
      </c>
      <c r="C786" s="83" t="s">
        <v>2304</v>
      </c>
      <c r="E786" s="83" t="s">
        <v>1124</v>
      </c>
    </row>
    <row r="787" s="83" customFormat="1" spans="1:5">
      <c r="A787" s="83" t="s">
        <v>2941</v>
      </c>
      <c r="B787" s="83" t="s">
        <v>2941</v>
      </c>
      <c r="C787" s="83" t="s">
        <v>2304</v>
      </c>
      <c r="E787" s="83" t="s">
        <v>1124</v>
      </c>
    </row>
    <row r="788" spans="1:5">
      <c r="A788" t="s">
        <v>2942</v>
      </c>
      <c r="B788" t="s">
        <v>2942</v>
      </c>
      <c r="C788" t="s">
        <v>2304</v>
      </c>
      <c r="E788" t="s">
        <v>1124</v>
      </c>
    </row>
    <row r="789" s="83" customFormat="1" spans="1:5">
      <c r="A789" s="83" t="s">
        <v>2943</v>
      </c>
      <c r="B789" s="83" t="s">
        <v>2944</v>
      </c>
      <c r="C789" s="83" t="s">
        <v>2304</v>
      </c>
      <c r="E789" s="83" t="s">
        <v>1124</v>
      </c>
    </row>
    <row r="790" s="83" customFormat="1" spans="1:5">
      <c r="A790" s="83" t="s">
        <v>2945</v>
      </c>
      <c r="B790" s="83" t="s">
        <v>2945</v>
      </c>
      <c r="C790" s="83" t="s">
        <v>2304</v>
      </c>
      <c r="E790" s="83" t="s">
        <v>1124</v>
      </c>
    </row>
    <row r="791" s="83" customFormat="1" spans="1:5">
      <c r="A791" s="83" t="s">
        <v>2946</v>
      </c>
      <c r="B791" s="83" t="s">
        <v>2946</v>
      </c>
      <c r="C791" s="83" t="s">
        <v>2304</v>
      </c>
      <c r="E791" s="83" t="s">
        <v>1124</v>
      </c>
    </row>
    <row r="792" s="83" customFormat="1" spans="1:5">
      <c r="A792" s="83" t="s">
        <v>2947</v>
      </c>
      <c r="B792" s="83" t="s">
        <v>2947</v>
      </c>
      <c r="C792" s="83" t="s">
        <v>2304</v>
      </c>
      <c r="E792" s="83" t="s">
        <v>1124</v>
      </c>
    </row>
    <row r="793" s="83" customFormat="1" spans="1:5">
      <c r="A793" s="83" t="s">
        <v>2948</v>
      </c>
      <c r="B793" s="83" t="s">
        <v>2948</v>
      </c>
      <c r="C793" s="83" t="s">
        <v>2304</v>
      </c>
      <c r="E793" s="83" t="s">
        <v>1124</v>
      </c>
    </row>
    <row r="794" s="83" customFormat="1" spans="1:5">
      <c r="A794" s="83" t="s">
        <v>2949</v>
      </c>
      <c r="B794" s="83" t="s">
        <v>2949</v>
      </c>
      <c r="C794" s="83" t="s">
        <v>2304</v>
      </c>
      <c r="E794" s="83" t="s">
        <v>1124</v>
      </c>
    </row>
    <row r="795" s="83" customFormat="1" spans="1:5">
      <c r="A795" s="83" t="s">
        <v>2950</v>
      </c>
      <c r="B795" s="83" t="s">
        <v>2950</v>
      </c>
      <c r="C795" s="83" t="s">
        <v>2304</v>
      </c>
      <c r="E795" s="83" t="s">
        <v>1124</v>
      </c>
    </row>
    <row r="796" s="83" customFormat="1" spans="1:5">
      <c r="A796" s="83" t="s">
        <v>2951</v>
      </c>
      <c r="B796" s="83" t="s">
        <v>2951</v>
      </c>
      <c r="C796" s="83" t="s">
        <v>2304</v>
      </c>
      <c r="E796" s="83" t="s">
        <v>1124</v>
      </c>
    </row>
    <row r="797" s="83" customFormat="1" spans="1:5">
      <c r="A797" s="83" t="s">
        <v>2952</v>
      </c>
      <c r="B797" s="83" t="s">
        <v>2952</v>
      </c>
      <c r="C797" s="83" t="s">
        <v>2304</v>
      </c>
      <c r="E797" s="83" t="s">
        <v>1124</v>
      </c>
    </row>
    <row r="798" s="83" customFormat="1" spans="1:5">
      <c r="A798" s="83" t="s">
        <v>2953</v>
      </c>
      <c r="B798" s="83" t="s">
        <v>2953</v>
      </c>
      <c r="C798" s="83" t="s">
        <v>2304</v>
      </c>
      <c r="E798" s="83" t="s">
        <v>1124</v>
      </c>
    </row>
    <row r="799" s="83" customFormat="1" spans="1:5">
      <c r="A799" s="83" t="s">
        <v>2954</v>
      </c>
      <c r="B799" s="83" t="s">
        <v>2954</v>
      </c>
      <c r="C799" s="83" t="s">
        <v>2304</v>
      </c>
      <c r="E799" s="83" t="s">
        <v>1783</v>
      </c>
    </row>
    <row r="800" s="83" customFormat="1" spans="1:5">
      <c r="A800" s="83" t="s">
        <v>2955</v>
      </c>
      <c r="B800" s="83" t="s">
        <v>2955</v>
      </c>
      <c r="C800" s="83" t="s">
        <v>2304</v>
      </c>
      <c r="E800" s="83" t="s">
        <v>1124</v>
      </c>
    </row>
    <row r="801" s="83" customFormat="1" spans="1:5">
      <c r="A801" s="83" t="s">
        <v>2956</v>
      </c>
      <c r="B801" s="83" t="s">
        <v>2956</v>
      </c>
      <c r="C801" s="83" t="s">
        <v>2304</v>
      </c>
      <c r="E801" s="83" t="s">
        <v>1124</v>
      </c>
    </row>
    <row r="802" s="83" customFormat="1" spans="1:5">
      <c r="A802" s="83" t="s">
        <v>2957</v>
      </c>
      <c r="B802" s="83" t="s">
        <v>2957</v>
      </c>
      <c r="C802" s="83" t="s">
        <v>2304</v>
      </c>
      <c r="E802" s="83" t="s">
        <v>1124</v>
      </c>
    </row>
    <row r="803" s="83" customFormat="1" spans="1:5">
      <c r="A803" s="83" t="s">
        <v>2958</v>
      </c>
      <c r="B803" s="83" t="s">
        <v>2958</v>
      </c>
      <c r="C803" s="83" t="s">
        <v>2304</v>
      </c>
      <c r="E803" s="83" t="s">
        <v>1124</v>
      </c>
    </row>
    <row r="804" s="83" customFormat="1" spans="1:5">
      <c r="A804" s="83" t="s">
        <v>2959</v>
      </c>
      <c r="B804" s="83" t="s">
        <v>2959</v>
      </c>
      <c r="C804" s="83" t="s">
        <v>2304</v>
      </c>
      <c r="E804" s="83" t="s">
        <v>1124</v>
      </c>
    </row>
    <row r="805" s="83" customFormat="1" spans="1:5">
      <c r="A805" s="83" t="s">
        <v>2960</v>
      </c>
      <c r="B805" s="83" t="s">
        <v>2960</v>
      </c>
      <c r="C805" s="83" t="s">
        <v>2304</v>
      </c>
      <c r="E805" s="83" t="s">
        <v>1124</v>
      </c>
    </row>
    <row r="806" s="83" customFormat="1" spans="1:5">
      <c r="A806" s="83" t="s">
        <v>2961</v>
      </c>
      <c r="B806" s="83" t="s">
        <v>2961</v>
      </c>
      <c r="C806" s="83" t="s">
        <v>2304</v>
      </c>
      <c r="E806" s="83" t="s">
        <v>1124</v>
      </c>
    </row>
    <row r="807" s="83" customFormat="1" spans="1:5">
      <c r="A807" s="83" t="s">
        <v>2962</v>
      </c>
      <c r="B807" s="83" t="s">
        <v>2962</v>
      </c>
      <c r="C807" s="83" t="s">
        <v>2304</v>
      </c>
      <c r="E807" s="83" t="s">
        <v>1124</v>
      </c>
    </row>
    <row r="808" s="83" customFormat="1" spans="1:5">
      <c r="A808" s="83" t="s">
        <v>2963</v>
      </c>
      <c r="B808" s="83" t="s">
        <v>2963</v>
      </c>
      <c r="C808" s="83" t="s">
        <v>2304</v>
      </c>
      <c r="E808" s="83" t="s">
        <v>1124</v>
      </c>
    </row>
    <row r="809" s="83" customFormat="1" spans="1:5">
      <c r="A809" s="83" t="s">
        <v>2964</v>
      </c>
      <c r="B809" s="83" t="s">
        <v>2964</v>
      </c>
      <c r="C809" s="83" t="s">
        <v>2304</v>
      </c>
      <c r="E809" s="83" t="s">
        <v>1124</v>
      </c>
    </row>
    <row r="810" s="83" customFormat="1" spans="1:5">
      <c r="A810" s="83" t="s">
        <v>2965</v>
      </c>
      <c r="B810" s="83" t="s">
        <v>2965</v>
      </c>
      <c r="C810" s="83" t="s">
        <v>2304</v>
      </c>
      <c r="E810" s="83" t="s">
        <v>1124</v>
      </c>
    </row>
    <row r="811" s="83" customFormat="1" spans="1:5">
      <c r="A811" s="83" t="s">
        <v>2966</v>
      </c>
      <c r="B811" s="83" t="s">
        <v>2966</v>
      </c>
      <c r="C811" s="83" t="s">
        <v>2304</v>
      </c>
      <c r="E811" s="83" t="s">
        <v>1124</v>
      </c>
    </row>
    <row r="812" s="83" customFormat="1" spans="1:5">
      <c r="A812" s="83" t="s">
        <v>2967</v>
      </c>
      <c r="B812" s="83" t="s">
        <v>2967</v>
      </c>
      <c r="C812" s="83" t="s">
        <v>2304</v>
      </c>
      <c r="E812" s="83" t="s">
        <v>1124</v>
      </c>
    </row>
    <row r="813" s="83" customFormat="1" spans="1:5">
      <c r="A813" s="83" t="s">
        <v>2968</v>
      </c>
      <c r="B813" s="83" t="s">
        <v>2968</v>
      </c>
      <c r="C813" s="83" t="s">
        <v>2304</v>
      </c>
      <c r="E813" s="83" t="s">
        <v>1783</v>
      </c>
    </row>
    <row r="814" spans="1:5">
      <c r="A814" t="s">
        <v>2969</v>
      </c>
      <c r="B814" t="s">
        <v>2969</v>
      </c>
      <c r="C814" t="s">
        <v>2304</v>
      </c>
      <c r="E814" t="s">
        <v>1124</v>
      </c>
    </row>
    <row r="815" spans="1:5">
      <c r="A815" t="s">
        <v>2970</v>
      </c>
      <c r="B815" t="s">
        <v>2970</v>
      </c>
      <c r="C815" t="s">
        <v>2304</v>
      </c>
      <c r="E815" t="s">
        <v>1124</v>
      </c>
    </row>
    <row r="816" spans="1:5">
      <c r="A816" t="s">
        <v>2971</v>
      </c>
      <c r="B816" t="s">
        <v>2971</v>
      </c>
      <c r="C816" t="s">
        <v>2304</v>
      </c>
      <c r="E816" t="s">
        <v>1124</v>
      </c>
    </row>
    <row r="817" s="83" customFormat="1" spans="1:5">
      <c r="A817" s="83" t="s">
        <v>2972</v>
      </c>
      <c r="B817" s="83" t="s">
        <v>2972</v>
      </c>
      <c r="C817" s="83" t="s">
        <v>2304</v>
      </c>
      <c r="E817" s="83" t="s">
        <v>1124</v>
      </c>
    </row>
    <row r="818" s="83" customFormat="1" spans="1:5">
      <c r="A818" s="83" t="s">
        <v>2973</v>
      </c>
      <c r="B818" s="83" t="s">
        <v>2973</v>
      </c>
      <c r="C818" s="83" t="s">
        <v>2304</v>
      </c>
      <c r="E818" s="83" t="s">
        <v>1124</v>
      </c>
    </row>
    <row r="819" s="83" customFormat="1" spans="1:5">
      <c r="A819" s="83" t="s">
        <v>2974</v>
      </c>
      <c r="B819" s="83" t="s">
        <v>2975</v>
      </c>
      <c r="C819" s="83" t="s">
        <v>2304</v>
      </c>
      <c r="E819" s="83" t="s">
        <v>1124</v>
      </c>
    </row>
    <row r="820" s="83" customFormat="1" spans="1:5">
      <c r="A820" s="83" t="s">
        <v>2976</v>
      </c>
      <c r="B820" s="83" t="s">
        <v>2976</v>
      </c>
      <c r="C820" s="83" t="s">
        <v>2304</v>
      </c>
      <c r="E820" s="83" t="s">
        <v>1124</v>
      </c>
    </row>
    <row r="821" s="83" customFormat="1" spans="1:5">
      <c r="A821" s="83" t="s">
        <v>2977</v>
      </c>
      <c r="B821" s="83" t="s">
        <v>2977</v>
      </c>
      <c r="C821" s="83" t="s">
        <v>2304</v>
      </c>
      <c r="E821" s="83" t="s">
        <v>1124</v>
      </c>
    </row>
    <row r="822" spans="1:5">
      <c r="A822" t="s">
        <v>2978</v>
      </c>
      <c r="B822" t="s">
        <v>2978</v>
      </c>
      <c r="C822" t="s">
        <v>2304</v>
      </c>
      <c r="E822" t="s">
        <v>1124</v>
      </c>
    </row>
    <row r="823" spans="1:5">
      <c r="A823" t="s">
        <v>2979</v>
      </c>
      <c r="B823" t="s">
        <v>2979</v>
      </c>
      <c r="C823" t="s">
        <v>2304</v>
      </c>
      <c r="E823" t="s">
        <v>1124</v>
      </c>
    </row>
    <row r="824" spans="1:5">
      <c r="A824" t="s">
        <v>2980</v>
      </c>
      <c r="B824" t="s">
        <v>2980</v>
      </c>
      <c r="C824" t="s">
        <v>2304</v>
      </c>
      <c r="E824" t="s">
        <v>1124</v>
      </c>
    </row>
    <row r="825" spans="1:5">
      <c r="A825" t="s">
        <v>2981</v>
      </c>
      <c r="B825" t="s">
        <v>2981</v>
      </c>
      <c r="C825" t="s">
        <v>2304</v>
      </c>
      <c r="E825" t="s">
        <v>1124</v>
      </c>
    </row>
    <row r="826" spans="1:5">
      <c r="A826" t="s">
        <v>2982</v>
      </c>
      <c r="B826" t="s">
        <v>2982</v>
      </c>
      <c r="C826" t="s">
        <v>2304</v>
      </c>
      <c r="E826" t="s">
        <v>1124</v>
      </c>
    </row>
    <row r="827" spans="1:5">
      <c r="A827" t="s">
        <v>2983</v>
      </c>
      <c r="B827" t="s">
        <v>2983</v>
      </c>
      <c r="C827" t="s">
        <v>2304</v>
      </c>
      <c r="E827" t="s">
        <v>1124</v>
      </c>
    </row>
    <row r="828" spans="1:5">
      <c r="A828" t="s">
        <v>2984</v>
      </c>
      <c r="B828" t="s">
        <v>2984</v>
      </c>
      <c r="C828" t="s">
        <v>2304</v>
      </c>
      <c r="E828" t="s">
        <v>1124</v>
      </c>
    </row>
    <row r="829" spans="1:5">
      <c r="A829" t="s">
        <v>2985</v>
      </c>
      <c r="B829" t="s">
        <v>2985</v>
      </c>
      <c r="C829" t="s">
        <v>2304</v>
      </c>
      <c r="E829" t="s">
        <v>1124</v>
      </c>
    </row>
    <row r="830" s="83" customFormat="1" spans="1:5">
      <c r="A830" s="83" t="s">
        <v>2986</v>
      </c>
      <c r="B830" s="83" t="s">
        <v>2986</v>
      </c>
      <c r="C830" s="83" t="s">
        <v>2304</v>
      </c>
      <c r="E830" s="83" t="s">
        <v>1124</v>
      </c>
    </row>
    <row r="831" spans="1:5">
      <c r="A831" t="s">
        <v>2987</v>
      </c>
      <c r="B831" t="s">
        <v>2987</v>
      </c>
      <c r="C831" t="s">
        <v>2304</v>
      </c>
      <c r="E831" t="s">
        <v>1124</v>
      </c>
    </row>
    <row r="832" spans="1:5">
      <c r="A832" t="s">
        <v>2988</v>
      </c>
      <c r="B832" t="s">
        <v>2988</v>
      </c>
      <c r="C832" t="s">
        <v>2304</v>
      </c>
      <c r="E832" t="s">
        <v>1124</v>
      </c>
    </row>
    <row r="833" spans="1:5">
      <c r="A833" t="s">
        <v>2989</v>
      </c>
      <c r="B833" t="s">
        <v>2989</v>
      </c>
      <c r="C833" t="s">
        <v>2304</v>
      </c>
      <c r="E833" t="s">
        <v>1124</v>
      </c>
    </row>
    <row r="834" s="83" customFormat="1" spans="1:5">
      <c r="A834" s="83" t="s">
        <v>2990</v>
      </c>
      <c r="B834" s="83" t="s">
        <v>2990</v>
      </c>
      <c r="C834" s="83" t="s">
        <v>2304</v>
      </c>
      <c r="E834" s="83" t="s">
        <v>1124</v>
      </c>
    </row>
    <row r="835" s="83" customFormat="1" spans="1:5">
      <c r="A835" s="83" t="s">
        <v>2991</v>
      </c>
      <c r="B835" s="83" t="s">
        <v>2991</v>
      </c>
      <c r="C835" s="83" t="s">
        <v>2304</v>
      </c>
      <c r="E835" s="83" t="s">
        <v>1124</v>
      </c>
    </row>
    <row r="836" s="83" customFormat="1" spans="1:5">
      <c r="A836" s="83" t="s">
        <v>2992</v>
      </c>
      <c r="B836" s="83" t="s">
        <v>2992</v>
      </c>
      <c r="C836" s="83" t="s">
        <v>2304</v>
      </c>
      <c r="E836" s="83" t="s">
        <v>1124</v>
      </c>
    </row>
    <row r="837" s="83" customFormat="1" spans="1:5">
      <c r="A837" s="83" t="s">
        <v>2993</v>
      </c>
      <c r="B837" s="83" t="s">
        <v>2993</v>
      </c>
      <c r="C837" s="83" t="s">
        <v>2304</v>
      </c>
      <c r="E837" s="83" t="s">
        <v>1124</v>
      </c>
    </row>
    <row r="838" spans="1:5">
      <c r="A838" t="s">
        <v>2994</v>
      </c>
      <c r="B838" t="s">
        <v>2994</v>
      </c>
      <c r="C838" t="s">
        <v>2304</v>
      </c>
      <c r="E838" t="s">
        <v>1124</v>
      </c>
    </row>
    <row r="839" spans="1:5">
      <c r="A839" t="s">
        <v>2995</v>
      </c>
      <c r="B839" t="s">
        <v>2995</v>
      </c>
      <c r="C839" t="s">
        <v>2304</v>
      </c>
      <c r="E839" t="s">
        <v>1124</v>
      </c>
    </row>
    <row r="840" spans="1:5">
      <c r="A840" t="s">
        <v>2996</v>
      </c>
      <c r="B840" t="s">
        <v>2996</v>
      </c>
      <c r="C840" t="s">
        <v>2304</v>
      </c>
      <c r="E840" t="s">
        <v>1124</v>
      </c>
    </row>
    <row r="841" s="83" customFormat="1" spans="1:5">
      <c r="A841" s="83" t="s">
        <v>2997</v>
      </c>
      <c r="B841" s="83" t="s">
        <v>2997</v>
      </c>
      <c r="C841" s="83" t="s">
        <v>2304</v>
      </c>
      <c r="E841" s="83" t="s">
        <v>1124</v>
      </c>
    </row>
    <row r="842" s="83" customFormat="1" spans="1:5">
      <c r="A842" s="83" t="s">
        <v>2998</v>
      </c>
      <c r="B842" s="83" t="s">
        <v>2998</v>
      </c>
      <c r="C842" s="83" t="s">
        <v>2304</v>
      </c>
      <c r="E842" s="83" t="s">
        <v>1124</v>
      </c>
    </row>
    <row r="843" spans="1:5">
      <c r="A843" t="s">
        <v>2999</v>
      </c>
      <c r="B843" t="s">
        <v>2999</v>
      </c>
      <c r="C843" t="s">
        <v>2304</v>
      </c>
      <c r="E843" t="s">
        <v>1124</v>
      </c>
    </row>
    <row r="844" s="83" customFormat="1" spans="1:5">
      <c r="A844" s="83" t="s">
        <v>3000</v>
      </c>
      <c r="B844" s="83" t="s">
        <v>3000</v>
      </c>
      <c r="C844" s="83" t="s">
        <v>2304</v>
      </c>
      <c r="E844" s="83" t="s">
        <v>1124</v>
      </c>
    </row>
    <row r="845" s="83" customFormat="1" spans="1:5">
      <c r="A845" s="83" t="s">
        <v>3001</v>
      </c>
      <c r="B845" s="83" t="s">
        <v>3001</v>
      </c>
      <c r="C845" s="83" t="s">
        <v>2304</v>
      </c>
      <c r="E845" s="83" t="s">
        <v>1124</v>
      </c>
    </row>
    <row r="846" s="83" customFormat="1" spans="1:5">
      <c r="A846" s="83" t="s">
        <v>3002</v>
      </c>
      <c r="B846" s="83" t="s">
        <v>3002</v>
      </c>
      <c r="C846" s="83" t="s">
        <v>2304</v>
      </c>
      <c r="E846" s="83" t="s">
        <v>1124</v>
      </c>
    </row>
    <row r="847" s="83" customFormat="1" spans="1:5">
      <c r="A847" s="83" t="s">
        <v>3003</v>
      </c>
      <c r="B847" s="83" t="s">
        <v>3003</v>
      </c>
      <c r="C847" s="83" t="s">
        <v>2304</v>
      </c>
      <c r="E847" s="83" t="s">
        <v>1124</v>
      </c>
    </row>
    <row r="848" s="83" customFormat="1" spans="1:5">
      <c r="A848" s="83" t="s">
        <v>3004</v>
      </c>
      <c r="B848" s="83" t="s">
        <v>3004</v>
      </c>
      <c r="C848" s="83" t="s">
        <v>2304</v>
      </c>
      <c r="E848" s="83" t="s">
        <v>1124</v>
      </c>
    </row>
    <row r="849" spans="1:5">
      <c r="A849" t="s">
        <v>3005</v>
      </c>
      <c r="B849" t="s">
        <v>3005</v>
      </c>
      <c r="C849" t="s">
        <v>2304</v>
      </c>
      <c r="E849" t="s">
        <v>1783</v>
      </c>
    </row>
    <row r="850" spans="1:5">
      <c r="A850" t="s">
        <v>3006</v>
      </c>
      <c r="B850" t="s">
        <v>3006</v>
      </c>
      <c r="C850" t="s">
        <v>2304</v>
      </c>
      <c r="E850" t="s">
        <v>1124</v>
      </c>
    </row>
    <row r="851" s="83" customFormat="1" spans="1:5">
      <c r="A851" s="83" t="s">
        <v>3007</v>
      </c>
      <c r="B851" s="83" t="s">
        <v>3007</v>
      </c>
      <c r="C851" s="83" t="s">
        <v>2304</v>
      </c>
      <c r="E851" s="83" t="s">
        <v>1124</v>
      </c>
    </row>
    <row r="852" s="83" customFormat="1" spans="1:5">
      <c r="A852" s="83" t="s">
        <v>3008</v>
      </c>
      <c r="B852" s="83" t="s">
        <v>3008</v>
      </c>
      <c r="C852" s="83" t="s">
        <v>2304</v>
      </c>
      <c r="E852" s="83" t="s">
        <v>1124</v>
      </c>
    </row>
    <row r="853" spans="1:5">
      <c r="A853" t="s">
        <v>3009</v>
      </c>
      <c r="B853" t="s">
        <v>3009</v>
      </c>
      <c r="C853" t="s">
        <v>2304</v>
      </c>
      <c r="E853" t="s">
        <v>1124</v>
      </c>
    </row>
    <row r="854" s="83" customFormat="1" spans="1:5">
      <c r="A854" s="83" t="s">
        <v>3010</v>
      </c>
      <c r="B854" s="83" t="s">
        <v>3010</v>
      </c>
      <c r="C854" s="83" t="s">
        <v>2304</v>
      </c>
      <c r="E854" s="83" t="s">
        <v>1124</v>
      </c>
    </row>
    <row r="855" spans="1:5">
      <c r="A855" t="s">
        <v>3011</v>
      </c>
      <c r="B855" t="s">
        <v>3012</v>
      </c>
      <c r="C855" t="s">
        <v>2304</v>
      </c>
      <c r="E855" t="s">
        <v>1124</v>
      </c>
    </row>
    <row r="856" spans="1:5">
      <c r="A856" t="s">
        <v>3013</v>
      </c>
      <c r="B856" t="s">
        <v>3013</v>
      </c>
      <c r="C856" t="s">
        <v>2304</v>
      </c>
      <c r="E856" t="s">
        <v>1124</v>
      </c>
    </row>
    <row r="857" spans="1:5">
      <c r="A857" t="s">
        <v>3014</v>
      </c>
      <c r="B857" t="s">
        <v>3014</v>
      </c>
      <c r="C857" t="s">
        <v>2304</v>
      </c>
      <c r="E857" t="s">
        <v>1124</v>
      </c>
    </row>
    <row r="858" spans="1:5">
      <c r="A858" t="s">
        <v>3015</v>
      </c>
      <c r="B858" t="s">
        <v>3015</v>
      </c>
      <c r="C858" t="s">
        <v>2304</v>
      </c>
      <c r="E858" t="s">
        <v>1124</v>
      </c>
    </row>
    <row r="859" spans="1:5">
      <c r="A859" t="s">
        <v>3016</v>
      </c>
      <c r="B859" t="s">
        <v>3016</v>
      </c>
      <c r="C859" t="s">
        <v>2304</v>
      </c>
      <c r="E859" t="s">
        <v>287</v>
      </c>
    </row>
    <row r="860" spans="1:5">
      <c r="A860" t="s">
        <v>3017</v>
      </c>
      <c r="B860" t="s">
        <v>3017</v>
      </c>
      <c r="C860" t="s">
        <v>2304</v>
      </c>
      <c r="E860" t="s">
        <v>287</v>
      </c>
    </row>
    <row r="861" spans="1:5">
      <c r="A861" t="s">
        <v>3018</v>
      </c>
      <c r="B861" t="s">
        <v>3018</v>
      </c>
      <c r="C861" t="s">
        <v>2304</v>
      </c>
      <c r="E861" t="s">
        <v>1124</v>
      </c>
    </row>
    <row r="862" spans="1:5">
      <c r="A862" t="s">
        <v>3019</v>
      </c>
      <c r="B862" t="s">
        <v>3019</v>
      </c>
      <c r="C862" t="s">
        <v>2304</v>
      </c>
      <c r="E862" t="s">
        <v>1124</v>
      </c>
    </row>
    <row r="863" spans="1:5">
      <c r="A863" t="s">
        <v>3020</v>
      </c>
      <c r="B863" t="s">
        <v>3020</v>
      </c>
      <c r="C863" t="s">
        <v>2304</v>
      </c>
      <c r="E863" t="s">
        <v>1783</v>
      </c>
    </row>
    <row r="864" spans="1:5">
      <c r="A864" t="s">
        <v>3021</v>
      </c>
      <c r="B864" t="s">
        <v>3021</v>
      </c>
      <c r="C864" t="s">
        <v>2304</v>
      </c>
      <c r="E864" t="s">
        <v>1124</v>
      </c>
    </row>
    <row r="865" s="83" customFormat="1" spans="1:5">
      <c r="A865" s="83" t="s">
        <v>3022</v>
      </c>
      <c r="B865" s="83" t="s">
        <v>3022</v>
      </c>
      <c r="C865" s="83" t="s">
        <v>2304</v>
      </c>
      <c r="E865" s="83" t="s">
        <v>1124</v>
      </c>
    </row>
    <row r="866" spans="1:5">
      <c r="A866" t="s">
        <v>3023</v>
      </c>
      <c r="B866" t="s">
        <v>3023</v>
      </c>
      <c r="C866" t="s">
        <v>2304</v>
      </c>
      <c r="E866" t="s">
        <v>1783</v>
      </c>
    </row>
    <row r="867" s="83" customFormat="1" spans="1:5">
      <c r="A867" s="83" t="s">
        <v>3024</v>
      </c>
      <c r="B867" s="83" t="s">
        <v>3024</v>
      </c>
      <c r="C867" s="83" t="s">
        <v>2304</v>
      </c>
      <c r="E867" s="83" t="s">
        <v>1124</v>
      </c>
    </row>
    <row r="868" spans="1:5">
      <c r="A868" t="s">
        <v>3025</v>
      </c>
      <c r="B868" t="s">
        <v>3026</v>
      </c>
      <c r="C868" t="s">
        <v>2304</v>
      </c>
      <c r="E868" t="s">
        <v>1124</v>
      </c>
    </row>
    <row r="869" s="83" customFormat="1" spans="1:5">
      <c r="A869" s="83" t="s">
        <v>3027</v>
      </c>
      <c r="B869" s="83" t="s">
        <v>3027</v>
      </c>
      <c r="C869" s="83" t="s">
        <v>2304</v>
      </c>
      <c r="E869" s="83" t="s">
        <v>1124</v>
      </c>
    </row>
    <row r="870" s="83" customFormat="1" spans="1:5">
      <c r="A870" s="83" t="s">
        <v>3028</v>
      </c>
      <c r="B870" s="83" t="s">
        <v>3028</v>
      </c>
      <c r="C870" s="83" t="s">
        <v>2304</v>
      </c>
      <c r="E870" s="83" t="s">
        <v>1124</v>
      </c>
    </row>
    <row r="871" s="83" customFormat="1" spans="1:5">
      <c r="A871" s="83" t="s">
        <v>3029</v>
      </c>
      <c r="B871" s="83" t="s">
        <v>3029</v>
      </c>
      <c r="C871" s="83" t="s">
        <v>2304</v>
      </c>
      <c r="E871" s="83" t="s">
        <v>1124</v>
      </c>
    </row>
    <row r="872" s="83" customFormat="1" spans="1:5">
      <c r="A872" s="83" t="s">
        <v>3030</v>
      </c>
      <c r="B872" s="83" t="s">
        <v>3030</v>
      </c>
      <c r="C872" s="83" t="s">
        <v>2304</v>
      </c>
      <c r="E872" s="83" t="s">
        <v>1124</v>
      </c>
    </row>
    <row r="873" spans="1:5">
      <c r="A873" t="s">
        <v>3031</v>
      </c>
      <c r="B873" t="s">
        <v>3031</v>
      </c>
      <c r="C873" t="s">
        <v>2304</v>
      </c>
      <c r="E873" t="s">
        <v>1783</v>
      </c>
    </row>
    <row r="874" s="83" customFormat="1" spans="1:5">
      <c r="A874" s="83" t="s">
        <v>3032</v>
      </c>
      <c r="B874" s="83" t="s">
        <v>3032</v>
      </c>
      <c r="C874" s="83" t="s">
        <v>2304</v>
      </c>
      <c r="E874" s="83" t="s">
        <v>124</v>
      </c>
    </row>
    <row r="875" spans="1:5">
      <c r="A875" t="s">
        <v>3033</v>
      </c>
      <c r="B875" t="s">
        <v>3033</v>
      </c>
      <c r="C875" t="s">
        <v>2304</v>
      </c>
      <c r="E875" t="s">
        <v>2306</v>
      </c>
    </row>
    <row r="876" s="83" customFormat="1" spans="1:5">
      <c r="A876" s="83" t="s">
        <v>3034</v>
      </c>
      <c r="B876" s="83" t="s">
        <v>3034</v>
      </c>
      <c r="C876" s="83" t="s">
        <v>2304</v>
      </c>
      <c r="E876" s="83" t="s">
        <v>1124</v>
      </c>
    </row>
    <row r="877" spans="1:5">
      <c r="A877" t="s">
        <v>3035</v>
      </c>
      <c r="B877" t="s">
        <v>3035</v>
      </c>
      <c r="C877" t="s">
        <v>2304</v>
      </c>
      <c r="E877" t="s">
        <v>1124</v>
      </c>
    </row>
    <row r="878" s="83" customFormat="1" spans="1:5">
      <c r="A878" s="83" t="s">
        <v>3036</v>
      </c>
      <c r="B878" s="83" t="s">
        <v>3036</v>
      </c>
      <c r="C878" s="83" t="s">
        <v>2304</v>
      </c>
      <c r="E878" s="83" t="s">
        <v>1124</v>
      </c>
    </row>
    <row r="879" spans="1:5">
      <c r="A879" t="s">
        <v>3037</v>
      </c>
      <c r="B879" t="s">
        <v>3037</v>
      </c>
      <c r="C879" t="s">
        <v>2304</v>
      </c>
      <c r="E879" t="s">
        <v>1124</v>
      </c>
    </row>
    <row r="880" spans="1:5">
      <c r="A880" t="s">
        <v>3038</v>
      </c>
      <c r="B880" t="s">
        <v>3038</v>
      </c>
      <c r="C880" t="s">
        <v>2304</v>
      </c>
      <c r="E880" t="s">
        <v>1124</v>
      </c>
    </row>
    <row r="881" spans="1:5">
      <c r="A881" t="s">
        <v>3039</v>
      </c>
      <c r="B881" t="s">
        <v>3039</v>
      </c>
      <c r="C881" t="s">
        <v>2304</v>
      </c>
      <c r="E881" t="s">
        <v>1124</v>
      </c>
    </row>
    <row r="882" spans="1:5">
      <c r="A882" t="s">
        <v>3040</v>
      </c>
      <c r="B882" t="s">
        <v>3040</v>
      </c>
      <c r="C882" t="s">
        <v>2304</v>
      </c>
      <c r="E882" t="s">
        <v>1783</v>
      </c>
    </row>
    <row r="883" spans="1:5">
      <c r="A883" t="s">
        <v>3041</v>
      </c>
      <c r="B883" t="s">
        <v>3041</v>
      </c>
      <c r="C883" t="s">
        <v>2304</v>
      </c>
      <c r="E883" t="s">
        <v>1124</v>
      </c>
    </row>
    <row r="884" spans="1:5">
      <c r="A884" t="s">
        <v>3042</v>
      </c>
      <c r="B884" t="s">
        <v>3042</v>
      </c>
      <c r="C884" t="s">
        <v>2304</v>
      </c>
      <c r="E884" t="s">
        <v>1124</v>
      </c>
    </row>
    <row r="885" spans="1:5">
      <c r="A885" t="s">
        <v>3043</v>
      </c>
      <c r="B885" t="s">
        <v>3043</v>
      </c>
      <c r="C885" t="s">
        <v>2304</v>
      </c>
      <c r="E885" t="s">
        <v>1124</v>
      </c>
    </row>
    <row r="886" s="83" customFormat="1" spans="1:5">
      <c r="A886" s="83" t="s">
        <v>3044</v>
      </c>
      <c r="B886" s="83" t="s">
        <v>3044</v>
      </c>
      <c r="C886" s="83" t="s">
        <v>2304</v>
      </c>
      <c r="E886" s="83" t="s">
        <v>1124</v>
      </c>
    </row>
    <row r="887" s="83" customFormat="1" spans="1:5">
      <c r="A887" s="83" t="s">
        <v>3045</v>
      </c>
      <c r="B887" s="83" t="s">
        <v>3045</v>
      </c>
      <c r="C887" s="83" t="s">
        <v>2304</v>
      </c>
      <c r="E887" s="83" t="s">
        <v>1124</v>
      </c>
    </row>
    <row r="888" spans="1:5">
      <c r="A888" t="s">
        <v>3046</v>
      </c>
      <c r="B888" t="s">
        <v>3046</v>
      </c>
      <c r="C888" t="s">
        <v>2304</v>
      </c>
      <c r="E888" t="s">
        <v>1972</v>
      </c>
    </row>
    <row r="889" s="83" customFormat="1" spans="1:5">
      <c r="A889" s="83" t="s">
        <v>3047</v>
      </c>
      <c r="B889" s="83" t="s">
        <v>3047</v>
      </c>
      <c r="C889" s="83" t="s">
        <v>2304</v>
      </c>
      <c r="E889" s="83" t="s">
        <v>1124</v>
      </c>
    </row>
    <row r="890" s="83" customFormat="1" spans="1:5">
      <c r="A890" s="83" t="s">
        <v>3048</v>
      </c>
      <c r="B890" s="83" t="s">
        <v>3048</v>
      </c>
      <c r="C890" s="83" t="s">
        <v>2304</v>
      </c>
      <c r="E890" s="83" t="s">
        <v>1124</v>
      </c>
    </row>
    <row r="891" s="83" customFormat="1" spans="1:5">
      <c r="A891" s="83" t="s">
        <v>3049</v>
      </c>
      <c r="B891" s="83" t="s">
        <v>3049</v>
      </c>
      <c r="C891" s="83" t="s">
        <v>2304</v>
      </c>
      <c r="E891" s="83" t="s">
        <v>1124</v>
      </c>
    </row>
    <row r="892" s="83" customFormat="1" spans="1:5">
      <c r="A892" s="83" t="s">
        <v>3050</v>
      </c>
      <c r="B892" s="83" t="s">
        <v>3050</v>
      </c>
      <c r="C892" s="83" t="s">
        <v>2304</v>
      </c>
      <c r="E892" s="83" t="s">
        <v>1124</v>
      </c>
    </row>
    <row r="893" s="83" customFormat="1" spans="1:5">
      <c r="A893" s="83" t="s">
        <v>3051</v>
      </c>
      <c r="B893" s="83" t="s">
        <v>3051</v>
      </c>
      <c r="C893" s="83" t="s">
        <v>2304</v>
      </c>
      <c r="E893" s="83" t="s">
        <v>1124</v>
      </c>
    </row>
    <row r="894" s="83" customFormat="1" spans="1:5">
      <c r="A894" s="83" t="s">
        <v>3052</v>
      </c>
      <c r="B894" s="83" t="s">
        <v>3052</v>
      </c>
      <c r="C894" s="83" t="s">
        <v>2304</v>
      </c>
      <c r="E894" s="83" t="s">
        <v>1124</v>
      </c>
    </row>
    <row r="895" spans="1:5">
      <c r="A895" t="s">
        <v>3053</v>
      </c>
      <c r="B895" t="s">
        <v>3053</v>
      </c>
      <c r="C895" t="s">
        <v>2304</v>
      </c>
      <c r="E895" t="s">
        <v>1124</v>
      </c>
    </row>
    <row r="896" s="83" customFormat="1" spans="1:5">
      <c r="A896" s="83" t="s">
        <v>3054</v>
      </c>
      <c r="B896" s="83" t="s">
        <v>3054</v>
      </c>
      <c r="C896" s="83" t="s">
        <v>2304</v>
      </c>
      <c r="E896" s="83" t="s">
        <v>1124</v>
      </c>
    </row>
    <row r="897" spans="1:5">
      <c r="A897" t="s">
        <v>3055</v>
      </c>
      <c r="B897" t="s">
        <v>3055</v>
      </c>
      <c r="C897" t="s">
        <v>2304</v>
      </c>
      <c r="E897" t="s">
        <v>1124</v>
      </c>
    </row>
    <row r="898" spans="1:5">
      <c r="A898" t="s">
        <v>3056</v>
      </c>
      <c r="B898" t="s">
        <v>3056</v>
      </c>
      <c r="C898" t="s">
        <v>2304</v>
      </c>
      <c r="E898" t="s">
        <v>1124</v>
      </c>
    </row>
    <row r="899" spans="1:5">
      <c r="A899" t="s">
        <v>3057</v>
      </c>
      <c r="B899" t="s">
        <v>3057</v>
      </c>
      <c r="C899" t="s">
        <v>2304</v>
      </c>
      <c r="E899" t="s">
        <v>124</v>
      </c>
    </row>
    <row r="900" s="83" customFormat="1" spans="1:5">
      <c r="A900" s="83" t="s">
        <v>3058</v>
      </c>
      <c r="B900" s="83" t="s">
        <v>3058</v>
      </c>
      <c r="C900" s="83" t="s">
        <v>2304</v>
      </c>
      <c r="E900" s="83" t="s">
        <v>1124</v>
      </c>
    </row>
    <row r="901" spans="1:5">
      <c r="A901" t="s">
        <v>3059</v>
      </c>
      <c r="B901" t="s">
        <v>3059</v>
      </c>
      <c r="C901" t="s">
        <v>2304</v>
      </c>
      <c r="E901" t="s">
        <v>1124</v>
      </c>
    </row>
    <row r="902" spans="1:5">
      <c r="A902" t="s">
        <v>3060</v>
      </c>
      <c r="B902" t="s">
        <v>3060</v>
      </c>
      <c r="C902" t="s">
        <v>2304</v>
      </c>
      <c r="E902" t="s">
        <v>1124</v>
      </c>
    </row>
    <row r="903" spans="1:5">
      <c r="A903" t="s">
        <v>3061</v>
      </c>
      <c r="B903" t="s">
        <v>3061</v>
      </c>
      <c r="C903" t="s">
        <v>2304</v>
      </c>
      <c r="E903" t="s">
        <v>1124</v>
      </c>
    </row>
    <row r="904" spans="1:5">
      <c r="A904" t="s">
        <v>3062</v>
      </c>
      <c r="B904" t="s">
        <v>3062</v>
      </c>
      <c r="C904" t="s">
        <v>2304</v>
      </c>
      <c r="E904" t="s">
        <v>1124</v>
      </c>
    </row>
    <row r="905" spans="1:5">
      <c r="A905" t="s">
        <v>3063</v>
      </c>
      <c r="B905" t="s">
        <v>3063</v>
      </c>
      <c r="C905" t="s">
        <v>2304</v>
      </c>
      <c r="E905" t="s">
        <v>1124</v>
      </c>
    </row>
    <row r="906" spans="1:5">
      <c r="A906" t="s">
        <v>3064</v>
      </c>
      <c r="B906" t="s">
        <v>3065</v>
      </c>
      <c r="C906" t="s">
        <v>2304</v>
      </c>
      <c r="E906" t="s">
        <v>124</v>
      </c>
    </row>
    <row r="907" spans="1:5">
      <c r="A907" t="s">
        <v>3066</v>
      </c>
      <c r="B907" t="s">
        <v>3066</v>
      </c>
      <c r="C907" t="s">
        <v>2304</v>
      </c>
      <c r="E907" t="s">
        <v>1783</v>
      </c>
    </row>
    <row r="908" spans="1:5">
      <c r="A908" t="s">
        <v>3067</v>
      </c>
      <c r="B908" t="s">
        <v>3067</v>
      </c>
      <c r="C908" t="s">
        <v>2304</v>
      </c>
      <c r="E908" t="s">
        <v>1124</v>
      </c>
    </row>
    <row r="909" spans="1:5">
      <c r="A909" t="s">
        <v>3068</v>
      </c>
      <c r="B909" t="s">
        <v>3068</v>
      </c>
      <c r="C909" t="s">
        <v>2304</v>
      </c>
      <c r="E909" t="s">
        <v>1124</v>
      </c>
    </row>
    <row r="910" spans="1:5">
      <c r="A910" t="s">
        <v>3069</v>
      </c>
      <c r="B910" t="s">
        <v>3069</v>
      </c>
      <c r="C910" t="s">
        <v>2304</v>
      </c>
      <c r="E910" t="s">
        <v>1124</v>
      </c>
    </row>
    <row r="911" spans="1:5">
      <c r="A911" t="s">
        <v>3070</v>
      </c>
      <c r="B911" t="s">
        <v>3070</v>
      </c>
      <c r="C911" t="s">
        <v>2304</v>
      </c>
      <c r="E911" t="s">
        <v>1124</v>
      </c>
    </row>
    <row r="912" spans="1:5">
      <c r="A912" t="s">
        <v>3071</v>
      </c>
      <c r="B912" t="s">
        <v>3072</v>
      </c>
      <c r="C912" t="s">
        <v>2304</v>
      </c>
      <c r="E912" t="s">
        <v>124</v>
      </c>
    </row>
    <row r="913" spans="1:5">
      <c r="A913" t="s">
        <v>3073</v>
      </c>
      <c r="B913" t="s">
        <v>3073</v>
      </c>
      <c r="C913" t="s">
        <v>2304</v>
      </c>
      <c r="E913" t="s">
        <v>1783</v>
      </c>
    </row>
    <row r="914" spans="1:5">
      <c r="A914" t="s">
        <v>3074</v>
      </c>
      <c r="B914" t="s">
        <v>3074</v>
      </c>
      <c r="C914" t="s">
        <v>2304</v>
      </c>
      <c r="E914" t="s">
        <v>1124</v>
      </c>
    </row>
    <row r="915" spans="1:5">
      <c r="A915" t="s">
        <v>3075</v>
      </c>
      <c r="B915" t="s">
        <v>3075</v>
      </c>
      <c r="C915" t="s">
        <v>2304</v>
      </c>
      <c r="E915" t="s">
        <v>287</v>
      </c>
    </row>
    <row r="916" spans="1:5">
      <c r="A916" t="s">
        <v>3076</v>
      </c>
      <c r="B916" t="s">
        <v>3077</v>
      </c>
      <c r="C916" t="s">
        <v>2304</v>
      </c>
      <c r="E916" t="s">
        <v>1124</v>
      </c>
    </row>
    <row r="917" spans="1:5">
      <c r="A917" t="s">
        <v>3078</v>
      </c>
      <c r="B917" t="s">
        <v>3078</v>
      </c>
      <c r="C917" t="s">
        <v>2304</v>
      </c>
      <c r="E917" t="s">
        <v>1124</v>
      </c>
    </row>
    <row r="918" spans="1:5">
      <c r="A918" t="s">
        <v>3079</v>
      </c>
      <c r="B918" t="s">
        <v>3079</v>
      </c>
      <c r="C918" t="s">
        <v>2304</v>
      </c>
      <c r="E918" t="s">
        <v>1124</v>
      </c>
    </row>
    <row r="919" spans="1:5">
      <c r="A919" t="s">
        <v>3080</v>
      </c>
      <c r="B919" t="s">
        <v>3080</v>
      </c>
      <c r="C919" t="s">
        <v>2304</v>
      </c>
      <c r="E919" t="s">
        <v>1124</v>
      </c>
    </row>
    <row r="920" spans="1:5">
      <c r="A920" t="s">
        <v>915</v>
      </c>
      <c r="B920" t="s">
        <v>915</v>
      </c>
      <c r="C920" t="s">
        <v>2304</v>
      </c>
      <c r="E920" t="s">
        <v>124</v>
      </c>
    </row>
    <row r="921" spans="1:5">
      <c r="A921" t="s">
        <v>949</v>
      </c>
      <c r="B921" t="s">
        <v>949</v>
      </c>
      <c r="C921" t="s">
        <v>2304</v>
      </c>
      <c r="E921" t="s">
        <v>124</v>
      </c>
    </row>
    <row r="922" spans="1:5">
      <c r="A922" t="s">
        <v>3081</v>
      </c>
      <c r="B922" t="s">
        <v>3081</v>
      </c>
      <c r="C922" t="s">
        <v>2304</v>
      </c>
      <c r="E922" t="s">
        <v>1124</v>
      </c>
    </row>
    <row r="923" spans="1:5">
      <c r="A923" t="s">
        <v>3082</v>
      </c>
      <c r="B923" t="s">
        <v>3082</v>
      </c>
      <c r="C923" t="s">
        <v>2304</v>
      </c>
      <c r="E923" t="s">
        <v>1783</v>
      </c>
    </row>
    <row r="924" spans="1:5">
      <c r="A924" t="s">
        <v>3083</v>
      </c>
      <c r="B924" t="s">
        <v>3083</v>
      </c>
      <c r="C924" t="s">
        <v>2304</v>
      </c>
      <c r="E924" t="s">
        <v>1783</v>
      </c>
    </row>
    <row r="925" s="83" customFormat="1" spans="1:5">
      <c r="A925" s="83" t="s">
        <v>3084</v>
      </c>
      <c r="B925" s="83" t="s">
        <v>3084</v>
      </c>
      <c r="C925" s="83" t="s">
        <v>2304</v>
      </c>
      <c r="E925" s="83" t="s">
        <v>287</v>
      </c>
    </row>
    <row r="926" s="83" customFormat="1" spans="1:5">
      <c r="A926" s="83" t="s">
        <v>3085</v>
      </c>
      <c r="B926" s="83" t="s">
        <v>3085</v>
      </c>
      <c r="C926" s="83" t="s">
        <v>2304</v>
      </c>
      <c r="E926" s="83" t="s">
        <v>1124</v>
      </c>
    </row>
    <row r="927" spans="1:5">
      <c r="A927" t="s">
        <v>3086</v>
      </c>
      <c r="B927" t="s">
        <v>3087</v>
      </c>
      <c r="C927" t="s">
        <v>2304</v>
      </c>
      <c r="E927" t="s">
        <v>124</v>
      </c>
    </row>
    <row r="928" spans="1:5">
      <c r="A928" t="s">
        <v>3088</v>
      </c>
      <c r="B928" t="s">
        <v>3088</v>
      </c>
      <c r="C928" t="s">
        <v>2304</v>
      </c>
      <c r="E928" t="s">
        <v>1124</v>
      </c>
    </row>
    <row r="929" spans="1:5">
      <c r="A929" t="s">
        <v>3089</v>
      </c>
      <c r="B929" t="s">
        <v>3089</v>
      </c>
      <c r="C929" t="s">
        <v>2304</v>
      </c>
      <c r="E929" t="s">
        <v>1124</v>
      </c>
    </row>
    <row r="930" spans="1:5">
      <c r="A930" t="s">
        <v>3090</v>
      </c>
      <c r="B930" t="s">
        <v>3090</v>
      </c>
      <c r="C930" t="s">
        <v>2304</v>
      </c>
      <c r="E930" t="s">
        <v>1124</v>
      </c>
    </row>
    <row r="931" spans="1:5">
      <c r="A931" t="s">
        <v>3091</v>
      </c>
      <c r="B931" t="s">
        <v>3091</v>
      </c>
      <c r="C931" t="s">
        <v>2304</v>
      </c>
      <c r="E931" t="s">
        <v>1124</v>
      </c>
    </row>
    <row r="932" spans="1:5">
      <c r="A932" t="s">
        <v>3092</v>
      </c>
      <c r="B932" t="s">
        <v>3092</v>
      </c>
      <c r="C932" t="s">
        <v>2304</v>
      </c>
      <c r="E932" t="s">
        <v>1124</v>
      </c>
    </row>
    <row r="933" spans="1:5">
      <c r="A933" t="s">
        <v>3093</v>
      </c>
      <c r="B933" t="s">
        <v>3093</v>
      </c>
      <c r="C933" t="s">
        <v>2304</v>
      </c>
      <c r="E933" t="s">
        <v>1124</v>
      </c>
    </row>
    <row r="934" spans="1:5">
      <c r="A934" t="s">
        <v>3094</v>
      </c>
      <c r="B934" t="s">
        <v>3094</v>
      </c>
      <c r="C934" t="s">
        <v>2304</v>
      </c>
      <c r="E934" t="s">
        <v>1124</v>
      </c>
    </row>
    <row r="935" spans="1:5">
      <c r="A935" t="s">
        <v>3095</v>
      </c>
      <c r="B935" t="s">
        <v>3095</v>
      </c>
      <c r="C935" t="s">
        <v>2304</v>
      </c>
      <c r="E935" t="s">
        <v>1124</v>
      </c>
    </row>
    <row r="936" spans="1:5">
      <c r="A936" t="s">
        <v>3096</v>
      </c>
      <c r="B936" t="s">
        <v>3096</v>
      </c>
      <c r="C936" t="s">
        <v>2304</v>
      </c>
      <c r="E936" t="s">
        <v>1124</v>
      </c>
    </row>
    <row r="937" spans="1:5">
      <c r="A937" t="s">
        <v>3097</v>
      </c>
      <c r="B937" t="s">
        <v>3097</v>
      </c>
      <c r="C937" t="s">
        <v>2304</v>
      </c>
      <c r="E937" t="s">
        <v>1124</v>
      </c>
    </row>
    <row r="938" spans="1:5">
      <c r="A938" t="s">
        <v>3098</v>
      </c>
      <c r="B938" t="s">
        <v>3098</v>
      </c>
      <c r="C938" t="s">
        <v>2304</v>
      </c>
      <c r="E938" t="s">
        <v>1124</v>
      </c>
    </row>
    <row r="939" spans="1:5">
      <c r="A939" t="s">
        <v>3099</v>
      </c>
      <c r="B939" t="s">
        <v>3099</v>
      </c>
      <c r="C939" t="s">
        <v>2304</v>
      </c>
      <c r="E939" t="s">
        <v>1124</v>
      </c>
    </row>
    <row r="940" spans="1:5">
      <c r="A940" t="s">
        <v>3100</v>
      </c>
      <c r="B940" t="s">
        <v>3100</v>
      </c>
      <c r="C940" t="s">
        <v>2304</v>
      </c>
      <c r="E940" t="s">
        <v>1124</v>
      </c>
    </row>
    <row r="941" spans="1:5">
      <c r="A941" t="s">
        <v>3101</v>
      </c>
      <c r="B941" t="s">
        <v>3101</v>
      </c>
      <c r="C941" t="s">
        <v>2304</v>
      </c>
      <c r="E941" t="s">
        <v>1124</v>
      </c>
    </row>
    <row r="942" spans="1:5">
      <c r="A942" t="s">
        <v>3102</v>
      </c>
      <c r="B942" t="s">
        <v>3102</v>
      </c>
      <c r="C942" t="s">
        <v>2304</v>
      </c>
      <c r="E942" t="s">
        <v>1124</v>
      </c>
    </row>
    <row r="943" spans="1:5">
      <c r="A943" t="s">
        <v>3103</v>
      </c>
      <c r="B943" t="s">
        <v>3103</v>
      </c>
      <c r="C943" t="s">
        <v>2304</v>
      </c>
      <c r="E943" t="s">
        <v>1124</v>
      </c>
    </row>
    <row r="944" spans="1:5">
      <c r="A944" t="s">
        <v>3104</v>
      </c>
      <c r="B944" t="s">
        <v>3104</v>
      </c>
      <c r="C944" t="s">
        <v>2304</v>
      </c>
      <c r="E944" t="s">
        <v>1124</v>
      </c>
    </row>
    <row r="945" spans="1:5">
      <c r="A945" t="s">
        <v>3105</v>
      </c>
      <c r="B945" t="s">
        <v>3105</v>
      </c>
      <c r="C945" t="s">
        <v>2304</v>
      </c>
      <c r="E945" t="s">
        <v>2306</v>
      </c>
    </row>
    <row r="946" spans="1:5">
      <c r="A946" t="s">
        <v>3106</v>
      </c>
      <c r="B946" t="s">
        <v>3106</v>
      </c>
      <c r="C946" t="s">
        <v>2304</v>
      </c>
      <c r="E946" t="s">
        <v>1124</v>
      </c>
    </row>
    <row r="947" spans="1:5">
      <c r="A947" t="s">
        <v>3107</v>
      </c>
      <c r="B947" t="s">
        <v>3107</v>
      </c>
      <c r="C947" t="s">
        <v>2304</v>
      </c>
      <c r="E947" t="s">
        <v>1124</v>
      </c>
    </row>
    <row r="948" spans="1:5">
      <c r="A948" t="s">
        <v>3108</v>
      </c>
      <c r="B948" t="s">
        <v>3108</v>
      </c>
      <c r="C948" t="s">
        <v>2304</v>
      </c>
      <c r="E948" t="s">
        <v>1124</v>
      </c>
    </row>
    <row r="949" spans="1:5">
      <c r="A949" t="s">
        <v>3109</v>
      </c>
      <c r="B949" t="s">
        <v>3109</v>
      </c>
      <c r="C949" t="s">
        <v>2304</v>
      </c>
      <c r="E949" t="s">
        <v>1124</v>
      </c>
    </row>
    <row r="950" spans="1:5">
      <c r="A950" t="s">
        <v>3110</v>
      </c>
      <c r="B950" t="s">
        <v>3110</v>
      </c>
      <c r="C950" t="s">
        <v>2304</v>
      </c>
      <c r="E950" t="s">
        <v>1124</v>
      </c>
    </row>
    <row r="951" spans="1:5">
      <c r="A951" t="s">
        <v>3111</v>
      </c>
      <c r="B951" t="s">
        <v>3111</v>
      </c>
      <c r="C951" t="s">
        <v>2304</v>
      </c>
      <c r="E951" t="s">
        <v>1124</v>
      </c>
    </row>
    <row r="952" spans="1:5">
      <c r="A952" t="s">
        <v>3112</v>
      </c>
      <c r="B952" t="s">
        <v>3112</v>
      </c>
      <c r="C952" t="s">
        <v>2304</v>
      </c>
      <c r="E952" t="s">
        <v>1124</v>
      </c>
    </row>
    <row r="953" spans="1:5">
      <c r="A953" t="s">
        <v>3113</v>
      </c>
      <c r="B953" t="s">
        <v>3113</v>
      </c>
      <c r="C953" t="s">
        <v>2304</v>
      </c>
      <c r="E953" t="s">
        <v>547</v>
      </c>
    </row>
    <row r="954" spans="1:5">
      <c r="A954" t="s">
        <v>3114</v>
      </c>
      <c r="B954" t="s">
        <v>3114</v>
      </c>
      <c r="C954" t="s">
        <v>2304</v>
      </c>
      <c r="E954" t="s">
        <v>124</v>
      </c>
    </row>
    <row r="955" spans="1:5">
      <c r="A955" t="s">
        <v>3115</v>
      </c>
      <c r="B955" t="s">
        <v>3115</v>
      </c>
      <c r="C955" t="s">
        <v>2304</v>
      </c>
      <c r="E955" t="s">
        <v>1124</v>
      </c>
    </row>
    <row r="956" spans="1:5">
      <c r="A956" t="s">
        <v>956</v>
      </c>
      <c r="B956" t="s">
        <v>956</v>
      </c>
      <c r="C956" t="s">
        <v>2304</v>
      </c>
      <c r="E956" t="s">
        <v>124</v>
      </c>
    </row>
    <row r="957" spans="1:5">
      <c r="A957" t="s">
        <v>3116</v>
      </c>
      <c r="B957" t="s">
        <v>3116</v>
      </c>
      <c r="C957" t="s">
        <v>2304</v>
      </c>
      <c r="E957" t="s">
        <v>124</v>
      </c>
    </row>
    <row r="958" spans="1:5">
      <c r="A958" t="s">
        <v>919</v>
      </c>
      <c r="B958" t="s">
        <v>919</v>
      </c>
      <c r="C958" t="s">
        <v>2304</v>
      </c>
      <c r="E958" t="s">
        <v>124</v>
      </c>
    </row>
    <row r="959" spans="1:5">
      <c r="A959" t="s">
        <v>3117</v>
      </c>
      <c r="B959" t="s">
        <v>3117</v>
      </c>
      <c r="C959" t="s">
        <v>2304</v>
      </c>
      <c r="E959" t="s">
        <v>377</v>
      </c>
    </row>
    <row r="960" spans="1:5">
      <c r="A960" t="s">
        <v>3118</v>
      </c>
      <c r="B960" t="s">
        <v>3118</v>
      </c>
      <c r="C960" t="s">
        <v>2304</v>
      </c>
      <c r="E960" t="s">
        <v>377</v>
      </c>
    </row>
    <row r="961" spans="1:5">
      <c r="A961" t="s">
        <v>3119</v>
      </c>
      <c r="B961" t="s">
        <v>3119</v>
      </c>
      <c r="C961" t="s">
        <v>2304</v>
      </c>
      <c r="E961" t="s">
        <v>124</v>
      </c>
    </row>
    <row r="962" spans="1:5">
      <c r="A962" t="s">
        <v>3120</v>
      </c>
      <c r="B962" t="s">
        <v>3121</v>
      </c>
      <c r="C962" t="s">
        <v>2304</v>
      </c>
      <c r="E962" t="s">
        <v>124</v>
      </c>
    </row>
    <row r="963" spans="1:5">
      <c r="A963" t="s">
        <v>3122</v>
      </c>
      <c r="B963" t="s">
        <v>3123</v>
      </c>
      <c r="C963" t="s">
        <v>2304</v>
      </c>
      <c r="E963" t="s">
        <v>363</v>
      </c>
    </row>
    <row r="964" spans="1:5">
      <c r="A964" t="s">
        <v>3124</v>
      </c>
      <c r="B964" t="s">
        <v>3124</v>
      </c>
      <c r="C964" t="s">
        <v>2304</v>
      </c>
      <c r="E964" t="s">
        <v>124</v>
      </c>
    </row>
    <row r="965" spans="1:5">
      <c r="A965" t="s">
        <v>3125</v>
      </c>
      <c r="B965" t="s">
        <v>3125</v>
      </c>
      <c r="C965" t="s">
        <v>2304</v>
      </c>
      <c r="E965" t="s">
        <v>124</v>
      </c>
    </row>
    <row r="966" spans="1:5">
      <c r="A966" t="s">
        <v>3126</v>
      </c>
      <c r="B966" t="s">
        <v>3126</v>
      </c>
      <c r="C966" t="s">
        <v>2304</v>
      </c>
      <c r="E966" t="s">
        <v>1124</v>
      </c>
    </row>
    <row r="967" spans="1:5">
      <c r="A967" t="s">
        <v>3127</v>
      </c>
      <c r="B967" t="s">
        <v>3127</v>
      </c>
      <c r="C967" t="s">
        <v>2304</v>
      </c>
      <c r="E967" t="s">
        <v>124</v>
      </c>
    </row>
    <row r="968" spans="1:5">
      <c r="A968" t="s">
        <v>3128</v>
      </c>
      <c r="B968" t="s">
        <v>3128</v>
      </c>
      <c r="C968" t="s">
        <v>2304</v>
      </c>
      <c r="E968" t="s">
        <v>124</v>
      </c>
    </row>
    <row r="969" spans="1:5">
      <c r="A969" t="s">
        <v>3129</v>
      </c>
      <c r="B969" t="s">
        <v>3129</v>
      </c>
      <c r="C969" t="s">
        <v>2304</v>
      </c>
      <c r="E969" t="s">
        <v>2306</v>
      </c>
    </row>
    <row r="970" s="83" customFormat="1" spans="1:5">
      <c r="A970" s="83" t="s">
        <v>3130</v>
      </c>
      <c r="B970" s="83" t="s">
        <v>900</v>
      </c>
      <c r="C970" s="83" t="s">
        <v>2304</v>
      </c>
      <c r="E970" s="83" t="s">
        <v>124</v>
      </c>
    </row>
    <row r="971" spans="1:5">
      <c r="A971" t="s">
        <v>921</v>
      </c>
      <c r="B971" t="s">
        <v>921</v>
      </c>
      <c r="C971" t="s">
        <v>2304</v>
      </c>
      <c r="E971" t="s">
        <v>124</v>
      </c>
    </row>
    <row r="972" spans="1:5">
      <c r="A972" t="s">
        <v>3131</v>
      </c>
      <c r="B972" t="s">
        <v>3131</v>
      </c>
      <c r="C972" t="s">
        <v>2304</v>
      </c>
      <c r="E972" t="s">
        <v>1783</v>
      </c>
    </row>
    <row r="973" s="83" customFormat="1" spans="1:5">
      <c r="A973" s="83" t="s">
        <v>3132</v>
      </c>
      <c r="B973" s="83" t="s">
        <v>3133</v>
      </c>
      <c r="C973" s="83" t="s">
        <v>2304</v>
      </c>
      <c r="E973" s="83" t="s">
        <v>1124</v>
      </c>
    </row>
    <row r="974" spans="1:5">
      <c r="A974" t="s">
        <v>3134</v>
      </c>
      <c r="B974" t="s">
        <v>3134</v>
      </c>
      <c r="C974" t="s">
        <v>2304</v>
      </c>
      <c r="E974" t="s">
        <v>803</v>
      </c>
    </row>
    <row r="975" spans="1:5">
      <c r="A975" t="s">
        <v>3135</v>
      </c>
      <c r="B975" t="s">
        <v>3135</v>
      </c>
      <c r="C975" t="s">
        <v>2304</v>
      </c>
      <c r="E975" t="s">
        <v>124</v>
      </c>
    </row>
    <row r="976" spans="1:5">
      <c r="A976" t="s">
        <v>3136</v>
      </c>
      <c r="B976" t="s">
        <v>3136</v>
      </c>
      <c r="C976" t="s">
        <v>2304</v>
      </c>
      <c r="E976" t="s">
        <v>287</v>
      </c>
    </row>
    <row r="977" spans="1:5">
      <c r="A977" t="s">
        <v>3137</v>
      </c>
      <c r="B977" t="s">
        <v>3137</v>
      </c>
      <c r="C977" t="s">
        <v>2304</v>
      </c>
      <c r="E977" t="s">
        <v>2306</v>
      </c>
    </row>
    <row r="978" spans="1:5">
      <c r="A978" t="s">
        <v>3138</v>
      </c>
      <c r="B978" t="s">
        <v>3138</v>
      </c>
      <c r="C978" t="s">
        <v>2304</v>
      </c>
      <c r="E978" t="s">
        <v>1783</v>
      </c>
    </row>
    <row r="979" spans="1:5">
      <c r="A979" t="s">
        <v>3139</v>
      </c>
      <c r="B979" t="s">
        <v>3139</v>
      </c>
      <c r="C979" t="s">
        <v>2304</v>
      </c>
      <c r="E979" t="s">
        <v>1783</v>
      </c>
    </row>
    <row r="980" spans="1:5">
      <c r="A980" t="s">
        <v>3140</v>
      </c>
      <c r="B980" t="s">
        <v>3140</v>
      </c>
      <c r="C980" t="s">
        <v>2304</v>
      </c>
      <c r="E980" t="s">
        <v>1783</v>
      </c>
    </row>
    <row r="981" spans="1:5">
      <c r="A981" t="s">
        <v>911</v>
      </c>
      <c r="B981" t="s">
        <v>911</v>
      </c>
      <c r="C981" t="s">
        <v>2304</v>
      </c>
      <c r="E981" t="s">
        <v>124</v>
      </c>
    </row>
    <row r="982" spans="1:5">
      <c r="A982" t="s">
        <v>960</v>
      </c>
      <c r="B982" t="s">
        <v>960</v>
      </c>
      <c r="C982" t="s">
        <v>2304</v>
      </c>
      <c r="E982" t="s">
        <v>124</v>
      </c>
    </row>
    <row r="983" s="83" customFormat="1" spans="1:5">
      <c r="A983" s="83" t="s">
        <v>940</v>
      </c>
      <c r="B983" s="83" t="s">
        <v>940</v>
      </c>
      <c r="C983" s="83" t="s">
        <v>2304</v>
      </c>
      <c r="E983" s="83" t="s">
        <v>124</v>
      </c>
    </row>
    <row r="984" spans="1:5">
      <c r="A984" t="s">
        <v>3141</v>
      </c>
      <c r="B984" t="s">
        <v>938</v>
      </c>
      <c r="C984" t="s">
        <v>2304</v>
      </c>
      <c r="E984" t="s">
        <v>124</v>
      </c>
    </row>
    <row r="985" spans="1:5">
      <c r="A985" t="s">
        <v>937</v>
      </c>
      <c r="B985" t="s">
        <v>937</v>
      </c>
      <c r="C985" t="s">
        <v>2304</v>
      </c>
      <c r="E985" t="s">
        <v>124</v>
      </c>
    </row>
    <row r="986" spans="1:5">
      <c r="A986" t="s">
        <v>939</v>
      </c>
      <c r="B986" t="s">
        <v>939</v>
      </c>
      <c r="C986" t="s">
        <v>2304</v>
      </c>
      <c r="E986" t="s">
        <v>124</v>
      </c>
    </row>
    <row r="987" spans="1:5">
      <c r="A987" t="s">
        <v>931</v>
      </c>
      <c r="B987" t="s">
        <v>931</v>
      </c>
      <c r="C987" t="s">
        <v>2304</v>
      </c>
      <c r="E987" t="s">
        <v>124</v>
      </c>
    </row>
    <row r="988" spans="1:5">
      <c r="A988" t="s">
        <v>3142</v>
      </c>
      <c r="B988" t="s">
        <v>3142</v>
      </c>
      <c r="C988" t="s">
        <v>2304</v>
      </c>
      <c r="E988" t="s">
        <v>363</v>
      </c>
    </row>
    <row r="989" spans="1:5">
      <c r="A989" t="s">
        <v>3143</v>
      </c>
      <c r="B989" t="s">
        <v>3143</v>
      </c>
      <c r="C989" t="s">
        <v>2304</v>
      </c>
      <c r="E989" t="s">
        <v>1783</v>
      </c>
    </row>
    <row r="990" spans="1:5">
      <c r="A990" t="s">
        <v>3144</v>
      </c>
      <c r="B990" t="s">
        <v>3144</v>
      </c>
      <c r="C990" t="s">
        <v>2304</v>
      </c>
      <c r="E990" t="s">
        <v>1783</v>
      </c>
    </row>
    <row r="991" spans="1:5">
      <c r="A991" t="s">
        <v>3145</v>
      </c>
      <c r="B991" t="s">
        <v>3145</v>
      </c>
      <c r="C991" t="s">
        <v>2304</v>
      </c>
      <c r="E991" t="s">
        <v>1783</v>
      </c>
    </row>
    <row r="992" spans="1:5">
      <c r="A992" t="s">
        <v>3146</v>
      </c>
      <c r="B992" t="s">
        <v>3146</v>
      </c>
      <c r="C992" t="s">
        <v>2304</v>
      </c>
      <c r="E992" t="s">
        <v>1124</v>
      </c>
    </row>
    <row r="993" spans="1:5">
      <c r="A993" t="s">
        <v>3147</v>
      </c>
      <c r="B993" t="s">
        <v>3147</v>
      </c>
      <c r="C993" t="s">
        <v>2304</v>
      </c>
      <c r="E993" t="s">
        <v>1124</v>
      </c>
    </row>
    <row r="994" spans="1:5">
      <c r="A994" t="s">
        <v>3148</v>
      </c>
      <c r="B994" t="s">
        <v>3148</v>
      </c>
      <c r="C994" t="s">
        <v>2304</v>
      </c>
      <c r="E994" t="s">
        <v>124</v>
      </c>
    </row>
    <row r="995" s="83" customFormat="1" spans="1:5">
      <c r="A995" s="83" t="s">
        <v>3149</v>
      </c>
      <c r="B995" s="83" t="s">
        <v>3149</v>
      </c>
      <c r="C995" s="83" t="s">
        <v>2304</v>
      </c>
      <c r="E995" s="83" t="s">
        <v>1124</v>
      </c>
    </row>
    <row r="996" spans="1:5">
      <c r="A996" t="s">
        <v>3150</v>
      </c>
      <c r="B996" t="s">
        <v>3150</v>
      </c>
      <c r="C996" t="s">
        <v>2304</v>
      </c>
      <c r="E996" t="s">
        <v>1124</v>
      </c>
    </row>
    <row r="997" spans="1:5">
      <c r="A997" t="s">
        <v>3151</v>
      </c>
      <c r="B997" t="s">
        <v>3151</v>
      </c>
      <c r="C997" t="s">
        <v>2304</v>
      </c>
      <c r="E997" t="s">
        <v>1124</v>
      </c>
    </row>
    <row r="998" spans="1:5">
      <c r="A998" t="s">
        <v>3152</v>
      </c>
      <c r="B998" t="s">
        <v>3152</v>
      </c>
      <c r="C998" t="s">
        <v>2304</v>
      </c>
      <c r="E998" t="s">
        <v>1124</v>
      </c>
    </row>
    <row r="999" spans="1:5">
      <c r="A999" t="s">
        <v>3153</v>
      </c>
      <c r="B999" t="s">
        <v>3153</v>
      </c>
      <c r="C999" t="s">
        <v>2304</v>
      </c>
      <c r="E999" t="s">
        <v>124</v>
      </c>
    </row>
    <row r="1000" spans="1:5">
      <c r="A1000" t="s">
        <v>3154</v>
      </c>
      <c r="B1000" t="s">
        <v>3154</v>
      </c>
      <c r="C1000" t="s">
        <v>2304</v>
      </c>
      <c r="E1000" t="s">
        <v>1124</v>
      </c>
    </row>
    <row r="1001" spans="1:5">
      <c r="A1001" t="s">
        <v>3155</v>
      </c>
      <c r="B1001" t="s">
        <v>3155</v>
      </c>
      <c r="C1001" t="s">
        <v>2304</v>
      </c>
      <c r="E1001" t="s">
        <v>1124</v>
      </c>
    </row>
    <row r="1002" spans="1:5">
      <c r="A1002" t="s">
        <v>3156</v>
      </c>
      <c r="B1002" t="s">
        <v>3156</v>
      </c>
      <c r="C1002" t="s">
        <v>2304</v>
      </c>
      <c r="E1002" t="s">
        <v>1783</v>
      </c>
    </row>
    <row r="1003" s="83" customFormat="1" spans="1:5">
      <c r="A1003" s="83" t="s">
        <v>3157</v>
      </c>
      <c r="B1003" s="83" t="s">
        <v>3157</v>
      </c>
      <c r="C1003" s="83" t="s">
        <v>2304</v>
      </c>
      <c r="E1003" s="83" t="s">
        <v>1124</v>
      </c>
    </row>
    <row r="1004" s="83" customFormat="1" spans="1:5">
      <c r="A1004" s="83" t="s">
        <v>3158</v>
      </c>
      <c r="B1004" s="83" t="s">
        <v>3158</v>
      </c>
      <c r="C1004" s="83" t="s">
        <v>2304</v>
      </c>
      <c r="E1004" s="83" t="s">
        <v>1124</v>
      </c>
    </row>
    <row r="1005" s="83" customFormat="1" spans="1:5">
      <c r="A1005" s="83" t="s">
        <v>3159</v>
      </c>
      <c r="B1005" s="83" t="s">
        <v>3159</v>
      </c>
      <c r="C1005" s="83" t="s">
        <v>2304</v>
      </c>
      <c r="E1005" s="83" t="s">
        <v>3160</v>
      </c>
    </row>
    <row r="1006" spans="1:5">
      <c r="A1006" t="s">
        <v>3161</v>
      </c>
      <c r="B1006" t="s">
        <v>3161</v>
      </c>
      <c r="C1006" t="s">
        <v>2304</v>
      </c>
      <c r="E1006" t="s">
        <v>1124</v>
      </c>
    </row>
    <row r="1007" spans="1:5">
      <c r="A1007" t="s">
        <v>3162</v>
      </c>
      <c r="B1007" t="s">
        <v>3162</v>
      </c>
      <c r="C1007" t="s">
        <v>2304</v>
      </c>
      <c r="E1007" t="s">
        <v>1783</v>
      </c>
    </row>
    <row r="1008" spans="1:5">
      <c r="A1008" t="s">
        <v>3163</v>
      </c>
      <c r="B1008" t="s">
        <v>3163</v>
      </c>
      <c r="C1008" t="s">
        <v>2304</v>
      </c>
      <c r="E1008" t="s">
        <v>1124</v>
      </c>
    </row>
    <row r="1009" spans="1:5">
      <c r="A1009" t="s">
        <v>3164</v>
      </c>
      <c r="B1009" t="s">
        <v>3164</v>
      </c>
      <c r="C1009" t="s">
        <v>2304</v>
      </c>
      <c r="E1009" t="s">
        <v>1124</v>
      </c>
    </row>
    <row r="1010" spans="1:5">
      <c r="A1010" t="s">
        <v>3165</v>
      </c>
      <c r="B1010" t="s">
        <v>3165</v>
      </c>
      <c r="C1010" t="s">
        <v>2304</v>
      </c>
      <c r="E1010" t="s">
        <v>1124</v>
      </c>
    </row>
    <row r="1011" spans="1:5">
      <c r="A1011" t="s">
        <v>3166</v>
      </c>
      <c r="B1011" t="s">
        <v>3166</v>
      </c>
      <c r="C1011" t="s">
        <v>2304</v>
      </c>
      <c r="E1011" t="s">
        <v>1124</v>
      </c>
    </row>
    <row r="1012" spans="1:5">
      <c r="A1012" t="s">
        <v>3167</v>
      </c>
      <c r="B1012" t="s">
        <v>3167</v>
      </c>
      <c r="C1012" t="s">
        <v>2304</v>
      </c>
      <c r="E1012" t="s">
        <v>1124</v>
      </c>
    </row>
    <row r="1013" spans="1:5">
      <c r="A1013" t="s">
        <v>3168</v>
      </c>
      <c r="C1013" t="s">
        <v>3168</v>
      </c>
    </row>
    <row r="1014" spans="1:5">
      <c r="A1014" t="s">
        <v>3169</v>
      </c>
      <c r="B1014" t="s">
        <v>3169</v>
      </c>
      <c r="C1014" t="s">
        <v>3168</v>
      </c>
      <c r="E1014" t="s">
        <v>124</v>
      </c>
    </row>
    <row r="1015" spans="1:5">
      <c r="A1015" t="s">
        <v>3170</v>
      </c>
      <c r="B1015" t="s">
        <v>3170</v>
      </c>
      <c r="C1015" t="s">
        <v>3168</v>
      </c>
      <c r="E1015" t="s">
        <v>124</v>
      </c>
    </row>
    <row r="1016" spans="1:5">
      <c r="A1016" t="s">
        <v>3171</v>
      </c>
      <c r="C1016" t="s">
        <v>3171</v>
      </c>
    </row>
    <row r="1017" spans="1:5">
      <c r="A1017" t="s">
        <v>3172</v>
      </c>
      <c r="B1017" t="s">
        <v>3172</v>
      </c>
      <c r="C1017" t="s">
        <v>3171</v>
      </c>
      <c r="E1017" t="s">
        <v>399</v>
      </c>
    </row>
    <row r="1018" spans="1:5">
      <c r="A1018" t="s">
        <v>3173</v>
      </c>
      <c r="B1018" t="s">
        <v>539</v>
      </c>
      <c r="C1018" t="s">
        <v>3171</v>
      </c>
      <c r="E1018" t="s">
        <v>124</v>
      </c>
    </row>
    <row r="1019" spans="1:5">
      <c r="A1019" t="s">
        <v>3174</v>
      </c>
      <c r="B1019" t="s">
        <v>548</v>
      </c>
      <c r="C1019" t="s">
        <v>3171</v>
      </c>
      <c r="E1019" t="s">
        <v>124</v>
      </c>
    </row>
    <row r="1020" spans="1:5">
      <c r="A1020" t="s">
        <v>3175</v>
      </c>
      <c r="B1020" t="s">
        <v>540</v>
      </c>
      <c r="C1020" t="s">
        <v>3171</v>
      </c>
      <c r="E1020" t="s">
        <v>124</v>
      </c>
    </row>
    <row r="1021" spans="1:5">
      <c r="A1021" t="s">
        <v>3176</v>
      </c>
      <c r="B1021" t="s">
        <v>541</v>
      </c>
      <c r="C1021" t="s">
        <v>3171</v>
      </c>
      <c r="E1021" t="s">
        <v>124</v>
      </c>
    </row>
    <row r="1022" spans="1:5">
      <c r="A1022" t="s">
        <v>553</v>
      </c>
      <c r="B1022" t="s">
        <v>553</v>
      </c>
      <c r="C1022" t="s">
        <v>3171</v>
      </c>
      <c r="E1022" t="s">
        <v>124</v>
      </c>
    </row>
    <row r="1023" spans="1:5">
      <c r="A1023" t="s">
        <v>554</v>
      </c>
      <c r="B1023" t="s">
        <v>554</v>
      </c>
      <c r="C1023" t="s">
        <v>3171</v>
      </c>
      <c r="E1023" t="s">
        <v>124</v>
      </c>
    </row>
    <row r="1024" spans="1:5">
      <c r="A1024" t="s">
        <v>3177</v>
      </c>
      <c r="B1024" t="s">
        <v>544</v>
      </c>
      <c r="C1024" t="s">
        <v>3171</v>
      </c>
      <c r="E1024" t="s">
        <v>124</v>
      </c>
    </row>
    <row r="1025" spans="1:5">
      <c r="A1025" t="s">
        <v>3178</v>
      </c>
      <c r="B1025" t="s">
        <v>3178</v>
      </c>
      <c r="C1025" t="s">
        <v>3171</v>
      </c>
      <c r="E1025" t="s">
        <v>124</v>
      </c>
    </row>
    <row r="1026" spans="1:5">
      <c r="A1026" t="s">
        <v>3179</v>
      </c>
      <c r="B1026" t="s">
        <v>3180</v>
      </c>
      <c r="C1026" t="s">
        <v>3171</v>
      </c>
      <c r="E1026" t="s">
        <v>522</v>
      </c>
    </row>
    <row r="1027" spans="1:5">
      <c r="A1027" t="s">
        <v>555</v>
      </c>
      <c r="B1027" t="s">
        <v>555</v>
      </c>
      <c r="C1027" t="s">
        <v>3171</v>
      </c>
      <c r="E1027" t="s">
        <v>399</v>
      </c>
    </row>
    <row r="1028" spans="1:5">
      <c r="A1028" t="s">
        <v>556</v>
      </c>
      <c r="B1028" t="s">
        <v>556</v>
      </c>
      <c r="C1028" t="s">
        <v>3171</v>
      </c>
      <c r="E1028" t="s">
        <v>399</v>
      </c>
    </row>
    <row r="1029" spans="1:5">
      <c r="A1029" t="s">
        <v>533</v>
      </c>
      <c r="B1029" t="s">
        <v>533</v>
      </c>
      <c r="C1029" t="s">
        <v>3171</v>
      </c>
      <c r="E1029" t="s">
        <v>399</v>
      </c>
    </row>
    <row r="1030" spans="1:5">
      <c r="A1030" t="s">
        <v>557</v>
      </c>
      <c r="B1030" t="s">
        <v>557</v>
      </c>
      <c r="C1030" t="s">
        <v>3171</v>
      </c>
      <c r="E1030" t="s">
        <v>399</v>
      </c>
    </row>
    <row r="1031" spans="1:5">
      <c r="A1031" t="s">
        <v>558</v>
      </c>
      <c r="B1031" t="s">
        <v>558</v>
      </c>
      <c r="C1031" t="s">
        <v>3171</v>
      </c>
      <c r="E1031" t="s">
        <v>399</v>
      </c>
    </row>
    <row r="1032" spans="1:5">
      <c r="A1032" t="s">
        <v>516</v>
      </c>
      <c r="B1032" t="s">
        <v>516</v>
      </c>
      <c r="C1032" t="s">
        <v>3171</v>
      </c>
      <c r="E1032" t="s">
        <v>124</v>
      </c>
    </row>
    <row r="1033" spans="1:5">
      <c r="A1033" t="s">
        <v>3181</v>
      </c>
      <c r="B1033" t="s">
        <v>3182</v>
      </c>
      <c r="C1033" t="s">
        <v>3171</v>
      </c>
      <c r="E1033" t="s">
        <v>524</v>
      </c>
    </row>
    <row r="1034" spans="1:5">
      <c r="A1034" t="s">
        <v>3183</v>
      </c>
      <c r="B1034" t="s">
        <v>3184</v>
      </c>
      <c r="C1034" t="s">
        <v>3171</v>
      </c>
      <c r="E1034" t="s">
        <v>124</v>
      </c>
    </row>
    <row r="1035" spans="1:5">
      <c r="A1035" t="s">
        <v>3185</v>
      </c>
      <c r="B1035" t="s">
        <v>536</v>
      </c>
      <c r="C1035" t="s">
        <v>3171</v>
      </c>
      <c r="E1035" t="s">
        <v>399</v>
      </c>
    </row>
    <row r="1036" spans="1:5">
      <c r="A1036" t="s">
        <v>3186</v>
      </c>
      <c r="B1036" t="s">
        <v>3187</v>
      </c>
      <c r="C1036" t="s">
        <v>3171</v>
      </c>
      <c r="E1036" t="s">
        <v>124</v>
      </c>
    </row>
    <row r="1037" spans="1:5">
      <c r="A1037" t="s">
        <v>3188</v>
      </c>
      <c r="B1037" t="s">
        <v>3189</v>
      </c>
      <c r="C1037" t="s">
        <v>3171</v>
      </c>
      <c r="E1037" t="s">
        <v>399</v>
      </c>
    </row>
    <row r="1038" spans="1:5">
      <c r="A1038" t="s">
        <v>537</v>
      </c>
      <c r="B1038" t="s">
        <v>537</v>
      </c>
      <c r="C1038" t="s">
        <v>3171</v>
      </c>
      <c r="E1038" t="s">
        <v>399</v>
      </c>
    </row>
    <row r="1039" spans="1:5">
      <c r="A1039" t="s">
        <v>550</v>
      </c>
      <c r="B1039" t="s">
        <v>550</v>
      </c>
      <c r="C1039" t="s">
        <v>3171</v>
      </c>
      <c r="E1039" t="s">
        <v>124</v>
      </c>
    </row>
    <row r="1041" spans="1:5">
      <c r="A1041" t="s">
        <v>535</v>
      </c>
      <c r="B1041" t="s">
        <v>535</v>
      </c>
      <c r="C1041" t="s">
        <v>3171</v>
      </c>
      <c r="E1041" t="s">
        <v>124</v>
      </c>
    </row>
    <row r="1042" spans="1:5">
      <c r="A1042" t="s">
        <v>3190</v>
      </c>
      <c r="B1042" t="s">
        <v>530</v>
      </c>
      <c r="C1042" t="s">
        <v>3171</v>
      </c>
      <c r="E1042" t="s">
        <v>124</v>
      </c>
    </row>
    <row r="1043" spans="1:5">
      <c r="A1043" t="s">
        <v>525</v>
      </c>
      <c r="B1043" t="s">
        <v>525</v>
      </c>
      <c r="C1043" t="s">
        <v>3171</v>
      </c>
      <c r="E1043" t="s">
        <v>124</v>
      </c>
    </row>
    <row r="1044" spans="1:5">
      <c r="A1044" t="s">
        <v>542</v>
      </c>
      <c r="B1044" t="s">
        <v>542</v>
      </c>
      <c r="C1044" t="s">
        <v>3171</v>
      </c>
      <c r="E1044" t="s">
        <v>124</v>
      </c>
    </row>
    <row r="1045" spans="1:5">
      <c r="A1045" t="s">
        <v>3191</v>
      </c>
      <c r="B1045" t="s">
        <v>3191</v>
      </c>
      <c r="C1045" t="s">
        <v>3171</v>
      </c>
      <c r="E1045" t="s">
        <v>124</v>
      </c>
    </row>
    <row r="1046" spans="1:5">
      <c r="A1046" t="s">
        <v>3192</v>
      </c>
      <c r="B1046" t="s">
        <v>3192</v>
      </c>
      <c r="C1046" t="s">
        <v>3171</v>
      </c>
      <c r="E1046" t="s">
        <v>124</v>
      </c>
    </row>
    <row r="1047" spans="1:5">
      <c r="A1047" t="s">
        <v>3193</v>
      </c>
      <c r="B1047" t="s">
        <v>3194</v>
      </c>
      <c r="C1047" t="s">
        <v>3171</v>
      </c>
      <c r="E1047" t="s">
        <v>124</v>
      </c>
    </row>
    <row r="1048" spans="1:5">
      <c r="A1048" t="s">
        <v>560</v>
      </c>
      <c r="B1048" t="s">
        <v>560</v>
      </c>
      <c r="C1048" t="s">
        <v>3171</v>
      </c>
      <c r="E1048" t="s">
        <v>399</v>
      </c>
    </row>
    <row r="1049" spans="1:5">
      <c r="A1049" t="s">
        <v>518</v>
      </c>
      <c r="B1049" t="s">
        <v>518</v>
      </c>
      <c r="C1049" t="s">
        <v>3171</v>
      </c>
      <c r="E1049" t="s">
        <v>399</v>
      </c>
    </row>
    <row r="1050" spans="1:5">
      <c r="A1050" t="s">
        <v>559</v>
      </c>
      <c r="B1050" t="s">
        <v>559</v>
      </c>
      <c r="C1050" t="s">
        <v>3171</v>
      </c>
      <c r="E1050" t="s">
        <v>399</v>
      </c>
    </row>
    <row r="1051" s="83" customFormat="1" spans="1:5">
      <c r="A1051" s="83" t="s">
        <v>3195</v>
      </c>
      <c r="B1051" s="83" t="s">
        <v>3196</v>
      </c>
      <c r="C1051" s="83" t="s">
        <v>3171</v>
      </c>
      <c r="E1051" s="83" t="s">
        <v>124</v>
      </c>
    </row>
    <row r="1052" spans="1:5">
      <c r="A1052" t="s">
        <v>3197</v>
      </c>
      <c r="C1052" t="s">
        <v>3197</v>
      </c>
    </row>
    <row r="1053" spans="1:5">
      <c r="A1053" t="s">
        <v>3198</v>
      </c>
      <c r="B1053" t="s">
        <v>3199</v>
      </c>
      <c r="C1053" t="s">
        <v>3197</v>
      </c>
      <c r="E1053" t="s">
        <v>1887</v>
      </c>
    </row>
    <row r="1054" spans="1:5">
      <c r="A1054" t="s">
        <v>276</v>
      </c>
      <c r="B1054" t="s">
        <v>276</v>
      </c>
      <c r="C1054" t="s">
        <v>3197</v>
      </c>
      <c r="E1054" t="s">
        <v>1887</v>
      </c>
    </row>
    <row r="1055" spans="1:5">
      <c r="A1055" t="s">
        <v>277</v>
      </c>
      <c r="B1055" t="s">
        <v>277</v>
      </c>
      <c r="C1055" t="s">
        <v>3197</v>
      </c>
      <c r="E1055" t="s">
        <v>1887</v>
      </c>
    </row>
    <row r="1056" spans="1:5">
      <c r="A1056" t="s">
        <v>279</v>
      </c>
      <c r="B1056" t="s">
        <v>279</v>
      </c>
      <c r="C1056" t="s">
        <v>3197</v>
      </c>
      <c r="E1056" t="s">
        <v>1887</v>
      </c>
    </row>
    <row r="1057" spans="1:5">
      <c r="A1057" t="s">
        <v>3200</v>
      </c>
      <c r="B1057" t="s">
        <v>3200</v>
      </c>
      <c r="C1057" t="s">
        <v>3197</v>
      </c>
      <c r="E1057" t="s">
        <v>124</v>
      </c>
    </row>
    <row r="1058" spans="1:5">
      <c r="A1058" t="s">
        <v>3201</v>
      </c>
      <c r="B1058" t="s">
        <v>3202</v>
      </c>
      <c r="C1058" t="s">
        <v>3197</v>
      </c>
      <c r="E1058" t="s">
        <v>124</v>
      </c>
    </row>
    <row r="1059" spans="1:5">
      <c r="A1059" t="s">
        <v>282</v>
      </c>
      <c r="B1059" t="s">
        <v>282</v>
      </c>
      <c r="C1059" t="s">
        <v>3197</v>
      </c>
      <c r="E1059" t="s">
        <v>124</v>
      </c>
    </row>
    <row r="1060" spans="1:5">
      <c r="A1060" t="s">
        <v>3203</v>
      </c>
      <c r="B1060" t="s">
        <v>661</v>
      </c>
      <c r="C1060" t="s">
        <v>3197</v>
      </c>
      <c r="E1060" t="s">
        <v>124</v>
      </c>
    </row>
    <row r="1061" spans="1:5">
      <c r="A1061" t="s">
        <v>3204</v>
      </c>
      <c r="C1061" t="s">
        <v>3204</v>
      </c>
    </row>
    <row r="1062" spans="1:5">
      <c r="A1062" t="s">
        <v>3205</v>
      </c>
      <c r="C1062" t="s">
        <v>3205</v>
      </c>
    </row>
    <row r="1063" spans="1:5">
      <c r="A1063" t="s">
        <v>3209</v>
      </c>
      <c r="B1063" t="s">
        <v>3210</v>
      </c>
      <c r="C1063" t="s">
        <v>3205</v>
      </c>
      <c r="E1063" t="s">
        <v>124</v>
      </c>
    </row>
    <row r="1064" spans="1:5">
      <c r="A1064" t="s">
        <v>3212</v>
      </c>
      <c r="B1064" t="s">
        <v>3212</v>
      </c>
      <c r="C1064" t="s">
        <v>3205</v>
      </c>
      <c r="E1064" t="s">
        <v>287</v>
      </c>
    </row>
    <row r="1065" spans="1:5">
      <c r="A1065" t="s">
        <v>3214</v>
      </c>
      <c r="B1065" t="s">
        <v>3215</v>
      </c>
      <c r="C1065" t="s">
        <v>3205</v>
      </c>
      <c r="E1065" t="s">
        <v>1118</v>
      </c>
    </row>
    <row r="1066" spans="1:5">
      <c r="A1066" t="s">
        <v>3216</v>
      </c>
      <c r="B1066" t="s">
        <v>3217</v>
      </c>
      <c r="C1066" t="s">
        <v>3205</v>
      </c>
      <c r="E1066" t="s">
        <v>124</v>
      </c>
    </row>
    <row r="1067" spans="1:5">
      <c r="A1067" t="s">
        <v>3218</v>
      </c>
      <c r="C1067" t="s">
        <v>3218</v>
      </c>
    </row>
    <row r="1068" spans="1:5">
      <c r="A1068" t="s">
        <v>3219</v>
      </c>
      <c r="B1068" t="s">
        <v>3219</v>
      </c>
      <c r="C1068" t="s">
        <v>3218</v>
      </c>
      <c r="E1068" t="s">
        <v>124</v>
      </c>
    </row>
    <row r="1069" spans="1:5">
      <c r="A1069" t="s">
        <v>3220</v>
      </c>
      <c r="B1069" t="s">
        <v>3220</v>
      </c>
      <c r="C1069" t="s">
        <v>3218</v>
      </c>
      <c r="E1069" t="s">
        <v>124</v>
      </c>
    </row>
    <row r="1070" spans="1:5">
      <c r="A1070" t="s">
        <v>3221</v>
      </c>
      <c r="B1070" t="s">
        <v>3221</v>
      </c>
      <c r="C1070" t="s">
        <v>3218</v>
      </c>
      <c r="E1070" t="s">
        <v>124</v>
      </c>
    </row>
    <row r="1071" spans="1:5">
      <c r="A1071" t="s">
        <v>3222</v>
      </c>
      <c r="B1071" t="s">
        <v>3222</v>
      </c>
      <c r="C1071" t="s">
        <v>3218</v>
      </c>
      <c r="E1071" t="s">
        <v>124</v>
      </c>
    </row>
    <row r="1072" s="83" customFormat="1" spans="1:5">
      <c r="A1072" s="83" t="s">
        <v>3223</v>
      </c>
      <c r="B1072" s="83" t="s">
        <v>3223</v>
      </c>
      <c r="C1072" s="83" t="s">
        <v>3218</v>
      </c>
      <c r="E1072" s="83" t="s">
        <v>124</v>
      </c>
    </row>
    <row r="1073" spans="1:5">
      <c r="A1073" t="s">
        <v>3224</v>
      </c>
      <c r="B1073" t="s">
        <v>3224</v>
      </c>
      <c r="C1073" t="s">
        <v>3218</v>
      </c>
      <c r="E1073" t="s">
        <v>124</v>
      </c>
    </row>
    <row r="1074" spans="1:5">
      <c r="A1074" t="s">
        <v>3225</v>
      </c>
      <c r="B1074" t="s">
        <v>3225</v>
      </c>
      <c r="C1074" t="s">
        <v>3218</v>
      </c>
      <c r="E1074" t="s">
        <v>124</v>
      </c>
    </row>
    <row r="1075" spans="1:5">
      <c r="A1075" t="s">
        <v>3226</v>
      </c>
      <c r="B1075" t="s">
        <v>3226</v>
      </c>
      <c r="C1075" t="s">
        <v>3218</v>
      </c>
      <c r="E1075" t="s">
        <v>124</v>
      </c>
    </row>
    <row r="1076" spans="1:5">
      <c r="A1076" t="s">
        <v>3229</v>
      </c>
      <c r="C1076" t="s">
        <v>3229</v>
      </c>
    </row>
    <row r="1077" spans="1:5">
      <c r="A1077" t="s">
        <v>3230</v>
      </c>
      <c r="B1077" t="s">
        <v>3230</v>
      </c>
      <c r="C1077" t="s">
        <v>3229</v>
      </c>
      <c r="E1077" t="s">
        <v>124</v>
      </c>
    </row>
    <row r="1078" spans="1:5">
      <c r="A1078" t="s">
        <v>3231</v>
      </c>
      <c r="B1078" t="s">
        <v>3232</v>
      </c>
      <c r="C1078" t="s">
        <v>3229</v>
      </c>
      <c r="E1078" t="s">
        <v>124</v>
      </c>
    </row>
    <row r="1079" spans="1:5">
      <c r="A1079" t="s">
        <v>3233</v>
      </c>
      <c r="C1079" t="s">
        <v>3233</v>
      </c>
    </row>
    <row r="1080" spans="1:5">
      <c r="A1080" t="s">
        <v>3235</v>
      </c>
      <c r="B1080" t="s">
        <v>994</v>
      </c>
      <c r="C1080" t="s">
        <v>3233</v>
      </c>
      <c r="E1080" t="s">
        <v>124</v>
      </c>
    </row>
    <row r="1081" spans="1:5">
      <c r="A1081" t="s">
        <v>3236</v>
      </c>
      <c r="B1081" t="s">
        <v>991</v>
      </c>
      <c r="C1081" t="s">
        <v>3233</v>
      </c>
      <c r="E1081" t="s">
        <v>3237</v>
      </c>
    </row>
  </sheetData>
  <autoFilter xmlns:etc="http://www.wps.cn/officeDocument/2017/etCustomData" ref="A1:E1081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4"/>
  <sheetViews>
    <sheetView topLeftCell="A85" workbookViewId="0">
      <selection activeCell="B462" sqref="B462"/>
    </sheetView>
  </sheetViews>
  <sheetFormatPr defaultColWidth="9" defaultRowHeight="15" outlineLevelCol="5"/>
  <cols>
    <col min="1" max="1" width="53.8571428571429" customWidth="1"/>
    <col min="2" max="2" width="68.8571428571429" customWidth="1"/>
    <col min="3" max="3" width="31.7142857142857" style="83" customWidth="1"/>
    <col min="4" max="4" width="16.7142857142857" customWidth="1"/>
    <col min="5" max="5" width="21.4285714285714" customWidth="1"/>
  </cols>
  <sheetData>
    <row r="1" spans="1:6">
      <c r="A1" s="1" t="s">
        <v>3238</v>
      </c>
      <c r="B1" s="1" t="s">
        <v>2</v>
      </c>
      <c r="C1" s="84" t="s">
        <v>1</v>
      </c>
      <c r="D1" s="1" t="s">
        <v>1001</v>
      </c>
      <c r="E1" s="1" t="s">
        <v>1002</v>
      </c>
      <c r="F1" s="1" t="s">
        <v>3239</v>
      </c>
    </row>
    <row r="2" spans="1:6">
      <c r="A2" t="s">
        <v>0</v>
      </c>
      <c r="B2" t="s">
        <v>2236</v>
      </c>
      <c r="C2" s="3" t="s">
        <v>0</v>
      </c>
      <c r="D2" t="s">
        <v>3240</v>
      </c>
      <c r="E2" t="s">
        <v>9</v>
      </c>
    </row>
    <row r="3" spans="1:6">
      <c r="A3" t="s">
        <v>0</v>
      </c>
      <c r="B3" t="s">
        <v>2237</v>
      </c>
      <c r="C3" s="3" t="s">
        <v>0</v>
      </c>
      <c r="D3" t="s">
        <v>3240</v>
      </c>
      <c r="E3" t="s">
        <v>9</v>
      </c>
    </row>
    <row r="4" spans="1:6">
      <c r="A4" t="str">
        <f>C4</f>
        <v>GEOTEXTILE</v>
      </c>
      <c r="B4" t="s">
        <v>3241</v>
      </c>
      <c r="C4" s="3" t="s">
        <v>44</v>
      </c>
      <c r="D4" t="s">
        <v>3242</v>
      </c>
      <c r="E4" t="s">
        <v>9</v>
      </c>
    </row>
    <row r="5" spans="1:6">
      <c r="A5" t="s">
        <v>3243</v>
      </c>
      <c r="B5" t="s">
        <v>3244</v>
      </c>
      <c r="C5" t="s">
        <v>44</v>
      </c>
      <c r="D5" t="s">
        <v>3245</v>
      </c>
      <c r="E5" t="s">
        <v>9</v>
      </c>
    </row>
    <row r="6" spans="1:6">
      <c r="A6" t="s">
        <v>44</v>
      </c>
      <c r="B6" t="s">
        <v>1462</v>
      </c>
      <c r="C6" t="s">
        <v>44</v>
      </c>
      <c r="D6" t="s">
        <v>3245</v>
      </c>
      <c r="E6" t="s">
        <v>9</v>
      </c>
    </row>
    <row r="7" spans="1:6">
      <c r="A7" t="s">
        <v>44</v>
      </c>
      <c r="B7" t="s">
        <v>1463</v>
      </c>
      <c r="C7" t="s">
        <v>44</v>
      </c>
      <c r="D7" t="s">
        <v>3245</v>
      </c>
      <c r="E7" t="s">
        <v>9</v>
      </c>
    </row>
    <row r="8" spans="1:6">
      <c r="A8" t="s">
        <v>44</v>
      </c>
      <c r="B8" t="s">
        <v>1464</v>
      </c>
      <c r="C8" t="s">
        <v>44</v>
      </c>
      <c r="D8" t="s">
        <v>3245</v>
      </c>
      <c r="E8" t="s">
        <v>9</v>
      </c>
    </row>
    <row r="9" spans="1:6">
      <c r="A9" t="s">
        <v>44</v>
      </c>
      <c r="B9" t="s">
        <v>1465</v>
      </c>
      <c r="C9" t="s">
        <v>44</v>
      </c>
      <c r="D9" t="s">
        <v>3246</v>
      </c>
      <c r="E9" t="s">
        <v>9</v>
      </c>
    </row>
    <row r="10" spans="1:6">
      <c r="A10" t="s">
        <v>44</v>
      </c>
      <c r="B10" t="s">
        <v>1466</v>
      </c>
      <c r="C10" t="s">
        <v>44</v>
      </c>
      <c r="D10" t="s">
        <v>3246</v>
      </c>
      <c r="E10" t="s">
        <v>9</v>
      </c>
    </row>
    <row r="11" spans="1:6">
      <c r="A11" t="s">
        <v>44</v>
      </c>
      <c r="B11" t="s">
        <v>1467</v>
      </c>
      <c r="C11" t="s">
        <v>44</v>
      </c>
      <c r="D11" t="s">
        <v>3242</v>
      </c>
      <c r="E11" t="s">
        <v>9</v>
      </c>
    </row>
    <row r="12" spans="1:6">
      <c r="A12" t="s">
        <v>44</v>
      </c>
      <c r="B12" t="s">
        <v>1468</v>
      </c>
      <c r="C12" t="s">
        <v>44</v>
      </c>
      <c r="D12" t="s">
        <v>3242</v>
      </c>
      <c r="E12" t="s">
        <v>9</v>
      </c>
    </row>
    <row r="13" spans="1:6">
      <c r="A13" t="s">
        <v>44</v>
      </c>
      <c r="B13" t="s">
        <v>1469</v>
      </c>
      <c r="C13" t="s">
        <v>44</v>
      </c>
      <c r="D13" t="s">
        <v>3242</v>
      </c>
      <c r="E13" t="s">
        <v>9</v>
      </c>
    </row>
    <row r="14" spans="1:6">
      <c r="A14" t="s">
        <v>44</v>
      </c>
      <c r="B14" t="s">
        <v>1470</v>
      </c>
      <c r="C14" t="s">
        <v>44</v>
      </c>
      <c r="D14" t="s">
        <v>3242</v>
      </c>
      <c r="E14" t="s">
        <v>9</v>
      </c>
    </row>
    <row r="15" spans="1:6">
      <c r="A15" t="s">
        <v>44</v>
      </c>
      <c r="B15" t="s">
        <v>1471</v>
      </c>
      <c r="C15" t="s">
        <v>44</v>
      </c>
      <c r="D15" t="s">
        <v>3242</v>
      </c>
      <c r="E15" t="s">
        <v>9</v>
      </c>
    </row>
    <row r="16" spans="1:6">
      <c r="A16" t="s">
        <v>44</v>
      </c>
      <c r="B16" t="s">
        <v>1472</v>
      </c>
      <c r="C16" t="s">
        <v>44</v>
      </c>
      <c r="E16" t="s">
        <v>9</v>
      </c>
    </row>
    <row r="17" spans="1:5">
      <c r="A17" t="s">
        <v>44</v>
      </c>
      <c r="B17" t="s">
        <v>1473</v>
      </c>
      <c r="C17" t="s">
        <v>44</v>
      </c>
      <c r="D17" t="s">
        <v>3247</v>
      </c>
      <c r="E17" t="s">
        <v>9</v>
      </c>
    </row>
    <row r="18" spans="1:5">
      <c r="A18" t="s">
        <v>44</v>
      </c>
      <c r="B18" t="s">
        <v>1474</v>
      </c>
      <c r="C18" t="s">
        <v>44</v>
      </c>
      <c r="D18" t="s">
        <v>3247</v>
      </c>
      <c r="E18" t="s">
        <v>9</v>
      </c>
    </row>
    <row r="19" spans="1:5">
      <c r="A19" t="s">
        <v>44</v>
      </c>
      <c r="B19" t="s">
        <v>1475</v>
      </c>
      <c r="C19" t="s">
        <v>44</v>
      </c>
      <c r="E19" t="s">
        <v>9</v>
      </c>
    </row>
    <row r="20" spans="1:5">
      <c r="A20" t="s">
        <v>44</v>
      </c>
      <c r="B20" t="s">
        <v>1476</v>
      </c>
      <c r="C20" t="s">
        <v>44</v>
      </c>
      <c r="D20" t="s">
        <v>3248</v>
      </c>
      <c r="E20" t="s">
        <v>9</v>
      </c>
    </row>
    <row r="21" spans="1:5">
      <c r="A21" t="s">
        <v>44</v>
      </c>
      <c r="B21" t="s">
        <v>1477</v>
      </c>
      <c r="C21" t="s">
        <v>44</v>
      </c>
      <c r="D21" t="s">
        <v>3248</v>
      </c>
      <c r="E21" t="s">
        <v>9</v>
      </c>
    </row>
    <row r="22" spans="1:5">
      <c r="A22" t="s">
        <v>44</v>
      </c>
      <c r="B22" t="s">
        <v>1478</v>
      </c>
      <c r="C22" t="s">
        <v>44</v>
      </c>
      <c r="D22" t="s">
        <v>3248</v>
      </c>
      <c r="E22" t="s">
        <v>9</v>
      </c>
    </row>
    <row r="23" spans="1:5">
      <c r="A23" t="s">
        <v>44</v>
      </c>
      <c r="B23" t="s">
        <v>1479</v>
      </c>
      <c r="C23" t="s">
        <v>44</v>
      </c>
      <c r="D23" t="s">
        <v>3249</v>
      </c>
      <c r="E23" t="s">
        <v>9</v>
      </c>
    </row>
    <row r="24" spans="1:5">
      <c r="A24" t="s">
        <v>0</v>
      </c>
      <c r="B24" t="s">
        <v>2236</v>
      </c>
      <c r="C24" t="s">
        <v>0</v>
      </c>
      <c r="D24" t="s">
        <v>3240</v>
      </c>
      <c r="E24" t="s">
        <v>124</v>
      </c>
    </row>
    <row r="25" spans="1:5">
      <c r="A25" t="s">
        <v>0</v>
      </c>
      <c r="B25" t="s">
        <v>2237</v>
      </c>
      <c r="C25" t="s">
        <v>0</v>
      </c>
      <c r="D25" t="s">
        <v>3240</v>
      </c>
      <c r="E25" t="s">
        <v>124</v>
      </c>
    </row>
    <row r="26" spans="1:5">
      <c r="A26" t="s">
        <v>0</v>
      </c>
      <c r="B26" t="s">
        <v>2238</v>
      </c>
      <c r="C26" t="s">
        <v>0</v>
      </c>
      <c r="D26" t="s">
        <v>3245</v>
      </c>
      <c r="E26" t="s">
        <v>124</v>
      </c>
    </row>
    <row r="27" spans="1:5">
      <c r="A27" t="s">
        <v>0</v>
      </c>
      <c r="B27" t="s">
        <v>2239</v>
      </c>
      <c r="C27" t="s">
        <v>0</v>
      </c>
      <c r="D27" t="s">
        <v>3245</v>
      </c>
      <c r="E27" t="s">
        <v>124</v>
      </c>
    </row>
    <row r="28" spans="1:5">
      <c r="A28" t="s">
        <v>0</v>
      </c>
      <c r="B28" t="s">
        <v>2240</v>
      </c>
      <c r="C28" t="s">
        <v>0</v>
      </c>
      <c r="D28" t="s">
        <v>3245</v>
      </c>
      <c r="E28" t="s">
        <v>124</v>
      </c>
    </row>
    <row r="29" spans="1:5">
      <c r="A29" t="s">
        <v>0</v>
      </c>
      <c r="B29" t="s">
        <v>2241</v>
      </c>
      <c r="C29" t="s">
        <v>0</v>
      </c>
      <c r="D29" t="s">
        <v>3245</v>
      </c>
      <c r="E29" t="s">
        <v>124</v>
      </c>
    </row>
    <row r="30" spans="1:5">
      <c r="A30" t="s">
        <v>0</v>
      </c>
      <c r="B30" t="s">
        <v>2242</v>
      </c>
      <c r="C30" t="s">
        <v>0</v>
      </c>
      <c r="D30" t="s">
        <v>3250</v>
      </c>
      <c r="E30" t="s">
        <v>124</v>
      </c>
    </row>
    <row r="31" spans="1:5">
      <c r="A31" t="s">
        <v>0</v>
      </c>
      <c r="B31" t="s">
        <v>2244</v>
      </c>
      <c r="C31" t="s">
        <v>0</v>
      </c>
      <c r="D31" t="s">
        <v>3250</v>
      </c>
      <c r="E31" t="s">
        <v>124</v>
      </c>
    </row>
    <row r="32" spans="1:5">
      <c r="A32" t="s">
        <v>0</v>
      </c>
      <c r="B32" t="s">
        <v>2245</v>
      </c>
      <c r="C32" t="s">
        <v>0</v>
      </c>
      <c r="D32" t="s">
        <v>3246</v>
      </c>
      <c r="E32" t="s">
        <v>124</v>
      </c>
    </row>
    <row r="33" spans="1:5">
      <c r="A33" t="s">
        <v>0</v>
      </c>
      <c r="B33" t="s">
        <v>2246</v>
      </c>
      <c r="C33" t="s">
        <v>0</v>
      </c>
      <c r="D33" t="s">
        <v>3246</v>
      </c>
      <c r="E33" t="s">
        <v>124</v>
      </c>
    </row>
    <row r="34" spans="1:5">
      <c r="A34" t="s">
        <v>0</v>
      </c>
      <c r="B34" t="s">
        <v>2247</v>
      </c>
      <c r="C34" t="s">
        <v>0</v>
      </c>
      <c r="D34" t="s">
        <v>3251</v>
      </c>
      <c r="E34" t="s">
        <v>124</v>
      </c>
    </row>
    <row r="35" spans="1:5">
      <c r="A35" t="s">
        <v>0</v>
      </c>
      <c r="B35" t="s">
        <v>2248</v>
      </c>
      <c r="C35" t="s">
        <v>0</v>
      </c>
      <c r="D35" t="s">
        <v>3251</v>
      </c>
      <c r="E35" t="s">
        <v>124</v>
      </c>
    </row>
    <row r="36" spans="1:5">
      <c r="A36" t="s">
        <v>0</v>
      </c>
      <c r="B36" t="s">
        <v>2249</v>
      </c>
      <c r="C36" t="s">
        <v>0</v>
      </c>
      <c r="D36" t="s">
        <v>3251</v>
      </c>
      <c r="E36" t="s">
        <v>124</v>
      </c>
    </row>
    <row r="37" spans="1:5">
      <c r="A37" t="s">
        <v>0</v>
      </c>
      <c r="B37" t="s">
        <v>2250</v>
      </c>
      <c r="C37" t="s">
        <v>0</v>
      </c>
      <c r="D37" t="s">
        <v>3251</v>
      </c>
      <c r="E37" t="s">
        <v>124</v>
      </c>
    </row>
    <row r="38" spans="1:5">
      <c r="A38" t="s">
        <v>0</v>
      </c>
      <c r="B38" t="s">
        <v>2251</v>
      </c>
      <c r="C38" t="s">
        <v>0</v>
      </c>
      <c r="D38" t="s">
        <v>3252</v>
      </c>
      <c r="E38" t="s">
        <v>124</v>
      </c>
    </row>
    <row r="39" spans="1:5">
      <c r="A39" t="s">
        <v>0</v>
      </c>
      <c r="B39" t="s">
        <v>2252</v>
      </c>
      <c r="C39" t="s">
        <v>0</v>
      </c>
      <c r="D39" t="s">
        <v>3252</v>
      </c>
      <c r="E39" t="s">
        <v>124</v>
      </c>
    </row>
    <row r="40" spans="1:5">
      <c r="A40" t="s">
        <v>0</v>
      </c>
      <c r="B40" t="s">
        <v>2253</v>
      </c>
      <c r="C40" t="s">
        <v>0</v>
      </c>
      <c r="D40" t="s">
        <v>3242</v>
      </c>
      <c r="E40" t="s">
        <v>124</v>
      </c>
    </row>
    <row r="41" spans="1:5">
      <c r="A41" t="s">
        <v>0</v>
      </c>
      <c r="B41" t="s">
        <v>2254</v>
      </c>
      <c r="C41" t="s">
        <v>0</v>
      </c>
      <c r="D41" t="s">
        <v>3242</v>
      </c>
      <c r="E41" t="s">
        <v>124</v>
      </c>
    </row>
    <row r="42" spans="1:5">
      <c r="A42" t="s">
        <v>0</v>
      </c>
      <c r="B42" t="s">
        <v>2255</v>
      </c>
      <c r="C42" t="s">
        <v>0</v>
      </c>
      <c r="D42" t="s">
        <v>3242</v>
      </c>
      <c r="E42" t="s">
        <v>124</v>
      </c>
    </row>
    <row r="43" spans="1:5">
      <c r="A43" t="s">
        <v>0</v>
      </c>
      <c r="B43" t="s">
        <v>2257</v>
      </c>
      <c r="C43" t="s">
        <v>0</v>
      </c>
      <c r="D43" t="s">
        <v>3253</v>
      </c>
      <c r="E43" t="s">
        <v>124</v>
      </c>
    </row>
    <row r="44" spans="1:5">
      <c r="A44" t="s">
        <v>0</v>
      </c>
      <c r="B44" t="s">
        <v>2259</v>
      </c>
      <c r="C44" t="s">
        <v>0</v>
      </c>
      <c r="D44" t="s">
        <v>3253</v>
      </c>
      <c r="E44" t="s">
        <v>124</v>
      </c>
    </row>
    <row r="45" spans="1:5">
      <c r="A45" t="s">
        <v>0</v>
      </c>
      <c r="B45" t="s">
        <v>2260</v>
      </c>
      <c r="C45" t="s">
        <v>0</v>
      </c>
      <c r="D45" t="s">
        <v>3247</v>
      </c>
      <c r="E45" t="s">
        <v>124</v>
      </c>
    </row>
    <row r="46" spans="1:5">
      <c r="A46" t="s">
        <v>0</v>
      </c>
      <c r="B46" t="s">
        <v>2261</v>
      </c>
      <c r="C46" t="s">
        <v>0</v>
      </c>
      <c r="D46" t="s">
        <v>3247</v>
      </c>
      <c r="E46" t="s">
        <v>124</v>
      </c>
    </row>
    <row r="47" spans="1:5">
      <c r="A47" t="s">
        <v>0</v>
      </c>
      <c r="B47" t="s">
        <v>2262</v>
      </c>
      <c r="C47" t="s">
        <v>0</v>
      </c>
      <c r="D47" t="s">
        <v>3247</v>
      </c>
      <c r="E47" t="s">
        <v>124</v>
      </c>
    </row>
    <row r="48" spans="1:5">
      <c r="A48" t="s">
        <v>0</v>
      </c>
      <c r="B48" t="s">
        <v>2263</v>
      </c>
      <c r="C48" t="s">
        <v>0</v>
      </c>
      <c r="D48" t="s">
        <v>3247</v>
      </c>
      <c r="E48" t="s">
        <v>124</v>
      </c>
    </row>
    <row r="49" spans="1:5">
      <c r="A49" t="s">
        <v>164</v>
      </c>
      <c r="B49" t="s">
        <v>1062</v>
      </c>
      <c r="C49" t="s">
        <v>164</v>
      </c>
      <c r="D49" t="s">
        <v>3242</v>
      </c>
      <c r="E49" t="s">
        <v>124</v>
      </c>
    </row>
    <row r="50" spans="1:5">
      <c r="A50" t="s">
        <v>164</v>
      </c>
      <c r="B50" t="s">
        <v>175</v>
      </c>
      <c r="C50" t="s">
        <v>164</v>
      </c>
      <c r="D50" t="s">
        <v>3242</v>
      </c>
      <c r="E50" t="s">
        <v>124</v>
      </c>
    </row>
    <row r="51" spans="1:5">
      <c r="A51" t="s">
        <v>164</v>
      </c>
      <c r="B51" t="s">
        <v>1063</v>
      </c>
      <c r="C51" t="s">
        <v>164</v>
      </c>
      <c r="D51" t="s">
        <v>3242</v>
      </c>
      <c r="E51" t="s">
        <v>124</v>
      </c>
    </row>
    <row r="52" spans="1:5">
      <c r="A52" t="s">
        <v>164</v>
      </c>
      <c r="B52" t="s">
        <v>177</v>
      </c>
      <c r="C52" t="s">
        <v>164</v>
      </c>
      <c r="D52" t="s">
        <v>3242</v>
      </c>
      <c r="E52" t="s">
        <v>124</v>
      </c>
    </row>
    <row r="53" spans="1:5">
      <c r="A53" t="s">
        <v>164</v>
      </c>
      <c r="B53" t="s">
        <v>178</v>
      </c>
      <c r="C53" t="s">
        <v>164</v>
      </c>
      <c r="D53" t="s">
        <v>3242</v>
      </c>
      <c r="E53" t="s">
        <v>124</v>
      </c>
    </row>
    <row r="54" spans="1:5">
      <c r="A54" t="s">
        <v>164</v>
      </c>
      <c r="B54" t="s">
        <v>179</v>
      </c>
      <c r="C54" t="s">
        <v>164</v>
      </c>
      <c r="D54" t="s">
        <v>3242</v>
      </c>
      <c r="E54" t="s">
        <v>124</v>
      </c>
    </row>
    <row r="55" spans="1:5">
      <c r="A55" t="s">
        <v>164</v>
      </c>
      <c r="B55" t="s">
        <v>1065</v>
      </c>
      <c r="C55" t="s">
        <v>164</v>
      </c>
      <c r="D55" t="s">
        <v>3253</v>
      </c>
      <c r="E55" t="s">
        <v>124</v>
      </c>
    </row>
    <row r="56" spans="1:5">
      <c r="A56" t="s">
        <v>164</v>
      </c>
      <c r="B56" t="s">
        <v>1067</v>
      </c>
      <c r="C56" t="s">
        <v>164</v>
      </c>
      <c r="D56" t="s">
        <v>3253</v>
      </c>
      <c r="E56" t="s">
        <v>124</v>
      </c>
    </row>
    <row r="57" spans="1:5">
      <c r="A57" t="s">
        <v>164</v>
      </c>
      <c r="B57" t="s">
        <v>1068</v>
      </c>
      <c r="C57" t="s">
        <v>164</v>
      </c>
      <c r="D57" t="s">
        <v>3254</v>
      </c>
      <c r="E57" t="s">
        <v>124</v>
      </c>
    </row>
    <row r="58" spans="1:5">
      <c r="A58" t="s">
        <v>164</v>
      </c>
      <c r="B58" t="s">
        <v>1069</v>
      </c>
      <c r="C58" t="s">
        <v>164</v>
      </c>
      <c r="D58" t="s">
        <v>3254</v>
      </c>
      <c r="E58" t="s">
        <v>124</v>
      </c>
    </row>
    <row r="59" spans="1:5">
      <c r="A59" t="s">
        <v>164</v>
      </c>
      <c r="B59" t="s">
        <v>1070</v>
      </c>
      <c r="C59" t="s">
        <v>164</v>
      </c>
      <c r="D59" t="s">
        <v>3255</v>
      </c>
      <c r="E59" t="s">
        <v>124</v>
      </c>
    </row>
    <row r="60" spans="1:5">
      <c r="A60" t="s">
        <v>164</v>
      </c>
      <c r="B60" t="s">
        <v>1071</v>
      </c>
      <c r="C60" t="s">
        <v>164</v>
      </c>
      <c r="D60" t="s">
        <v>3255</v>
      </c>
      <c r="E60" t="s">
        <v>124</v>
      </c>
    </row>
    <row r="61" spans="1:5">
      <c r="A61" t="s">
        <v>164</v>
      </c>
      <c r="B61" t="s">
        <v>1072</v>
      </c>
      <c r="C61" t="s">
        <v>164</v>
      </c>
      <c r="D61" t="s">
        <v>3255</v>
      </c>
      <c r="E61" t="s">
        <v>124</v>
      </c>
    </row>
    <row r="62" spans="1:5">
      <c r="A62" t="s">
        <v>164</v>
      </c>
      <c r="B62" t="s">
        <v>1074</v>
      </c>
      <c r="C62" t="s">
        <v>164</v>
      </c>
      <c r="D62" t="s">
        <v>3255</v>
      </c>
      <c r="E62" t="s">
        <v>124</v>
      </c>
    </row>
    <row r="63" spans="1:5">
      <c r="A63" t="s">
        <v>164</v>
      </c>
      <c r="B63" t="s">
        <v>1076</v>
      </c>
      <c r="C63" t="s">
        <v>164</v>
      </c>
      <c r="D63" t="s">
        <v>3255</v>
      </c>
      <c r="E63" t="s">
        <v>124</v>
      </c>
    </row>
    <row r="64" spans="1:5">
      <c r="A64" t="s">
        <v>164</v>
      </c>
      <c r="B64" t="s">
        <v>1077</v>
      </c>
      <c r="C64" t="s">
        <v>164</v>
      </c>
      <c r="E64" t="s">
        <v>124</v>
      </c>
    </row>
    <row r="65" spans="1:5">
      <c r="A65" t="s">
        <v>164</v>
      </c>
      <c r="B65" t="s">
        <v>1078</v>
      </c>
      <c r="C65" t="s">
        <v>164</v>
      </c>
      <c r="E65" t="s">
        <v>124</v>
      </c>
    </row>
    <row r="66" spans="1:5">
      <c r="A66" t="s">
        <v>164</v>
      </c>
      <c r="B66" t="s">
        <v>1053</v>
      </c>
      <c r="C66" t="s">
        <v>164</v>
      </c>
      <c r="E66" t="s">
        <v>124</v>
      </c>
    </row>
    <row r="67" spans="1:5">
      <c r="A67" t="s">
        <v>164</v>
      </c>
      <c r="B67" t="s">
        <v>1054</v>
      </c>
      <c r="C67" t="s">
        <v>164</v>
      </c>
      <c r="E67" t="s">
        <v>124</v>
      </c>
    </row>
    <row r="68" spans="1:5">
      <c r="A68" t="s">
        <v>164</v>
      </c>
      <c r="B68" t="s">
        <v>1055</v>
      </c>
      <c r="C68" t="s">
        <v>164</v>
      </c>
      <c r="E68" t="s">
        <v>124</v>
      </c>
    </row>
    <row r="69" spans="1:5">
      <c r="A69" t="s">
        <v>164</v>
      </c>
      <c r="B69" t="s">
        <v>1056</v>
      </c>
      <c r="C69" t="s">
        <v>164</v>
      </c>
      <c r="E69" t="s">
        <v>124</v>
      </c>
    </row>
    <row r="70" spans="1:5">
      <c r="A70" t="s">
        <v>164</v>
      </c>
      <c r="B70" t="s">
        <v>1057</v>
      </c>
      <c r="C70" t="s">
        <v>164</v>
      </c>
      <c r="E70" t="s">
        <v>124</v>
      </c>
    </row>
    <row r="71" spans="1:5">
      <c r="A71" t="s">
        <v>164</v>
      </c>
      <c r="B71" t="s">
        <v>1058</v>
      </c>
      <c r="C71" t="s">
        <v>164</v>
      </c>
      <c r="E71" t="s">
        <v>124</v>
      </c>
    </row>
    <row r="72" spans="1:5">
      <c r="A72" t="s">
        <v>164</v>
      </c>
      <c r="B72" t="s">
        <v>1059</v>
      </c>
      <c r="C72" t="s">
        <v>164</v>
      </c>
      <c r="E72" t="s">
        <v>124</v>
      </c>
    </row>
    <row r="73" spans="1:5">
      <c r="A73" t="s">
        <v>164</v>
      </c>
      <c r="B73" t="s">
        <v>1061</v>
      </c>
      <c r="C73" t="s">
        <v>164</v>
      </c>
      <c r="E73" t="s">
        <v>124</v>
      </c>
    </row>
    <row r="74" spans="1:5">
      <c r="A74" t="s">
        <v>164</v>
      </c>
      <c r="B74" t="s">
        <v>1047</v>
      </c>
      <c r="C74" t="s">
        <v>164</v>
      </c>
      <c r="E74" t="s">
        <v>124</v>
      </c>
    </row>
    <row r="75" spans="1:5">
      <c r="A75" t="s">
        <v>1079</v>
      </c>
      <c r="B75" t="s">
        <v>1050</v>
      </c>
      <c r="C75" t="s">
        <v>1079</v>
      </c>
      <c r="E75" t="s">
        <v>124</v>
      </c>
    </row>
    <row r="76" spans="1:5">
      <c r="A76" t="s">
        <v>1079</v>
      </c>
      <c r="B76" t="s">
        <v>1081</v>
      </c>
      <c r="C76" t="s">
        <v>1079</v>
      </c>
      <c r="E76" t="s">
        <v>124</v>
      </c>
    </row>
    <row r="77" spans="1:5">
      <c r="A77" t="s">
        <v>61</v>
      </c>
      <c r="B77" t="s">
        <v>1566</v>
      </c>
      <c r="C77" t="s">
        <v>61</v>
      </c>
      <c r="E77" t="s">
        <v>124</v>
      </c>
    </row>
    <row r="78" spans="1:5">
      <c r="A78" t="s">
        <v>61</v>
      </c>
      <c r="B78" t="s">
        <v>1567</v>
      </c>
      <c r="C78" t="s">
        <v>61</v>
      </c>
      <c r="E78" t="s">
        <v>124</v>
      </c>
    </row>
    <row r="79" spans="1:5">
      <c r="A79" t="s">
        <v>61</v>
      </c>
      <c r="B79" t="s">
        <v>1568</v>
      </c>
      <c r="C79" t="s">
        <v>61</v>
      </c>
      <c r="E79" t="s">
        <v>124</v>
      </c>
    </row>
    <row r="80" spans="1:5">
      <c r="A80" t="s">
        <v>61</v>
      </c>
      <c r="B80" t="s">
        <v>1569</v>
      </c>
      <c r="C80" t="s">
        <v>61</v>
      </c>
      <c r="E80" t="s">
        <v>124</v>
      </c>
    </row>
    <row r="81" spans="1:5">
      <c r="A81" t="s">
        <v>61</v>
      </c>
      <c r="B81" t="s">
        <v>1570</v>
      </c>
      <c r="C81" t="s">
        <v>61</v>
      </c>
      <c r="E81" t="s">
        <v>124</v>
      </c>
    </row>
    <row r="82" spans="1:5">
      <c r="A82" t="s">
        <v>61</v>
      </c>
      <c r="B82" t="s">
        <v>1571</v>
      </c>
      <c r="C82" t="s">
        <v>61</v>
      </c>
      <c r="E82" t="s">
        <v>124</v>
      </c>
    </row>
    <row r="83" spans="1:5">
      <c r="A83" t="s">
        <v>61</v>
      </c>
      <c r="B83" t="s">
        <v>1572</v>
      </c>
      <c r="C83" t="s">
        <v>61</v>
      </c>
      <c r="E83" t="s">
        <v>124</v>
      </c>
    </row>
    <row r="84" spans="1:5">
      <c r="A84" t="s">
        <v>61</v>
      </c>
      <c r="B84" t="s">
        <v>1573</v>
      </c>
      <c r="C84" t="s">
        <v>61</v>
      </c>
      <c r="E84" t="s">
        <v>124</v>
      </c>
    </row>
    <row r="85" spans="1:5">
      <c r="A85" t="s">
        <v>61</v>
      </c>
      <c r="B85" t="s">
        <v>1574</v>
      </c>
      <c r="C85" t="s">
        <v>61</v>
      </c>
      <c r="E85" t="s">
        <v>124</v>
      </c>
    </row>
    <row r="86" spans="1:5">
      <c r="A86" t="s">
        <v>61</v>
      </c>
      <c r="B86" t="s">
        <v>1575</v>
      </c>
      <c r="C86" t="s">
        <v>61</v>
      </c>
      <c r="E86" t="s">
        <v>124</v>
      </c>
    </row>
    <row r="87" spans="1:5">
      <c r="A87" t="s">
        <v>61</v>
      </c>
      <c r="B87" t="s">
        <v>1576</v>
      </c>
      <c r="C87" t="s">
        <v>61</v>
      </c>
      <c r="E87" t="s">
        <v>124</v>
      </c>
    </row>
    <row r="88" spans="1:5">
      <c r="A88" t="s">
        <v>61</v>
      </c>
      <c r="B88" t="s">
        <v>1577</v>
      </c>
      <c r="C88" t="s">
        <v>61</v>
      </c>
      <c r="E88" t="s">
        <v>124</v>
      </c>
    </row>
    <row r="89" spans="1:5">
      <c r="A89" t="s">
        <v>61</v>
      </c>
      <c r="B89" t="s">
        <v>1578</v>
      </c>
      <c r="C89" t="s">
        <v>61</v>
      </c>
      <c r="E89" t="s">
        <v>124</v>
      </c>
    </row>
    <row r="90" spans="1:5">
      <c r="A90" t="s">
        <v>61</v>
      </c>
      <c r="B90" t="s">
        <v>1579</v>
      </c>
      <c r="C90" t="s">
        <v>61</v>
      </c>
      <c r="E90" t="s">
        <v>124</v>
      </c>
    </row>
    <row r="91" spans="1:5">
      <c r="A91" t="s">
        <v>61</v>
      </c>
      <c r="B91" t="s">
        <v>1580</v>
      </c>
      <c r="C91" t="s">
        <v>61</v>
      </c>
      <c r="E91" t="s">
        <v>124</v>
      </c>
    </row>
    <row r="92" spans="1:5">
      <c r="A92" t="s">
        <v>61</v>
      </c>
      <c r="B92" t="s">
        <v>1581</v>
      </c>
      <c r="C92" t="s">
        <v>61</v>
      </c>
      <c r="E92" t="s">
        <v>124</v>
      </c>
    </row>
    <row r="93" spans="1:5">
      <c r="A93" t="s">
        <v>61</v>
      </c>
      <c r="B93" t="s">
        <v>1582</v>
      </c>
      <c r="C93" t="s">
        <v>61</v>
      </c>
      <c r="E93" t="s">
        <v>124</v>
      </c>
    </row>
    <row r="94" spans="1:5">
      <c r="A94" t="s">
        <v>61</v>
      </c>
      <c r="B94" t="s">
        <v>1583</v>
      </c>
      <c r="C94" t="s">
        <v>61</v>
      </c>
      <c r="E94" t="s">
        <v>124</v>
      </c>
    </row>
    <row r="95" spans="1:5">
      <c r="A95" t="s">
        <v>61</v>
      </c>
      <c r="B95" t="s">
        <v>1584</v>
      </c>
      <c r="C95" t="s">
        <v>61</v>
      </c>
      <c r="E95" t="s">
        <v>124</v>
      </c>
    </row>
    <row r="96" spans="1:5">
      <c r="A96" t="s">
        <v>61</v>
      </c>
      <c r="B96" t="s">
        <v>1585</v>
      </c>
      <c r="C96" t="s">
        <v>61</v>
      </c>
      <c r="E96" t="s">
        <v>124</v>
      </c>
    </row>
    <row r="97" spans="1:5">
      <c r="A97" t="s">
        <v>61</v>
      </c>
      <c r="B97" t="s">
        <v>1586</v>
      </c>
      <c r="C97" t="s">
        <v>61</v>
      </c>
      <c r="E97" t="s">
        <v>124</v>
      </c>
    </row>
    <row r="98" spans="1:5">
      <c r="A98" t="s">
        <v>61</v>
      </c>
      <c r="B98" t="s">
        <v>1587</v>
      </c>
      <c r="C98" t="s">
        <v>61</v>
      </c>
      <c r="E98" t="s">
        <v>124</v>
      </c>
    </row>
    <row r="99" spans="1:5">
      <c r="A99" t="s">
        <v>61</v>
      </c>
      <c r="B99" t="s">
        <v>1588</v>
      </c>
      <c r="C99" t="s">
        <v>61</v>
      </c>
      <c r="E99" t="s">
        <v>124</v>
      </c>
    </row>
    <row r="100" spans="1:5">
      <c r="A100" t="s">
        <v>61</v>
      </c>
      <c r="B100" t="s">
        <v>1589</v>
      </c>
      <c r="C100" t="s">
        <v>61</v>
      </c>
      <c r="E100" t="s">
        <v>124</v>
      </c>
    </row>
    <row r="101" spans="1:5">
      <c r="A101" t="s">
        <v>61</v>
      </c>
      <c r="B101" t="s">
        <v>1590</v>
      </c>
      <c r="C101" t="s">
        <v>61</v>
      </c>
      <c r="E101" t="s">
        <v>124</v>
      </c>
    </row>
    <row r="102" spans="1:5">
      <c r="A102" t="s">
        <v>61</v>
      </c>
      <c r="B102" t="s">
        <v>1593</v>
      </c>
      <c r="C102" t="s">
        <v>61</v>
      </c>
      <c r="E102" t="s">
        <v>124</v>
      </c>
    </row>
    <row r="103" spans="1:5">
      <c r="A103" t="s">
        <v>61</v>
      </c>
      <c r="B103" t="s">
        <v>1594</v>
      </c>
      <c r="C103" t="s">
        <v>61</v>
      </c>
      <c r="E103" t="s">
        <v>124</v>
      </c>
    </row>
    <row r="104" spans="1:5">
      <c r="A104" t="s">
        <v>61</v>
      </c>
      <c r="B104" t="s">
        <v>1596</v>
      </c>
      <c r="C104" t="s">
        <v>61</v>
      </c>
      <c r="E104" t="s">
        <v>124</v>
      </c>
    </row>
    <row r="105" spans="1:5">
      <c r="A105" t="s">
        <v>61</v>
      </c>
      <c r="B105" t="s">
        <v>1597</v>
      </c>
      <c r="C105" t="s">
        <v>61</v>
      </c>
      <c r="E105" t="s">
        <v>124</v>
      </c>
    </row>
    <row r="106" spans="1:5">
      <c r="A106" t="s">
        <v>61</v>
      </c>
      <c r="B106" t="s">
        <v>1598</v>
      </c>
      <c r="C106" t="s">
        <v>61</v>
      </c>
      <c r="E106" t="s">
        <v>124</v>
      </c>
    </row>
    <row r="107" spans="1:5">
      <c r="A107" t="s">
        <v>61</v>
      </c>
      <c r="B107" t="s">
        <v>1600</v>
      </c>
      <c r="C107" t="s">
        <v>61</v>
      </c>
      <c r="E107" t="s">
        <v>124</v>
      </c>
    </row>
    <row r="108" spans="1:5">
      <c r="A108" t="s">
        <v>61</v>
      </c>
      <c r="B108" t="s">
        <v>1602</v>
      </c>
      <c r="C108" t="s">
        <v>61</v>
      </c>
      <c r="E108" t="s">
        <v>124</v>
      </c>
    </row>
    <row r="109" spans="1:5">
      <c r="A109" t="s">
        <v>61</v>
      </c>
      <c r="B109" t="s">
        <v>1603</v>
      </c>
      <c r="C109" t="s">
        <v>61</v>
      </c>
      <c r="E109" t="s">
        <v>124</v>
      </c>
    </row>
    <row r="110" spans="1:5">
      <c r="A110" t="s">
        <v>61</v>
      </c>
      <c r="B110" t="s">
        <v>1604</v>
      </c>
      <c r="C110" t="s">
        <v>61</v>
      </c>
      <c r="E110" t="s">
        <v>124</v>
      </c>
    </row>
    <row r="111" spans="1:5">
      <c r="A111" t="s">
        <v>61</v>
      </c>
      <c r="B111" t="s">
        <v>1605</v>
      </c>
      <c r="C111" t="s">
        <v>61</v>
      </c>
      <c r="E111" t="s">
        <v>124</v>
      </c>
    </row>
    <row r="112" spans="1:5">
      <c r="A112" t="s">
        <v>61</v>
      </c>
      <c r="B112" t="s">
        <v>1607</v>
      </c>
      <c r="C112" t="s">
        <v>61</v>
      </c>
      <c r="E112" t="s">
        <v>124</v>
      </c>
    </row>
    <row r="113" spans="1:5">
      <c r="A113" t="s">
        <v>61</v>
      </c>
      <c r="B113" t="s">
        <v>1608</v>
      </c>
      <c r="C113" t="s">
        <v>61</v>
      </c>
      <c r="E113" t="s">
        <v>124</v>
      </c>
    </row>
    <row r="114" spans="1:5">
      <c r="A114" t="s">
        <v>61</v>
      </c>
      <c r="B114" t="s">
        <v>1609</v>
      </c>
      <c r="C114" t="s">
        <v>61</v>
      </c>
      <c r="E114" t="s">
        <v>124</v>
      </c>
    </row>
    <row r="115" spans="1:5">
      <c r="A115" t="s">
        <v>61</v>
      </c>
      <c r="B115" t="s">
        <v>1610</v>
      </c>
      <c r="C115" t="s">
        <v>61</v>
      </c>
      <c r="E115" t="s">
        <v>124</v>
      </c>
    </row>
    <row r="116" spans="1:5">
      <c r="A116" t="s">
        <v>61</v>
      </c>
      <c r="B116" t="s">
        <v>1611</v>
      </c>
      <c r="C116" t="s">
        <v>61</v>
      </c>
      <c r="E116" t="s">
        <v>124</v>
      </c>
    </row>
    <row r="117" spans="1:5">
      <c r="A117" t="s">
        <v>61</v>
      </c>
      <c r="B117" t="s">
        <v>1612</v>
      </c>
      <c r="C117" t="s">
        <v>61</v>
      </c>
      <c r="E117" t="s">
        <v>124</v>
      </c>
    </row>
    <row r="118" spans="1:5">
      <c r="A118" t="s">
        <v>61</v>
      </c>
      <c r="B118" t="s">
        <v>1613</v>
      </c>
      <c r="C118" t="s">
        <v>61</v>
      </c>
      <c r="E118" t="s">
        <v>124</v>
      </c>
    </row>
    <row r="119" spans="1:5">
      <c r="A119" t="s">
        <v>61</v>
      </c>
      <c r="B119" t="s">
        <v>1614</v>
      </c>
      <c r="C119" t="s">
        <v>61</v>
      </c>
      <c r="E119" t="s">
        <v>124</v>
      </c>
    </row>
    <row r="120" spans="1:5">
      <c r="A120" t="s">
        <v>1701</v>
      </c>
      <c r="B120" t="s">
        <v>1703</v>
      </c>
      <c r="C120" t="s">
        <v>1701</v>
      </c>
      <c r="E120" t="s">
        <v>124</v>
      </c>
    </row>
    <row r="121" spans="1:5">
      <c r="A121" t="s">
        <v>1701</v>
      </c>
      <c r="B121" t="s">
        <v>1704</v>
      </c>
      <c r="C121" t="s">
        <v>1701</v>
      </c>
      <c r="E121" t="s">
        <v>124</v>
      </c>
    </row>
    <row r="122" spans="1:5">
      <c r="A122" t="s">
        <v>1701</v>
      </c>
      <c r="B122" t="s">
        <v>1706</v>
      </c>
      <c r="C122" t="s">
        <v>1701</v>
      </c>
      <c r="E122" t="s">
        <v>124</v>
      </c>
    </row>
    <row r="123" spans="1:5">
      <c r="A123" t="s">
        <v>1701</v>
      </c>
      <c r="B123" t="s">
        <v>1707</v>
      </c>
      <c r="C123" t="s">
        <v>1701</v>
      </c>
      <c r="E123" t="s">
        <v>124</v>
      </c>
    </row>
    <row r="124" spans="1:5">
      <c r="A124" t="s">
        <v>1701</v>
      </c>
      <c r="B124" t="s">
        <v>1709</v>
      </c>
      <c r="C124" t="s">
        <v>1701</v>
      </c>
      <c r="E124" t="s">
        <v>124</v>
      </c>
    </row>
    <row r="125" spans="1:5">
      <c r="A125" t="s">
        <v>1701</v>
      </c>
      <c r="B125" t="s">
        <v>1710</v>
      </c>
      <c r="C125" t="s">
        <v>1701</v>
      </c>
      <c r="E125" t="s">
        <v>124</v>
      </c>
    </row>
    <row r="126" spans="1:5">
      <c r="A126" t="s">
        <v>1701</v>
      </c>
      <c r="B126" t="s">
        <v>1711</v>
      </c>
      <c r="C126" t="s">
        <v>1701</v>
      </c>
      <c r="E126" t="s">
        <v>124</v>
      </c>
    </row>
    <row r="127" spans="1:5">
      <c r="A127" t="s">
        <v>1701</v>
      </c>
      <c r="B127" t="s">
        <v>1712</v>
      </c>
      <c r="C127" t="s">
        <v>1701</v>
      </c>
      <c r="E127" t="s">
        <v>124</v>
      </c>
    </row>
    <row r="128" spans="1:5">
      <c r="A128" t="s">
        <v>1701</v>
      </c>
      <c r="B128" t="s">
        <v>1713</v>
      </c>
      <c r="C128" t="s">
        <v>1701</v>
      </c>
      <c r="E128" t="s">
        <v>124</v>
      </c>
    </row>
    <row r="129" spans="1:5">
      <c r="A129" t="s">
        <v>1701</v>
      </c>
      <c r="B129" t="s">
        <v>225</v>
      </c>
      <c r="C129" t="s">
        <v>1701</v>
      </c>
      <c r="E129" t="s">
        <v>124</v>
      </c>
    </row>
    <row r="130" spans="1:5">
      <c r="A130" t="s">
        <v>1701</v>
      </c>
      <c r="B130" t="s">
        <v>1715</v>
      </c>
      <c r="C130" t="s">
        <v>1701</v>
      </c>
      <c r="E130" t="s">
        <v>124</v>
      </c>
    </row>
    <row r="131" spans="1:5">
      <c r="A131" t="s">
        <v>1701</v>
      </c>
      <c r="B131" t="s">
        <v>1716</v>
      </c>
      <c r="C131" t="s">
        <v>1701</v>
      </c>
      <c r="E131" t="s">
        <v>124</v>
      </c>
    </row>
    <row r="132" spans="1:5">
      <c r="A132" t="s">
        <v>1701</v>
      </c>
      <c r="B132" t="s">
        <v>1717</v>
      </c>
      <c r="C132" t="s">
        <v>1701</v>
      </c>
      <c r="E132" t="s">
        <v>124</v>
      </c>
    </row>
    <row r="133" spans="1:5">
      <c r="A133" t="s">
        <v>1701</v>
      </c>
      <c r="B133" t="s">
        <v>1718</v>
      </c>
      <c r="C133" t="s">
        <v>1701</v>
      </c>
      <c r="E133" t="s">
        <v>124</v>
      </c>
    </row>
    <row r="134" spans="1:5">
      <c r="A134" t="s">
        <v>1701</v>
      </c>
      <c r="B134" t="s">
        <v>1719</v>
      </c>
      <c r="C134" t="s">
        <v>1701</v>
      </c>
      <c r="E134" t="s">
        <v>124</v>
      </c>
    </row>
    <row r="135" spans="1:5">
      <c r="A135" t="s">
        <v>1701</v>
      </c>
      <c r="B135" t="s">
        <v>1720</v>
      </c>
      <c r="C135" t="s">
        <v>1701</v>
      </c>
      <c r="E135" t="s">
        <v>124</v>
      </c>
    </row>
    <row r="136" spans="1:5">
      <c r="A136" t="s">
        <v>1701</v>
      </c>
      <c r="B136" t="s">
        <v>1722</v>
      </c>
      <c r="C136" t="s">
        <v>1701</v>
      </c>
      <c r="E136" t="s">
        <v>124</v>
      </c>
    </row>
    <row r="137" spans="1:5">
      <c r="A137" t="s">
        <v>1701</v>
      </c>
      <c r="B137" t="s">
        <v>1724</v>
      </c>
      <c r="C137" t="s">
        <v>1701</v>
      </c>
      <c r="E137" t="s">
        <v>124</v>
      </c>
    </row>
    <row r="138" spans="1:5">
      <c r="A138" t="s">
        <v>1480</v>
      </c>
      <c r="B138" t="s">
        <v>1482</v>
      </c>
      <c r="C138" t="s">
        <v>1480</v>
      </c>
      <c r="E138" t="s">
        <v>124</v>
      </c>
    </row>
    <row r="139" spans="1:5">
      <c r="A139" t="s">
        <v>1480</v>
      </c>
      <c r="B139" t="s">
        <v>1484</v>
      </c>
      <c r="C139" t="s">
        <v>1480</v>
      </c>
      <c r="E139" t="s">
        <v>124</v>
      </c>
    </row>
    <row r="140" spans="1:5">
      <c r="A140" t="s">
        <v>1480</v>
      </c>
      <c r="B140" t="s">
        <v>1486</v>
      </c>
      <c r="C140" t="s">
        <v>1480</v>
      </c>
      <c r="E140" t="s">
        <v>124</v>
      </c>
    </row>
    <row r="141" spans="1:5">
      <c r="A141" t="s">
        <v>1480</v>
      </c>
      <c r="B141" t="s">
        <v>1488</v>
      </c>
      <c r="C141" t="s">
        <v>1480</v>
      </c>
      <c r="E141" t="s">
        <v>124</v>
      </c>
    </row>
    <row r="142" spans="1:5">
      <c r="A142" t="s">
        <v>1480</v>
      </c>
      <c r="B142" t="s">
        <v>1491</v>
      </c>
      <c r="C142" t="s">
        <v>1480</v>
      </c>
      <c r="E142" t="s">
        <v>124</v>
      </c>
    </row>
    <row r="143" spans="1:5">
      <c r="A143" t="s">
        <v>122</v>
      </c>
      <c r="B143" t="s">
        <v>2199</v>
      </c>
      <c r="C143" t="s">
        <v>122</v>
      </c>
      <c r="E143" t="s">
        <v>124</v>
      </c>
    </row>
    <row r="144" spans="1:5">
      <c r="A144" t="s">
        <v>122</v>
      </c>
      <c r="B144" t="s">
        <v>2200</v>
      </c>
      <c r="C144" t="s">
        <v>122</v>
      </c>
      <c r="E144" t="s">
        <v>124</v>
      </c>
    </row>
    <row r="145" spans="1:5">
      <c r="A145" t="s">
        <v>122</v>
      </c>
      <c r="B145" t="s">
        <v>2201</v>
      </c>
      <c r="C145" t="s">
        <v>122</v>
      </c>
      <c r="E145" t="s">
        <v>124</v>
      </c>
    </row>
    <row r="146" spans="1:5">
      <c r="A146" t="s">
        <v>122</v>
      </c>
      <c r="B146" t="s">
        <v>2202</v>
      </c>
      <c r="C146" t="s">
        <v>122</v>
      </c>
      <c r="E146" t="s">
        <v>124</v>
      </c>
    </row>
    <row r="147" spans="1:5">
      <c r="A147" t="s">
        <v>122</v>
      </c>
      <c r="B147" t="s">
        <v>2204</v>
      </c>
      <c r="C147" t="s">
        <v>122</v>
      </c>
      <c r="E147" t="s">
        <v>124</v>
      </c>
    </row>
    <row r="148" spans="1:5">
      <c r="A148" t="s">
        <v>122</v>
      </c>
      <c r="B148" t="s">
        <v>2205</v>
      </c>
      <c r="C148" t="s">
        <v>122</v>
      </c>
      <c r="E148" t="s">
        <v>124</v>
      </c>
    </row>
    <row r="149" spans="1:5">
      <c r="A149" t="s">
        <v>122</v>
      </c>
      <c r="B149" t="s">
        <v>2206</v>
      </c>
      <c r="C149" t="s">
        <v>122</v>
      </c>
      <c r="E149" t="s">
        <v>124</v>
      </c>
    </row>
    <row r="150" spans="1:5">
      <c r="A150" t="s">
        <v>122</v>
      </c>
      <c r="B150" t="s">
        <v>2207</v>
      </c>
      <c r="C150" t="s">
        <v>122</v>
      </c>
      <c r="E150" t="s">
        <v>124</v>
      </c>
    </row>
    <row r="151" spans="1:5">
      <c r="A151" t="s">
        <v>122</v>
      </c>
      <c r="B151" t="s">
        <v>2208</v>
      </c>
      <c r="C151" t="s">
        <v>122</v>
      </c>
      <c r="E151" t="s">
        <v>124</v>
      </c>
    </row>
    <row r="152" spans="1:5">
      <c r="A152" t="s">
        <v>122</v>
      </c>
      <c r="B152" t="s">
        <v>2209</v>
      </c>
      <c r="C152" t="s">
        <v>122</v>
      </c>
      <c r="E152" t="s">
        <v>124</v>
      </c>
    </row>
    <row r="153" spans="1:5">
      <c r="A153" t="s">
        <v>122</v>
      </c>
      <c r="B153" t="s">
        <v>2210</v>
      </c>
      <c r="C153" t="s">
        <v>122</v>
      </c>
      <c r="E153" t="s">
        <v>124</v>
      </c>
    </row>
    <row r="154" spans="1:5">
      <c r="A154" t="s">
        <v>122</v>
      </c>
      <c r="B154" t="s">
        <v>2211</v>
      </c>
      <c r="C154" t="s">
        <v>122</v>
      </c>
      <c r="E154" t="s">
        <v>124</v>
      </c>
    </row>
    <row r="155" spans="1:5">
      <c r="A155" t="s">
        <v>122</v>
      </c>
      <c r="B155" t="s">
        <v>2213</v>
      </c>
      <c r="C155" t="s">
        <v>122</v>
      </c>
      <c r="E155" t="s">
        <v>124</v>
      </c>
    </row>
    <row r="156" spans="1:5">
      <c r="A156" t="s">
        <v>122</v>
      </c>
      <c r="B156" t="s">
        <v>2214</v>
      </c>
      <c r="C156" t="s">
        <v>122</v>
      </c>
      <c r="E156" t="s">
        <v>124</v>
      </c>
    </row>
    <row r="157" spans="1:5">
      <c r="A157" t="s">
        <v>122</v>
      </c>
      <c r="B157" t="s">
        <v>2215</v>
      </c>
      <c r="C157" t="s">
        <v>122</v>
      </c>
      <c r="E157" t="s">
        <v>124</v>
      </c>
    </row>
    <row r="158" spans="1:5">
      <c r="A158" t="s">
        <v>122</v>
      </c>
      <c r="B158" t="s">
        <v>2216</v>
      </c>
      <c r="C158" t="s">
        <v>122</v>
      </c>
      <c r="E158" t="s">
        <v>124</v>
      </c>
    </row>
    <row r="159" spans="1:5">
      <c r="A159" t="s">
        <v>122</v>
      </c>
      <c r="B159" t="s">
        <v>2217</v>
      </c>
      <c r="C159" t="s">
        <v>122</v>
      </c>
      <c r="E159" t="s">
        <v>124</v>
      </c>
    </row>
    <row r="160" spans="1:5">
      <c r="A160" t="s">
        <v>122</v>
      </c>
      <c r="B160" t="s">
        <v>2218</v>
      </c>
      <c r="C160" t="s">
        <v>122</v>
      </c>
      <c r="E160" t="s">
        <v>124</v>
      </c>
    </row>
    <row r="161" spans="1:5">
      <c r="A161" t="s">
        <v>122</v>
      </c>
      <c r="B161" t="s">
        <v>2219</v>
      </c>
      <c r="C161" t="s">
        <v>122</v>
      </c>
      <c r="E161" t="s">
        <v>124</v>
      </c>
    </row>
    <row r="162" spans="1:5">
      <c r="A162" t="s">
        <v>122</v>
      </c>
      <c r="B162" t="s">
        <v>2221</v>
      </c>
      <c r="C162" t="s">
        <v>122</v>
      </c>
      <c r="E162" t="s">
        <v>124</v>
      </c>
    </row>
    <row r="163" spans="1:5">
      <c r="A163" t="s">
        <v>122</v>
      </c>
      <c r="B163" t="s">
        <v>2222</v>
      </c>
      <c r="C163" t="s">
        <v>122</v>
      </c>
      <c r="E163" t="s">
        <v>124</v>
      </c>
    </row>
    <row r="164" spans="1:5">
      <c r="A164" t="s">
        <v>122</v>
      </c>
      <c r="B164" t="s">
        <v>2223</v>
      </c>
      <c r="C164" t="s">
        <v>122</v>
      </c>
      <c r="E164" t="s">
        <v>124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C28" sqref="C28"/>
    </sheetView>
  </sheetViews>
  <sheetFormatPr defaultColWidth="9" defaultRowHeight="15" outlineLevelCol="4"/>
  <cols>
    <col min="1" max="1" width="24.2857142857143" customWidth="1"/>
    <col min="2" max="2" width="57.7142857142857" customWidth="1"/>
    <col min="3" max="3" width="18" customWidth="1"/>
    <col min="4" max="4" width="14.4285714285714" style="68" customWidth="1"/>
    <col min="5" max="5" width="14.4285714285714" style="80" customWidth="1"/>
  </cols>
  <sheetData>
    <row r="1" s="1" customFormat="1" spans="1:5">
      <c r="A1" s="11" t="s">
        <v>1</v>
      </c>
      <c r="B1" s="11" t="s">
        <v>3256</v>
      </c>
      <c r="C1" s="11" t="s">
        <v>3</v>
      </c>
      <c r="D1" s="21" t="s">
        <v>4</v>
      </c>
      <c r="E1" s="81" t="s">
        <v>3257</v>
      </c>
    </row>
    <row r="2" spans="1:5">
      <c r="A2" s="6" t="s">
        <v>44</v>
      </c>
      <c r="B2" s="6" t="s">
        <v>3258</v>
      </c>
      <c r="C2" s="6" t="s">
        <v>3248</v>
      </c>
      <c r="D2" s="8" t="s">
        <v>9</v>
      </c>
      <c r="E2" s="82">
        <v>295</v>
      </c>
    </row>
    <row r="3" spans="1:5">
      <c r="A3" s="6" t="s">
        <v>44</v>
      </c>
      <c r="B3" s="6" t="s">
        <v>1477</v>
      </c>
      <c r="C3" s="6" t="s">
        <v>3248</v>
      </c>
      <c r="D3" s="8" t="s">
        <v>9</v>
      </c>
      <c r="E3" s="82">
        <v>350</v>
      </c>
    </row>
    <row r="4" spans="1:5">
      <c r="A4" s="6" t="s">
        <v>44</v>
      </c>
      <c r="B4" s="6" t="s">
        <v>1478</v>
      </c>
      <c r="C4" s="6" t="s">
        <v>3248</v>
      </c>
      <c r="D4" s="8" t="s">
        <v>9</v>
      </c>
      <c r="E4" s="82">
        <v>745</v>
      </c>
    </row>
    <row r="5" spans="1:5">
      <c r="A5" s="6" t="s">
        <v>0</v>
      </c>
      <c r="B5" s="6" t="s">
        <v>3259</v>
      </c>
      <c r="C5" s="6" t="s">
        <v>3251</v>
      </c>
      <c r="D5" s="8" t="s">
        <v>124</v>
      </c>
      <c r="E5" s="82">
        <v>11.8</v>
      </c>
    </row>
    <row r="6" spans="1:5">
      <c r="A6" s="6" t="s">
        <v>0</v>
      </c>
      <c r="B6" s="6" t="s">
        <v>3260</v>
      </c>
      <c r="C6" s="6" t="s">
        <v>3251</v>
      </c>
      <c r="D6" s="8" t="s">
        <v>124</v>
      </c>
      <c r="E6" s="82">
        <v>11.8</v>
      </c>
    </row>
    <row r="7" spans="1:5">
      <c r="A7" s="6" t="s">
        <v>0</v>
      </c>
      <c r="B7" s="6" t="s">
        <v>3261</v>
      </c>
      <c r="C7" s="6" t="s">
        <v>3251</v>
      </c>
      <c r="D7" s="8" t="s">
        <v>124</v>
      </c>
      <c r="E7" s="82">
        <v>11.8</v>
      </c>
    </row>
    <row r="8" spans="1:5">
      <c r="A8" s="6" t="s">
        <v>164</v>
      </c>
      <c r="B8" s="6" t="s">
        <v>174</v>
      </c>
      <c r="C8" s="6" t="s">
        <v>3262</v>
      </c>
      <c r="D8" s="8" t="s">
        <v>124</v>
      </c>
      <c r="E8" s="82">
        <v>47</v>
      </c>
    </row>
    <row r="9" spans="1:5">
      <c r="A9" s="6" t="s">
        <v>164</v>
      </c>
      <c r="B9" s="6" t="s">
        <v>175</v>
      </c>
      <c r="C9" s="6" t="s">
        <v>3262</v>
      </c>
      <c r="D9" s="8" t="s">
        <v>124</v>
      </c>
      <c r="E9" s="82">
        <v>47</v>
      </c>
    </row>
    <row r="10" spans="1:5">
      <c r="A10" s="6" t="s">
        <v>164</v>
      </c>
      <c r="B10" s="6" t="s">
        <v>176</v>
      </c>
      <c r="C10" s="6" t="s">
        <v>3262</v>
      </c>
      <c r="D10" s="8" t="s">
        <v>124</v>
      </c>
      <c r="E10" s="82">
        <v>47</v>
      </c>
    </row>
    <row r="11" spans="1:5">
      <c r="A11" s="6" t="s">
        <v>3263</v>
      </c>
      <c r="B11" s="6" t="s">
        <v>3264</v>
      </c>
      <c r="C11" s="6" t="s">
        <v>3262</v>
      </c>
      <c r="D11" s="8" t="s">
        <v>124</v>
      </c>
      <c r="E11" s="82">
        <v>20</v>
      </c>
    </row>
    <row r="12" spans="1:5">
      <c r="A12" s="6" t="s">
        <v>61</v>
      </c>
      <c r="B12" s="6" t="s">
        <v>3265</v>
      </c>
      <c r="C12" s="6" t="s">
        <v>3247</v>
      </c>
      <c r="D12" s="8" t="s">
        <v>124</v>
      </c>
      <c r="E12" s="82">
        <v>134</v>
      </c>
    </row>
    <row r="13" spans="1:5">
      <c r="A13" s="6" t="s">
        <v>61</v>
      </c>
      <c r="B13" s="6" t="s">
        <v>68</v>
      </c>
      <c r="C13" s="6" t="s">
        <v>3247</v>
      </c>
      <c r="D13" s="8" t="s">
        <v>124</v>
      </c>
      <c r="E13" s="82">
        <v>135</v>
      </c>
    </row>
    <row r="14" spans="1:5">
      <c r="A14" s="6" t="s">
        <v>3263</v>
      </c>
      <c r="B14" s="6" t="s">
        <v>3266</v>
      </c>
      <c r="C14" s="6" t="s">
        <v>3262</v>
      </c>
      <c r="D14" s="8" t="s">
        <v>124</v>
      </c>
      <c r="E14" s="82">
        <v>21</v>
      </c>
    </row>
    <row r="15" spans="1:5">
      <c r="A15" s="6" t="s">
        <v>122</v>
      </c>
      <c r="B15" s="6" t="s">
        <v>3267</v>
      </c>
      <c r="C15" s="6" t="s">
        <v>3262</v>
      </c>
      <c r="D15" s="8" t="s">
        <v>124</v>
      </c>
      <c r="E15" s="82">
        <v>20.5</v>
      </c>
    </row>
    <row r="16" spans="1:5">
      <c r="A16" s="6" t="s">
        <v>122</v>
      </c>
      <c r="B16" s="6" t="s">
        <v>3268</v>
      </c>
      <c r="C16" s="6" t="s">
        <v>3262</v>
      </c>
      <c r="D16" s="8" t="s">
        <v>124</v>
      </c>
      <c r="E16" s="82">
        <v>24.5</v>
      </c>
    </row>
    <row r="17" spans="1:5">
      <c r="A17" s="6" t="s">
        <v>122</v>
      </c>
      <c r="B17" s="6" t="s">
        <v>3269</v>
      </c>
      <c r="C17" s="6" t="s">
        <v>3262</v>
      </c>
      <c r="D17" s="8" t="s">
        <v>124</v>
      </c>
      <c r="E17" s="82">
        <v>30.5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56"/>
  <sheetViews>
    <sheetView workbookViewId="0">
      <selection activeCell="B6" sqref="B6"/>
    </sheetView>
  </sheetViews>
  <sheetFormatPr defaultColWidth="9" defaultRowHeight="15" outlineLevelCol="2"/>
  <cols>
    <col min="1" max="1" width="10.8571428571429" style="68" customWidth="1"/>
    <col min="2" max="2" width="38.2857142857143" customWidth="1"/>
  </cols>
  <sheetData>
    <row r="2" spans="1:2">
      <c r="A2" s="1" t="s">
        <v>3270</v>
      </c>
    </row>
    <row r="4" s="1" customFormat="1" spans="1:2">
      <c r="A4" s="21" t="s">
        <v>3271</v>
      </c>
      <c r="B4" s="11" t="s">
        <v>3272</v>
      </c>
    </row>
    <row r="5" spans="1:2">
      <c r="A5" s="77">
        <v>1</v>
      </c>
      <c r="B5" s="7" t="s">
        <v>327</v>
      </c>
    </row>
    <row r="6" spans="1:2">
      <c r="A6" s="8">
        <v>3</v>
      </c>
      <c r="B6" s="29" t="s">
        <v>3229</v>
      </c>
    </row>
    <row r="7" spans="1:2">
      <c r="A7" s="8">
        <f t="shared" ref="A7:A55" si="0">A6+1</f>
        <v>4</v>
      </c>
      <c r="B7" s="71" t="s">
        <v>1145</v>
      </c>
    </row>
    <row r="8" spans="1:2">
      <c r="A8" s="77">
        <f t="shared" si="0"/>
        <v>5</v>
      </c>
      <c r="B8" s="7" t="s">
        <v>247</v>
      </c>
    </row>
    <row r="9" spans="1:2">
      <c r="A9" s="8">
        <f t="shared" si="0"/>
        <v>6</v>
      </c>
      <c r="B9" s="71" t="s">
        <v>1563</v>
      </c>
    </row>
    <row r="10" spans="1:2">
      <c r="A10" s="77">
        <f t="shared" si="0"/>
        <v>7</v>
      </c>
      <c r="B10" s="29" t="s">
        <v>212</v>
      </c>
    </row>
    <row r="11" spans="1:2">
      <c r="A11" s="77">
        <f t="shared" si="0"/>
        <v>8</v>
      </c>
      <c r="B11" s="7" t="s">
        <v>241</v>
      </c>
    </row>
    <row r="12" spans="1:2">
      <c r="A12" s="8">
        <f t="shared" si="0"/>
        <v>9</v>
      </c>
      <c r="B12" s="71" t="s">
        <v>1691</v>
      </c>
    </row>
    <row r="13" spans="1:2">
      <c r="A13" s="8">
        <f t="shared" si="0"/>
        <v>10</v>
      </c>
      <c r="B13" s="75" t="s">
        <v>1313</v>
      </c>
    </row>
    <row r="14" spans="1:2">
      <c r="A14" s="8">
        <f t="shared" si="0"/>
        <v>11</v>
      </c>
      <c r="B14" s="75" t="s">
        <v>3168</v>
      </c>
    </row>
    <row r="15" spans="1:2">
      <c r="A15" s="8">
        <f t="shared" si="0"/>
        <v>12</v>
      </c>
      <c r="B15" s="7" t="s">
        <v>1369</v>
      </c>
    </row>
    <row r="16" spans="1:2">
      <c r="A16" s="77">
        <f t="shared" si="0"/>
        <v>13</v>
      </c>
      <c r="B16" s="7" t="s">
        <v>2271</v>
      </c>
    </row>
    <row r="17" spans="1:3">
      <c r="A17" s="8">
        <f t="shared" si="0"/>
        <v>14</v>
      </c>
      <c r="B17" s="75" t="s">
        <v>1005</v>
      </c>
    </row>
    <row r="18" spans="1:3">
      <c r="A18" s="77">
        <f t="shared" si="0"/>
        <v>15</v>
      </c>
      <c r="B18" s="7" t="s">
        <v>195</v>
      </c>
    </row>
    <row r="19" spans="1:3">
      <c r="A19" s="77">
        <f t="shared" si="0"/>
        <v>16</v>
      </c>
      <c r="B19" s="7" t="s">
        <v>305</v>
      </c>
    </row>
    <row r="20" spans="1:3">
      <c r="A20" s="8">
        <f t="shared" si="0"/>
        <v>17</v>
      </c>
      <c r="B20" s="29" t="s">
        <v>1493</v>
      </c>
    </row>
    <row r="21" spans="1:3">
      <c r="A21" s="77">
        <f t="shared" si="0"/>
        <v>18</v>
      </c>
      <c r="B21" s="7" t="s">
        <v>217</v>
      </c>
    </row>
    <row r="22" spans="1:3">
      <c r="A22" s="77">
        <f t="shared" si="0"/>
        <v>19</v>
      </c>
      <c r="B22" s="7" t="s">
        <v>284</v>
      </c>
    </row>
    <row r="23" spans="1:3">
      <c r="A23" s="77">
        <f t="shared" si="0"/>
        <v>20</v>
      </c>
      <c r="B23" s="7" t="s">
        <v>596</v>
      </c>
      <c r="C23" t="s">
        <v>3273</v>
      </c>
    </row>
    <row r="24" spans="1:3">
      <c r="A24" s="8">
        <f t="shared" si="0"/>
        <v>21</v>
      </c>
      <c r="B24" s="71" t="s">
        <v>1694</v>
      </c>
      <c r="C24" t="s">
        <v>3274</v>
      </c>
    </row>
    <row r="25" spans="1:3">
      <c r="A25" s="77">
        <f t="shared" si="0"/>
        <v>22</v>
      </c>
      <c r="B25" s="7" t="s">
        <v>515</v>
      </c>
    </row>
    <row r="26" spans="1:3">
      <c r="A26" s="8">
        <f t="shared" si="0"/>
        <v>23</v>
      </c>
      <c r="B26" s="71" t="s">
        <v>1142</v>
      </c>
      <c r="C26" t="s">
        <v>3275</v>
      </c>
    </row>
    <row r="27" spans="1:3">
      <c r="A27" s="77">
        <f t="shared" si="0"/>
        <v>24</v>
      </c>
      <c r="B27" s="29" t="s">
        <v>3276</v>
      </c>
    </row>
    <row r="28" spans="1:3">
      <c r="A28" s="77">
        <f t="shared" si="0"/>
        <v>25</v>
      </c>
      <c r="B28" s="7" t="s">
        <v>260</v>
      </c>
    </row>
    <row r="29" spans="1:3">
      <c r="A29" s="77">
        <f t="shared" si="0"/>
        <v>26</v>
      </c>
      <c r="B29" s="7" t="s">
        <v>382</v>
      </c>
    </row>
    <row r="30" spans="1:3">
      <c r="A30" s="77">
        <f t="shared" si="0"/>
        <v>27</v>
      </c>
      <c r="B30" s="7" t="s">
        <v>452</v>
      </c>
    </row>
    <row r="31" spans="1:3">
      <c r="A31" s="77">
        <f t="shared" si="0"/>
        <v>28</v>
      </c>
      <c r="B31" s="7" t="s">
        <v>784</v>
      </c>
    </row>
    <row r="32" spans="1:3">
      <c r="A32" s="8">
        <f t="shared" si="0"/>
        <v>29</v>
      </c>
      <c r="B32" s="71" t="s">
        <v>3277</v>
      </c>
    </row>
    <row r="33" spans="1:2">
      <c r="A33" s="8">
        <f t="shared" si="0"/>
        <v>30</v>
      </c>
      <c r="B33" s="71" t="s">
        <v>3205</v>
      </c>
    </row>
    <row r="34" spans="1:2">
      <c r="A34" s="8">
        <f t="shared" si="0"/>
        <v>31</v>
      </c>
      <c r="B34" s="71" t="s">
        <v>3218</v>
      </c>
    </row>
    <row r="35" spans="1:2">
      <c r="A35" s="77">
        <f t="shared" si="0"/>
        <v>32</v>
      </c>
      <c r="B35" s="7" t="s">
        <v>348</v>
      </c>
    </row>
    <row r="36" spans="1:2">
      <c r="A36" s="77">
        <f t="shared" si="0"/>
        <v>33</v>
      </c>
      <c r="B36" s="7" t="s">
        <v>208</v>
      </c>
    </row>
    <row r="37" spans="1:2">
      <c r="A37" s="77">
        <f t="shared" si="0"/>
        <v>34</v>
      </c>
      <c r="B37" s="7" t="s">
        <v>272</v>
      </c>
    </row>
    <row r="38" spans="1:2">
      <c r="A38" s="78">
        <f t="shared" si="0"/>
        <v>35</v>
      </c>
      <c r="B38" s="7" t="s">
        <v>44</v>
      </c>
    </row>
    <row r="39" spans="1:2">
      <c r="A39" s="8">
        <f t="shared" si="0"/>
        <v>36</v>
      </c>
      <c r="B39" s="71" t="s">
        <v>1701</v>
      </c>
    </row>
    <row r="40" spans="1:2">
      <c r="A40" s="77">
        <f t="shared" si="0"/>
        <v>37</v>
      </c>
      <c r="B40" s="7" t="s">
        <v>263</v>
      </c>
    </row>
    <row r="41" spans="1:2">
      <c r="A41" s="78">
        <f t="shared" si="0"/>
        <v>38</v>
      </c>
      <c r="B41" s="7" t="s">
        <v>164</v>
      </c>
    </row>
    <row r="42" spans="1:2">
      <c r="A42" s="78">
        <f t="shared" si="0"/>
        <v>39</v>
      </c>
      <c r="B42" s="7" t="s">
        <v>156</v>
      </c>
    </row>
    <row r="43" spans="1:2">
      <c r="A43" s="78">
        <f t="shared" si="0"/>
        <v>40</v>
      </c>
      <c r="B43" s="7" t="s">
        <v>122</v>
      </c>
    </row>
    <row r="44" spans="1:2">
      <c r="A44" s="78">
        <f t="shared" si="0"/>
        <v>41</v>
      </c>
      <c r="B44" s="7" t="s">
        <v>61</v>
      </c>
    </row>
    <row r="45" spans="1:2">
      <c r="A45" s="78">
        <f t="shared" si="0"/>
        <v>42</v>
      </c>
      <c r="B45" s="7" t="s">
        <v>141</v>
      </c>
    </row>
    <row r="46" spans="1:2">
      <c r="A46" s="78">
        <f t="shared" si="0"/>
        <v>43</v>
      </c>
      <c r="B46" s="7" t="s">
        <v>0</v>
      </c>
    </row>
    <row r="47" spans="1:2">
      <c r="A47" s="77">
        <f t="shared" si="0"/>
        <v>44</v>
      </c>
      <c r="B47" s="7" t="s">
        <v>3278</v>
      </c>
    </row>
    <row r="48" spans="1:2">
      <c r="A48" s="77">
        <f t="shared" si="0"/>
        <v>45</v>
      </c>
      <c r="B48" s="71" t="s">
        <v>3279</v>
      </c>
    </row>
    <row r="49" spans="1:3">
      <c r="A49" s="8">
        <f t="shared" si="0"/>
        <v>46</v>
      </c>
      <c r="B49" s="71" t="s">
        <v>458</v>
      </c>
    </row>
    <row r="50" spans="1:3">
      <c r="A50" s="77">
        <f t="shared" si="0"/>
        <v>47</v>
      </c>
      <c r="B50" s="71" t="s">
        <v>3280</v>
      </c>
    </row>
    <row r="51" spans="1:3">
      <c r="A51" s="8">
        <f t="shared" si="0"/>
        <v>48</v>
      </c>
      <c r="B51" s="71" t="s">
        <v>3204</v>
      </c>
    </row>
    <row r="52" spans="1:3">
      <c r="A52" s="8">
        <f t="shared" si="0"/>
        <v>49</v>
      </c>
      <c r="B52" s="7" t="s">
        <v>3281</v>
      </c>
      <c r="C52" t="s">
        <v>3282</v>
      </c>
    </row>
    <row r="53" spans="1:3">
      <c r="A53" s="77">
        <f t="shared" si="0"/>
        <v>50</v>
      </c>
      <c r="B53" s="7" t="s">
        <v>573</v>
      </c>
      <c r="C53" t="s">
        <v>3283</v>
      </c>
    </row>
    <row r="54" spans="1:3">
      <c r="A54" s="8">
        <f t="shared" si="0"/>
        <v>51</v>
      </c>
      <c r="B54" s="71" t="s">
        <v>1732</v>
      </c>
    </row>
    <row r="55" spans="1:3">
      <c r="A55" s="8">
        <f t="shared" si="0"/>
        <v>52</v>
      </c>
      <c r="B55" s="71" t="s">
        <v>3284</v>
      </c>
    </row>
    <row r="56" spans="1:3">
      <c r="A56" s="79">
        <v>53</v>
      </c>
      <c r="B56" s="63" t="s">
        <v>877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946"/>
  <sheetViews>
    <sheetView topLeftCell="A920" workbookViewId="0">
      <selection activeCell="A790" sqref="A790"/>
    </sheetView>
  </sheetViews>
  <sheetFormatPr defaultColWidth="9" defaultRowHeight="15" outlineLevelCol="4"/>
  <cols>
    <col min="1" max="1" width="109.857142857143" style="68" customWidth="1"/>
    <col min="2" max="2" width="53.7142857142857" customWidth="1"/>
    <col min="3" max="3" width="47.8571428571429" customWidth="1"/>
    <col min="4" max="4" width="9.57142857142857" style="4"/>
  </cols>
  <sheetData>
    <row r="2" spans="1:5">
      <c r="A2" s="1" t="s">
        <v>3270</v>
      </c>
    </row>
    <row r="4" s="1" customFormat="1" spans="1:5">
      <c r="A4" s="21" t="s">
        <v>3271</v>
      </c>
      <c r="B4" s="11" t="s">
        <v>3272</v>
      </c>
      <c r="D4" s="69" t="s">
        <v>3285</v>
      </c>
      <c r="E4" s="1" t="s">
        <v>3286</v>
      </c>
    </row>
    <row r="5" hidden="1" spans="1:5">
      <c r="A5" s="70">
        <v>1</v>
      </c>
      <c r="B5" s="7" t="s">
        <v>327</v>
      </c>
    </row>
    <row r="6" hidden="1" spans="1:5">
      <c r="A6" t="s">
        <v>1035</v>
      </c>
      <c r="B6" t="s">
        <v>1036</v>
      </c>
      <c r="C6" t="s">
        <v>1034</v>
      </c>
      <c r="D6">
        <v>28.75</v>
      </c>
      <c r="E6" t="s">
        <v>124</v>
      </c>
    </row>
    <row r="7" hidden="1" spans="1:5">
      <c r="A7" t="s">
        <v>1037</v>
      </c>
      <c r="B7" t="s">
        <v>1038</v>
      </c>
      <c r="C7" t="s">
        <v>1034</v>
      </c>
      <c r="D7">
        <v>13.5</v>
      </c>
      <c r="E7" t="s">
        <v>124</v>
      </c>
    </row>
    <row r="8" hidden="1" spans="1:5">
      <c r="A8" t="s">
        <v>1039</v>
      </c>
      <c r="B8" t="s">
        <v>1040</v>
      </c>
      <c r="C8" t="s">
        <v>1034</v>
      </c>
      <c r="D8">
        <v>34.5</v>
      </c>
      <c r="E8" t="s">
        <v>329</v>
      </c>
    </row>
    <row r="9" hidden="1" spans="1:5">
      <c r="A9" t="s">
        <v>332</v>
      </c>
      <c r="B9" t="s">
        <v>332</v>
      </c>
      <c r="C9" t="s">
        <v>1732</v>
      </c>
      <c r="D9">
        <v>19</v>
      </c>
      <c r="E9" t="s">
        <v>329</v>
      </c>
    </row>
    <row r="10" hidden="1" spans="1:5">
      <c r="A10" t="s">
        <v>333</v>
      </c>
      <c r="B10" t="s">
        <v>1889</v>
      </c>
      <c r="C10" t="s">
        <v>1732</v>
      </c>
      <c r="D10">
        <v>43</v>
      </c>
      <c r="E10" t="s">
        <v>329</v>
      </c>
    </row>
    <row r="11" hidden="1" spans="1:5">
      <c r="A11" t="s">
        <v>334</v>
      </c>
      <c r="B11" t="s">
        <v>334</v>
      </c>
      <c r="C11" t="s">
        <v>1732</v>
      </c>
      <c r="D11">
        <v>0.75</v>
      </c>
      <c r="E11" t="s">
        <v>124</v>
      </c>
    </row>
    <row r="12" hidden="1" spans="1:5">
      <c r="A12" t="s">
        <v>3287</v>
      </c>
      <c r="B12" t="s">
        <v>1940</v>
      </c>
      <c r="C12" t="s">
        <v>1732</v>
      </c>
      <c r="D12"/>
      <c r="E12" t="s">
        <v>124</v>
      </c>
    </row>
    <row r="13" hidden="1" spans="1:5">
      <c r="A13" t="s">
        <v>1941</v>
      </c>
      <c r="B13" t="s">
        <v>1941</v>
      </c>
      <c r="C13" t="s">
        <v>1732</v>
      </c>
      <c r="D13"/>
      <c r="E13" t="s">
        <v>292</v>
      </c>
    </row>
    <row r="14" hidden="1" spans="1:5">
      <c r="A14" t="s">
        <v>335</v>
      </c>
      <c r="B14" t="s">
        <v>335</v>
      </c>
      <c r="C14" t="s">
        <v>1732</v>
      </c>
      <c r="D14">
        <v>4.45</v>
      </c>
      <c r="E14" t="s">
        <v>124</v>
      </c>
    </row>
    <row r="15" hidden="1" spans="1:5">
      <c r="A15" t="s">
        <v>337</v>
      </c>
      <c r="B15" t="s">
        <v>337</v>
      </c>
      <c r="C15" t="s">
        <v>1732</v>
      </c>
      <c r="D15">
        <v>4.65</v>
      </c>
      <c r="E15" t="s">
        <v>124</v>
      </c>
    </row>
    <row r="16" hidden="1" spans="1:5">
      <c r="A16" t="s">
        <v>338</v>
      </c>
      <c r="B16" t="s">
        <v>338</v>
      </c>
      <c r="C16" t="s">
        <v>1732</v>
      </c>
      <c r="D16">
        <v>4.85</v>
      </c>
      <c r="E16" t="s">
        <v>124</v>
      </c>
    </row>
    <row r="17" hidden="1" spans="1:5">
      <c r="A17" t="s">
        <v>339</v>
      </c>
      <c r="B17" t="s">
        <v>339</v>
      </c>
      <c r="C17" t="s">
        <v>1732</v>
      </c>
      <c r="D17">
        <v>7.55</v>
      </c>
      <c r="E17" t="s">
        <v>124</v>
      </c>
    </row>
    <row r="18" hidden="1" spans="1:5">
      <c r="A18" t="s">
        <v>340</v>
      </c>
      <c r="B18" t="s">
        <v>340</v>
      </c>
      <c r="C18" t="s">
        <v>1732</v>
      </c>
      <c r="D18">
        <v>5.65</v>
      </c>
      <c r="E18" t="s">
        <v>124</v>
      </c>
    </row>
    <row r="19" hidden="1" spans="1:5">
      <c r="A19" t="s">
        <v>341</v>
      </c>
      <c r="B19" t="s">
        <v>341</v>
      </c>
      <c r="C19" t="s">
        <v>1732</v>
      </c>
      <c r="D19">
        <v>5.85</v>
      </c>
      <c r="E19" t="s">
        <v>124</v>
      </c>
    </row>
    <row r="20" hidden="1" spans="1:5">
      <c r="A20" t="s">
        <v>342</v>
      </c>
      <c r="B20" t="s">
        <v>342</v>
      </c>
      <c r="C20" t="s">
        <v>1732</v>
      </c>
      <c r="D20">
        <v>6.85</v>
      </c>
      <c r="E20" t="s">
        <v>124</v>
      </c>
    </row>
    <row r="21" hidden="1" spans="1:5">
      <c r="A21" t="s">
        <v>343</v>
      </c>
      <c r="B21" t="s">
        <v>343</v>
      </c>
      <c r="C21" t="s">
        <v>1732</v>
      </c>
      <c r="D21">
        <v>9.6</v>
      </c>
      <c r="E21" t="s">
        <v>124</v>
      </c>
    </row>
    <row r="22" hidden="1" spans="1:5">
      <c r="A22" t="s">
        <v>344</v>
      </c>
      <c r="B22" t="s">
        <v>344</v>
      </c>
      <c r="C22" t="s">
        <v>1732</v>
      </c>
      <c r="D22">
        <v>11.45</v>
      </c>
      <c r="E22" t="s">
        <v>124</v>
      </c>
    </row>
    <row r="23" hidden="1" spans="1:5">
      <c r="A23" t="s">
        <v>345</v>
      </c>
      <c r="B23" t="s">
        <v>345</v>
      </c>
      <c r="C23" t="s">
        <v>1732</v>
      </c>
      <c r="D23">
        <v>9.45</v>
      </c>
      <c r="E23" t="s">
        <v>124</v>
      </c>
    </row>
    <row r="24" hidden="1" spans="1:5">
      <c r="A24" t="s">
        <v>2086</v>
      </c>
      <c r="B24" t="s">
        <v>2086</v>
      </c>
      <c r="C24" t="s">
        <v>1732</v>
      </c>
      <c r="D24"/>
      <c r="E24" t="s">
        <v>329</v>
      </c>
    </row>
    <row r="25" hidden="1" spans="1:5">
      <c r="A25" t="s">
        <v>325</v>
      </c>
      <c r="C25" t="s">
        <v>314</v>
      </c>
      <c r="D25">
        <v>67.5</v>
      </c>
    </row>
    <row r="26" hidden="1" spans="1:5">
      <c r="A26" t="s">
        <v>346</v>
      </c>
      <c r="D26"/>
    </row>
    <row r="27" hidden="1" spans="1:5">
      <c r="A27" t="s">
        <v>347</v>
      </c>
      <c r="D27"/>
    </row>
    <row r="28" spans="1:5">
      <c r="A28" s="70">
        <v>3</v>
      </c>
      <c r="B28" s="29" t="s">
        <v>3229</v>
      </c>
    </row>
    <row r="29" spans="1:5">
      <c r="A29" t="s">
        <v>3230</v>
      </c>
      <c r="B29" t="s">
        <v>3230</v>
      </c>
      <c r="C29" t="s">
        <v>3229</v>
      </c>
      <c r="D29"/>
      <c r="E29" t="s">
        <v>124</v>
      </c>
    </row>
    <row r="30" spans="1:5">
      <c r="A30" t="s">
        <v>3231</v>
      </c>
      <c r="B30" t="s">
        <v>3232</v>
      </c>
      <c r="C30" t="s">
        <v>3229</v>
      </c>
      <c r="D30"/>
      <c r="E30" t="s">
        <v>124</v>
      </c>
    </row>
    <row r="31" spans="1:5">
      <c r="A31" s="70">
        <f>A28+1</f>
        <v>4</v>
      </c>
      <c r="B31" s="71" t="s">
        <v>1145</v>
      </c>
    </row>
    <row r="32" hidden="1" spans="1:5">
      <c r="A32" s="70">
        <f>A31+1</f>
        <v>5</v>
      </c>
      <c r="B32" s="7" t="s">
        <v>247</v>
      </c>
    </row>
    <row r="33" hidden="1" spans="1:5">
      <c r="A33" t="s">
        <v>2264</v>
      </c>
      <c r="B33" t="s">
        <v>2264</v>
      </c>
      <c r="C33" t="s">
        <v>0</v>
      </c>
      <c r="D33" s="72"/>
      <c r="E33" t="s">
        <v>598</v>
      </c>
    </row>
    <row r="34" hidden="1" spans="1:5">
      <c r="A34" t="s">
        <v>2265</v>
      </c>
      <c r="B34" t="s">
        <v>2265</v>
      </c>
      <c r="C34" t="s">
        <v>0</v>
      </c>
      <c r="D34" s="72"/>
      <c r="E34" t="s">
        <v>598</v>
      </c>
    </row>
    <row r="35" hidden="1" spans="1:5">
      <c r="A35" t="s">
        <v>256</v>
      </c>
      <c r="B35" t="s">
        <v>256</v>
      </c>
      <c r="C35" t="s">
        <v>247</v>
      </c>
      <c r="D35" s="72"/>
      <c r="E35" t="s">
        <v>124</v>
      </c>
    </row>
    <row r="36" hidden="1" spans="1:5">
      <c r="A36" t="s">
        <v>3288</v>
      </c>
      <c r="B36" t="s">
        <v>1486</v>
      </c>
      <c r="C36" t="s">
        <v>1480</v>
      </c>
      <c r="D36" s="72"/>
      <c r="E36" t="s">
        <v>124</v>
      </c>
    </row>
    <row r="37" s="67" customFormat="1" hidden="1" spans="1:5">
      <c r="A37" s="67" t="s">
        <v>1487</v>
      </c>
      <c r="B37" s="67" t="s">
        <v>1488</v>
      </c>
      <c r="C37" s="67" t="s">
        <v>1480</v>
      </c>
      <c r="D37" s="73"/>
      <c r="E37" s="67" t="s">
        <v>124</v>
      </c>
    </row>
    <row r="38" hidden="1" spans="1:5">
      <c r="A38" t="s">
        <v>248</v>
      </c>
      <c r="B38" t="s">
        <v>1489</v>
      </c>
      <c r="C38" t="s">
        <v>1480</v>
      </c>
      <c r="D38" s="72"/>
      <c r="E38" t="s">
        <v>124</v>
      </c>
    </row>
    <row r="39" s="67" customFormat="1" hidden="1" spans="1:5">
      <c r="A39" s="67" t="s">
        <v>1490</v>
      </c>
      <c r="B39" s="67" t="s">
        <v>1491</v>
      </c>
      <c r="C39" s="67" t="s">
        <v>1480</v>
      </c>
      <c r="D39" s="73"/>
      <c r="E39" s="67" t="s">
        <v>124</v>
      </c>
    </row>
    <row r="40" s="2" customFormat="1" hidden="1" spans="1:5">
      <c r="A40" s="2" t="s">
        <v>251</v>
      </c>
      <c r="B40" s="2" t="s">
        <v>1492</v>
      </c>
      <c r="C40" s="2" t="s">
        <v>1480</v>
      </c>
      <c r="D40" s="74"/>
      <c r="E40" s="2" t="s">
        <v>124</v>
      </c>
    </row>
    <row r="41" hidden="1" spans="1:5">
      <c r="A41" t="s">
        <v>1481</v>
      </c>
      <c r="B41" t="s">
        <v>1482</v>
      </c>
      <c r="C41" t="s">
        <v>1480</v>
      </c>
      <c r="D41" s="72"/>
      <c r="E41" t="s">
        <v>124</v>
      </c>
    </row>
    <row r="42" spans="1:5">
      <c r="A42" s="8">
        <f>A32+1</f>
        <v>6</v>
      </c>
      <c r="B42" s="71" t="s">
        <v>1563</v>
      </c>
    </row>
    <row r="43" hidden="1" spans="1:5">
      <c r="A43" s="8">
        <f>A42+1</f>
        <v>7</v>
      </c>
      <c r="B43" s="29" t="s">
        <v>212</v>
      </c>
    </row>
    <row r="44" hidden="1" spans="1:5">
      <c r="A44" t="s">
        <v>214</v>
      </c>
      <c r="B44" t="s">
        <v>214</v>
      </c>
      <c r="C44" t="s">
        <v>212</v>
      </c>
      <c r="D44" s="72"/>
      <c r="E44" t="s">
        <v>124</v>
      </c>
    </row>
    <row r="45" hidden="1" spans="1:5">
      <c r="A45" s="8">
        <f>A43+1</f>
        <v>8</v>
      </c>
      <c r="B45" s="7" t="s">
        <v>241</v>
      </c>
    </row>
    <row r="46" hidden="1" spans="1:5">
      <c r="A46" t="s">
        <v>1003</v>
      </c>
      <c r="B46" t="s">
        <v>1004</v>
      </c>
      <c r="C46" t="s">
        <v>241</v>
      </c>
      <c r="D46" s="72">
        <v>90</v>
      </c>
      <c r="E46" t="s">
        <v>124</v>
      </c>
    </row>
    <row r="47" hidden="1" spans="1:5">
      <c r="A47" t="s">
        <v>2230</v>
      </c>
      <c r="B47" t="s">
        <v>2230</v>
      </c>
      <c r="C47" t="s">
        <v>156</v>
      </c>
      <c r="D47" s="72">
        <v>97</v>
      </c>
      <c r="E47" t="s">
        <v>124</v>
      </c>
    </row>
    <row r="48" hidden="1" spans="1:5">
      <c r="A48" t="s">
        <v>2231</v>
      </c>
      <c r="B48" t="s">
        <v>2231</v>
      </c>
      <c r="C48" t="s">
        <v>156</v>
      </c>
      <c r="D48" s="72">
        <v>97</v>
      </c>
      <c r="E48" t="s">
        <v>124</v>
      </c>
    </row>
    <row r="49" hidden="1" spans="1:5">
      <c r="A49" t="s">
        <v>2023</v>
      </c>
      <c r="B49" t="s">
        <v>2024</v>
      </c>
      <c r="C49" t="s">
        <v>1732</v>
      </c>
      <c r="D49" s="72">
        <v>97</v>
      </c>
      <c r="E49" t="s">
        <v>124</v>
      </c>
    </row>
    <row r="50" spans="1:5">
      <c r="A50" s="8">
        <f>A45+1</f>
        <v>9</v>
      </c>
      <c r="B50" s="71" t="s">
        <v>1691</v>
      </c>
    </row>
    <row r="51" spans="1:5">
      <c r="A51" s="8">
        <f>A50+1</f>
        <v>10</v>
      </c>
      <c r="B51" s="75" t="s">
        <v>1313</v>
      </c>
    </row>
    <row r="52" spans="1:5">
      <c r="A52" t="s">
        <v>1314</v>
      </c>
      <c r="B52" t="s">
        <v>1315</v>
      </c>
      <c r="C52" t="s">
        <v>1313</v>
      </c>
      <c r="D52" s="72"/>
      <c r="E52" t="s">
        <v>124</v>
      </c>
    </row>
    <row r="53" spans="1:5">
      <c r="A53" s="8">
        <f>A51+1</f>
        <v>11</v>
      </c>
      <c r="B53" s="75" t="s">
        <v>3168</v>
      </c>
    </row>
    <row r="54" spans="1:5">
      <c r="A54" t="s">
        <v>3169</v>
      </c>
      <c r="B54" t="s">
        <v>3169</v>
      </c>
      <c r="C54" t="s">
        <v>3168</v>
      </c>
      <c r="D54" s="72"/>
      <c r="E54" t="s">
        <v>124</v>
      </c>
    </row>
    <row r="55" spans="1:5">
      <c r="A55" s="8">
        <f>A53+1</f>
        <v>12</v>
      </c>
      <c r="B55" s="7" t="s">
        <v>1369</v>
      </c>
    </row>
    <row r="56" spans="1:5">
      <c r="A56" t="s">
        <v>1370</v>
      </c>
      <c r="B56" t="s">
        <v>1370</v>
      </c>
      <c r="C56" t="s">
        <v>1369</v>
      </c>
      <c r="D56" s="72"/>
      <c r="E56" t="s">
        <v>124</v>
      </c>
    </row>
    <row r="57" spans="1:5">
      <c r="A57" t="s">
        <v>1371</v>
      </c>
      <c r="B57" t="s">
        <v>1371</v>
      </c>
      <c r="C57" t="s">
        <v>1369</v>
      </c>
      <c r="D57" s="72"/>
      <c r="E57" t="s">
        <v>124</v>
      </c>
    </row>
    <row r="58" spans="1:5">
      <c r="A58" s="8">
        <f>A55+1</f>
        <v>13</v>
      </c>
      <c r="B58" s="7" t="s">
        <v>2271</v>
      </c>
    </row>
    <row r="59" spans="1:5">
      <c r="A59" t="s">
        <v>2272</v>
      </c>
      <c r="B59" t="s">
        <v>2273</v>
      </c>
      <c r="C59" t="s">
        <v>2271</v>
      </c>
      <c r="D59" s="72"/>
      <c r="E59" t="s">
        <v>124</v>
      </c>
    </row>
    <row r="60" spans="1:5">
      <c r="A60" t="s">
        <v>2274</v>
      </c>
      <c r="B60" t="s">
        <v>755</v>
      </c>
      <c r="C60" t="s">
        <v>2271</v>
      </c>
      <c r="D60" s="72"/>
      <c r="E60" t="s">
        <v>124</v>
      </c>
    </row>
    <row r="61" spans="1:5">
      <c r="A61" t="s">
        <v>2275</v>
      </c>
      <c r="B61" t="s">
        <v>689</v>
      </c>
      <c r="C61" t="s">
        <v>2271</v>
      </c>
      <c r="D61" s="72"/>
      <c r="E61" t="s">
        <v>329</v>
      </c>
    </row>
    <row r="62" spans="1:5">
      <c r="A62" t="s">
        <v>2276</v>
      </c>
      <c r="B62" t="s">
        <v>2277</v>
      </c>
      <c r="C62" t="s">
        <v>2271</v>
      </c>
      <c r="D62" s="72"/>
      <c r="E62" t="s">
        <v>124</v>
      </c>
    </row>
    <row r="63" spans="1:5">
      <c r="A63" t="s">
        <v>2278</v>
      </c>
      <c r="B63" t="s">
        <v>2279</v>
      </c>
      <c r="C63" t="s">
        <v>2271</v>
      </c>
      <c r="D63" s="72"/>
      <c r="E63" t="s">
        <v>124</v>
      </c>
    </row>
    <row r="64" spans="1:5">
      <c r="A64" t="s">
        <v>2280</v>
      </c>
      <c r="B64" t="s">
        <v>777</v>
      </c>
      <c r="C64" t="s">
        <v>2271</v>
      </c>
      <c r="D64" s="72"/>
      <c r="E64" t="s">
        <v>124</v>
      </c>
    </row>
    <row r="65" spans="1:5">
      <c r="A65" t="s">
        <v>2281</v>
      </c>
      <c r="C65" t="s">
        <v>2281</v>
      </c>
      <c r="D65" s="72"/>
    </row>
    <row r="66" spans="1:5">
      <c r="A66" t="s">
        <v>773</v>
      </c>
      <c r="B66" t="s">
        <v>773</v>
      </c>
      <c r="C66" t="s">
        <v>2281</v>
      </c>
      <c r="D66" s="72"/>
      <c r="E66" t="s">
        <v>124</v>
      </c>
    </row>
    <row r="67" spans="1:5">
      <c r="A67" t="s">
        <v>779</v>
      </c>
      <c r="B67" t="s">
        <v>779</v>
      </c>
      <c r="C67" t="s">
        <v>2281</v>
      </c>
      <c r="D67" s="72"/>
      <c r="E67" t="s">
        <v>124</v>
      </c>
    </row>
    <row r="68" spans="1:5">
      <c r="A68" t="s">
        <v>778</v>
      </c>
      <c r="B68" t="s">
        <v>778</v>
      </c>
      <c r="C68" t="s">
        <v>2281</v>
      </c>
      <c r="D68" s="72"/>
      <c r="E68" t="s">
        <v>124</v>
      </c>
    </row>
    <row r="69" spans="1:5">
      <c r="A69" t="s">
        <v>2282</v>
      </c>
      <c r="B69" t="s">
        <v>2282</v>
      </c>
      <c r="C69" t="s">
        <v>2281</v>
      </c>
      <c r="D69" s="72"/>
      <c r="E69" t="s">
        <v>124</v>
      </c>
    </row>
    <row r="70" spans="1:5">
      <c r="A70" t="s">
        <v>2283</v>
      </c>
      <c r="B70" t="s">
        <v>2283</v>
      </c>
      <c r="C70" t="s">
        <v>2281</v>
      </c>
      <c r="D70" s="72"/>
      <c r="E70" t="s">
        <v>124</v>
      </c>
    </row>
    <row r="71" spans="1:5">
      <c r="A71" t="s">
        <v>2284</v>
      </c>
      <c r="B71" t="s">
        <v>2284</v>
      </c>
      <c r="C71" t="s">
        <v>2281</v>
      </c>
      <c r="D71" s="72"/>
      <c r="E71" t="s">
        <v>124</v>
      </c>
    </row>
    <row r="72" spans="1:5">
      <c r="A72" t="s">
        <v>2285</v>
      </c>
      <c r="B72" t="s">
        <v>2285</v>
      </c>
      <c r="C72" t="s">
        <v>2281</v>
      </c>
      <c r="D72" s="72"/>
      <c r="E72" t="s">
        <v>124</v>
      </c>
    </row>
    <row r="73" spans="1:5">
      <c r="A73" t="s">
        <v>2286</v>
      </c>
      <c r="B73" t="s">
        <v>2286</v>
      </c>
      <c r="C73" t="s">
        <v>2281</v>
      </c>
      <c r="D73" s="72"/>
      <c r="E73" t="s">
        <v>124</v>
      </c>
    </row>
    <row r="74" spans="1:5">
      <c r="A74" t="s">
        <v>2287</v>
      </c>
      <c r="B74" t="s">
        <v>2287</v>
      </c>
      <c r="C74" t="s">
        <v>2281</v>
      </c>
      <c r="D74" s="72"/>
      <c r="E74" t="s">
        <v>124</v>
      </c>
    </row>
    <row r="75" spans="1:5">
      <c r="A75" t="s">
        <v>2288</v>
      </c>
      <c r="B75" t="s">
        <v>2288</v>
      </c>
      <c r="C75" t="s">
        <v>2281</v>
      </c>
      <c r="D75" s="72"/>
      <c r="E75" t="s">
        <v>124</v>
      </c>
    </row>
    <row r="76" spans="1:5">
      <c r="A76" t="s">
        <v>776</v>
      </c>
      <c r="B76" t="s">
        <v>776</v>
      </c>
      <c r="C76" t="s">
        <v>2281</v>
      </c>
      <c r="D76" s="72"/>
      <c r="E76" t="s">
        <v>124</v>
      </c>
    </row>
    <row r="77" spans="1:5">
      <c r="A77" t="s">
        <v>772</v>
      </c>
      <c r="B77" t="s">
        <v>772</v>
      </c>
      <c r="C77" t="s">
        <v>2281</v>
      </c>
      <c r="D77" s="72"/>
      <c r="E77" t="s">
        <v>124</v>
      </c>
    </row>
    <row r="78" spans="1:5">
      <c r="A78" t="s">
        <v>2290</v>
      </c>
      <c r="B78" t="s">
        <v>763</v>
      </c>
      <c r="C78" t="s">
        <v>2281</v>
      </c>
      <c r="D78" s="72"/>
      <c r="E78" t="s">
        <v>677</v>
      </c>
    </row>
    <row r="79" spans="1:5">
      <c r="A79" t="s">
        <v>762</v>
      </c>
      <c r="B79" t="s">
        <v>762</v>
      </c>
      <c r="C79" t="s">
        <v>2281</v>
      </c>
      <c r="D79" s="72"/>
      <c r="E79" t="s">
        <v>702</v>
      </c>
    </row>
    <row r="80" spans="1:5">
      <c r="A80" t="s">
        <v>761</v>
      </c>
      <c r="B80" t="s">
        <v>761</v>
      </c>
      <c r="C80" t="s">
        <v>2281</v>
      </c>
      <c r="D80" s="72"/>
      <c r="E80" t="s">
        <v>124</v>
      </c>
    </row>
    <row r="81" spans="1:5">
      <c r="A81" t="s">
        <v>571</v>
      </c>
      <c r="B81" t="s">
        <v>571</v>
      </c>
      <c r="C81" t="s">
        <v>2281</v>
      </c>
      <c r="D81" s="72"/>
      <c r="E81" t="s">
        <v>124</v>
      </c>
    </row>
    <row r="82" spans="1:5">
      <c r="A82" t="s">
        <v>760</v>
      </c>
      <c r="B82" t="s">
        <v>760</v>
      </c>
      <c r="C82" t="s">
        <v>2281</v>
      </c>
      <c r="D82" s="72"/>
      <c r="E82" t="s">
        <v>124</v>
      </c>
    </row>
    <row r="83" spans="1:5">
      <c r="A83" t="s">
        <v>2291</v>
      </c>
      <c r="B83" t="s">
        <v>770</v>
      </c>
      <c r="C83" t="s">
        <v>2281</v>
      </c>
      <c r="D83" s="72"/>
      <c r="E83" t="s">
        <v>124</v>
      </c>
    </row>
    <row r="84" spans="1:5">
      <c r="A84" t="s">
        <v>771</v>
      </c>
      <c r="B84" t="s">
        <v>771</v>
      </c>
      <c r="C84" t="s">
        <v>2281</v>
      </c>
      <c r="D84" s="72"/>
      <c r="E84" t="s">
        <v>124</v>
      </c>
    </row>
    <row r="85" spans="1:5">
      <c r="A85" t="s">
        <v>2292</v>
      </c>
      <c r="B85" t="s">
        <v>2292</v>
      </c>
      <c r="C85" t="s">
        <v>2281</v>
      </c>
      <c r="D85" s="72"/>
      <c r="E85" t="s">
        <v>124</v>
      </c>
    </row>
    <row r="86" spans="1:5">
      <c r="A86" t="s">
        <v>2135</v>
      </c>
      <c r="B86" t="s">
        <v>769</v>
      </c>
      <c r="C86" t="s">
        <v>1732</v>
      </c>
      <c r="D86"/>
      <c r="E86" t="s">
        <v>547</v>
      </c>
    </row>
    <row r="87" spans="1:5">
      <c r="A87" t="s">
        <v>2088</v>
      </c>
      <c r="B87" t="s">
        <v>2088</v>
      </c>
      <c r="C87" t="s">
        <v>1732</v>
      </c>
      <c r="D87"/>
      <c r="E87" t="s">
        <v>124</v>
      </c>
    </row>
    <row r="88" spans="1:5">
      <c r="A88" t="s">
        <v>614</v>
      </c>
      <c r="B88" t="s">
        <v>614</v>
      </c>
      <c r="C88" t="s">
        <v>1732</v>
      </c>
      <c r="D88"/>
      <c r="E88" t="s">
        <v>124</v>
      </c>
    </row>
    <row r="89" spans="1:5">
      <c r="A89" t="s">
        <v>692</v>
      </c>
      <c r="B89" t="s">
        <v>692</v>
      </c>
      <c r="C89" t="s">
        <v>1732</v>
      </c>
      <c r="D89"/>
      <c r="E89" t="s">
        <v>399</v>
      </c>
    </row>
    <row r="90" spans="1:5">
      <c r="A90" t="s">
        <v>754</v>
      </c>
      <c r="B90" t="s">
        <v>754</v>
      </c>
      <c r="C90" t="s">
        <v>1732</v>
      </c>
      <c r="D90"/>
      <c r="E90" t="s">
        <v>124</v>
      </c>
    </row>
    <row r="91" spans="1:5">
      <c r="A91" t="s">
        <v>753</v>
      </c>
      <c r="B91" t="s">
        <v>753</v>
      </c>
      <c r="C91" t="s">
        <v>1732</v>
      </c>
      <c r="D91"/>
      <c r="E91" t="s">
        <v>124</v>
      </c>
    </row>
    <row r="92" spans="1:5">
      <c r="A92" t="s">
        <v>767</v>
      </c>
      <c r="B92" t="s">
        <v>767</v>
      </c>
      <c r="C92" t="s">
        <v>1732</v>
      </c>
      <c r="D92"/>
      <c r="E92" t="s">
        <v>124</v>
      </c>
    </row>
    <row r="93" spans="1:5">
      <c r="A93" t="s">
        <v>2089</v>
      </c>
      <c r="B93" t="s">
        <v>2089</v>
      </c>
      <c r="C93" t="s">
        <v>1732</v>
      </c>
      <c r="D93"/>
      <c r="E93" t="s">
        <v>124</v>
      </c>
    </row>
    <row r="94" spans="1:5">
      <c r="A94" t="s">
        <v>657</v>
      </c>
      <c r="B94" t="s">
        <v>657</v>
      </c>
      <c r="C94" t="s">
        <v>1732</v>
      </c>
      <c r="D94"/>
      <c r="E94" t="s">
        <v>399</v>
      </c>
    </row>
    <row r="95" spans="1:5">
      <c r="A95" t="s">
        <v>2090</v>
      </c>
      <c r="B95" t="s">
        <v>2090</v>
      </c>
      <c r="C95" t="s">
        <v>1732</v>
      </c>
      <c r="D95"/>
      <c r="E95" t="s">
        <v>124</v>
      </c>
    </row>
    <row r="96" spans="1:5">
      <c r="A96" t="s">
        <v>2091</v>
      </c>
      <c r="B96" t="s">
        <v>2091</v>
      </c>
      <c r="C96" t="s">
        <v>1732</v>
      </c>
      <c r="D96"/>
      <c r="E96" t="s">
        <v>124</v>
      </c>
    </row>
    <row r="97" spans="1:5">
      <c r="A97" t="s">
        <v>768</v>
      </c>
      <c r="B97" t="s">
        <v>768</v>
      </c>
      <c r="C97" t="s">
        <v>1732</v>
      </c>
      <c r="D97"/>
      <c r="E97" t="s">
        <v>124</v>
      </c>
    </row>
    <row r="98" spans="1:5">
      <c r="A98" t="s">
        <v>2092</v>
      </c>
      <c r="B98" t="s">
        <v>2092</v>
      </c>
      <c r="C98" t="s">
        <v>1732</v>
      </c>
      <c r="D98"/>
      <c r="E98" t="s">
        <v>124</v>
      </c>
    </row>
    <row r="99" spans="1:5">
      <c r="A99" t="s">
        <v>2172</v>
      </c>
      <c r="B99" t="s">
        <v>2172</v>
      </c>
      <c r="C99" t="s">
        <v>1732</v>
      </c>
      <c r="D99"/>
      <c r="E99" t="s">
        <v>124</v>
      </c>
    </row>
    <row r="100" spans="1:5">
      <c r="A100" t="s">
        <v>752</v>
      </c>
      <c r="B100" t="s">
        <v>752</v>
      </c>
      <c r="C100" t="s">
        <v>1732</v>
      </c>
      <c r="D100"/>
      <c r="E100" t="s">
        <v>124</v>
      </c>
    </row>
    <row r="101" spans="1:5">
      <c r="A101" t="s">
        <v>694</v>
      </c>
      <c r="B101" t="s">
        <v>694</v>
      </c>
      <c r="C101" t="s">
        <v>1732</v>
      </c>
      <c r="D101"/>
      <c r="E101" t="s">
        <v>124</v>
      </c>
    </row>
    <row r="102" spans="1:5">
      <c r="A102" t="s">
        <v>2189</v>
      </c>
      <c r="B102" t="s">
        <v>2189</v>
      </c>
      <c r="C102" t="s">
        <v>1732</v>
      </c>
      <c r="D102"/>
      <c r="E102" t="s">
        <v>124</v>
      </c>
    </row>
    <row r="103" spans="1:5">
      <c r="A103" t="s">
        <v>1206</v>
      </c>
      <c r="B103" t="s">
        <v>757</v>
      </c>
      <c r="C103" t="s">
        <v>265</v>
      </c>
      <c r="D103"/>
      <c r="E103" t="s">
        <v>524</v>
      </c>
    </row>
    <row r="104" spans="1:5">
      <c r="A104" t="s">
        <v>765</v>
      </c>
      <c r="B104" t="s">
        <v>765</v>
      </c>
      <c r="C104" t="s">
        <v>265</v>
      </c>
      <c r="D104"/>
      <c r="E104" t="s">
        <v>124</v>
      </c>
    </row>
    <row r="105" spans="1:5">
      <c r="A105" t="s">
        <v>2275</v>
      </c>
      <c r="B105" t="s">
        <v>1948</v>
      </c>
      <c r="C105" t="s">
        <v>1732</v>
      </c>
      <c r="D105"/>
      <c r="E105" t="s">
        <v>329</v>
      </c>
    </row>
    <row r="106" spans="1:5">
      <c r="A106" t="s">
        <v>1880</v>
      </c>
      <c r="B106" t="s">
        <v>766</v>
      </c>
      <c r="C106" t="s">
        <v>1732</v>
      </c>
      <c r="D106"/>
      <c r="E106" t="s">
        <v>124</v>
      </c>
    </row>
    <row r="107" spans="1:5">
      <c r="A107" s="8">
        <f>A58+1</f>
        <v>14</v>
      </c>
      <c r="B107" s="75" t="s">
        <v>1005</v>
      </c>
    </row>
    <row r="108" hidden="1" spans="1:5">
      <c r="A108" s="8">
        <f>A107+1</f>
        <v>15</v>
      </c>
      <c r="B108" s="7" t="s">
        <v>195</v>
      </c>
    </row>
    <row r="109" hidden="1" spans="1:5">
      <c r="A109" t="s">
        <v>1686</v>
      </c>
      <c r="B109" t="s">
        <v>1687</v>
      </c>
      <c r="C109" t="s">
        <v>1685</v>
      </c>
      <c r="D109" s="72">
        <v>25.125</v>
      </c>
      <c r="E109" t="s">
        <v>124</v>
      </c>
    </row>
    <row r="110" hidden="1" spans="1:5">
      <c r="A110" t="s">
        <v>1688</v>
      </c>
      <c r="B110" t="s">
        <v>1688</v>
      </c>
      <c r="C110" t="s">
        <v>1685</v>
      </c>
      <c r="D110" s="72">
        <v>16.5</v>
      </c>
      <c r="E110" t="s">
        <v>124</v>
      </c>
    </row>
    <row r="111" hidden="1" spans="1:5">
      <c r="A111" t="s">
        <v>1689</v>
      </c>
      <c r="B111" t="s">
        <v>1690</v>
      </c>
      <c r="C111" t="s">
        <v>1685</v>
      </c>
      <c r="D111" s="72">
        <v>33.38</v>
      </c>
      <c r="E111" t="s">
        <v>124</v>
      </c>
    </row>
    <row r="112" hidden="1" spans="1:5">
      <c r="A112" t="s">
        <v>1564</v>
      </c>
      <c r="B112" t="s">
        <v>1565</v>
      </c>
      <c r="C112" t="s">
        <v>1563</v>
      </c>
      <c r="D112" s="72">
        <v>24</v>
      </c>
      <c r="E112" t="s">
        <v>124</v>
      </c>
    </row>
    <row r="113" hidden="1" spans="1:5">
      <c r="A113" s="8">
        <f>A108+1</f>
        <v>16</v>
      </c>
      <c r="B113" s="7" t="s">
        <v>3289</v>
      </c>
    </row>
    <row r="114" hidden="1" spans="1:5">
      <c r="A114" t="s">
        <v>306</v>
      </c>
      <c r="B114" t="s">
        <v>1623</v>
      </c>
      <c r="C114" t="s">
        <v>1621</v>
      </c>
      <c r="D114" s="72">
        <v>9.75</v>
      </c>
      <c r="E114" t="s">
        <v>124</v>
      </c>
    </row>
    <row r="115" hidden="1" spans="1:5">
      <c r="A115" t="s">
        <v>308</v>
      </c>
      <c r="B115" t="s">
        <v>1696</v>
      </c>
      <c r="C115" t="s">
        <v>1694</v>
      </c>
      <c r="D115" s="72">
        <v>16.25</v>
      </c>
      <c r="E115" t="s">
        <v>310</v>
      </c>
    </row>
    <row r="116" hidden="1" spans="1:5">
      <c r="A116" t="s">
        <v>311</v>
      </c>
      <c r="B116" t="s">
        <v>1698</v>
      </c>
      <c r="C116" t="s">
        <v>1694</v>
      </c>
      <c r="D116" s="72">
        <v>32</v>
      </c>
      <c r="E116" t="s">
        <v>310</v>
      </c>
    </row>
    <row r="117" hidden="1" spans="1:5">
      <c r="A117" t="s">
        <v>313</v>
      </c>
      <c r="B117" t="s">
        <v>1700</v>
      </c>
      <c r="C117" t="s">
        <v>1694</v>
      </c>
      <c r="D117" s="72">
        <v>13</v>
      </c>
      <c r="E117" t="s">
        <v>310</v>
      </c>
    </row>
    <row r="118" hidden="1" spans="1:5">
      <c r="A118" t="s">
        <v>315</v>
      </c>
      <c r="B118" t="s">
        <v>315</v>
      </c>
      <c r="C118" t="s">
        <v>1732</v>
      </c>
      <c r="D118">
        <v>55</v>
      </c>
      <c r="E118" t="s">
        <v>316</v>
      </c>
    </row>
    <row r="119" hidden="1" spans="1:5">
      <c r="A119" t="s">
        <v>3290</v>
      </c>
      <c r="B119" t="s">
        <v>1938</v>
      </c>
      <c r="C119" t="s">
        <v>1732</v>
      </c>
      <c r="D119">
        <v>1.45</v>
      </c>
      <c r="E119" t="s">
        <v>124</v>
      </c>
    </row>
    <row r="120" hidden="1" spans="1:5">
      <c r="A120" t="s">
        <v>318</v>
      </c>
      <c r="B120" t="s">
        <v>2034</v>
      </c>
      <c r="C120" t="s">
        <v>295</v>
      </c>
      <c r="D120">
        <v>14.5</v>
      </c>
      <c r="E120" t="s">
        <v>310</v>
      </c>
    </row>
    <row r="121" hidden="1" spans="1:5">
      <c r="A121" t="s">
        <v>319</v>
      </c>
      <c r="D121">
        <v>14.5</v>
      </c>
      <c r="E121" t="s">
        <v>310</v>
      </c>
    </row>
    <row r="122" hidden="1" spans="1:5">
      <c r="A122" t="s">
        <v>320</v>
      </c>
      <c r="D122">
        <v>32.5</v>
      </c>
      <c r="E122" t="s">
        <v>310</v>
      </c>
    </row>
    <row r="123" hidden="1" spans="1:5">
      <c r="A123" t="s">
        <v>321</v>
      </c>
      <c r="D123">
        <v>800</v>
      </c>
      <c r="E123" t="s">
        <v>250</v>
      </c>
    </row>
    <row r="124" hidden="1" spans="1:5">
      <c r="A124" t="s">
        <v>3291</v>
      </c>
      <c r="C124" t="s">
        <v>307</v>
      </c>
      <c r="D124">
        <v>7.5</v>
      </c>
      <c r="E124" t="s">
        <v>250</v>
      </c>
    </row>
    <row r="125" hidden="1" spans="1:5">
      <c r="A125"/>
      <c r="D125"/>
    </row>
    <row r="126" spans="1:5">
      <c r="A126" s="8">
        <f>A113+1</f>
        <v>17</v>
      </c>
      <c r="B126" s="29" t="s">
        <v>1493</v>
      </c>
    </row>
    <row r="127" hidden="1" spans="1:5">
      <c r="A127" s="8">
        <f>A126+1</f>
        <v>18</v>
      </c>
      <c r="B127" s="7" t="s">
        <v>217</v>
      </c>
    </row>
    <row r="128" hidden="1" spans="1:5">
      <c r="A128" t="s">
        <v>1702</v>
      </c>
      <c r="B128" t="s">
        <v>1703</v>
      </c>
      <c r="C128" t="s">
        <v>1701</v>
      </c>
      <c r="D128" s="72">
        <v>1000</v>
      </c>
      <c r="E128" t="s">
        <v>124</v>
      </c>
    </row>
    <row r="129" s="67" customFormat="1" hidden="1" spans="1:5">
      <c r="A129" s="67" t="s">
        <v>1704</v>
      </c>
      <c r="B129" s="67" t="s">
        <v>1704</v>
      </c>
      <c r="C129" s="67" t="s">
        <v>1701</v>
      </c>
      <c r="D129" s="73"/>
      <c r="E129" s="67" t="s">
        <v>124</v>
      </c>
    </row>
    <row r="130" hidden="1" spans="1:5">
      <c r="A130" t="s">
        <v>1705</v>
      </c>
      <c r="B130" t="s">
        <v>1706</v>
      </c>
      <c r="C130" t="s">
        <v>1701</v>
      </c>
      <c r="D130" s="72">
        <v>980</v>
      </c>
      <c r="E130" t="s">
        <v>124</v>
      </c>
    </row>
    <row r="131" hidden="1" spans="1:5">
      <c r="A131" t="s">
        <v>1707</v>
      </c>
      <c r="B131" t="s">
        <v>1707</v>
      </c>
      <c r="C131" t="s">
        <v>1701</v>
      </c>
      <c r="D131" s="72">
        <v>980</v>
      </c>
      <c r="E131" t="s">
        <v>124</v>
      </c>
    </row>
    <row r="132" hidden="1" spans="1:5">
      <c r="A132" t="s">
        <v>1708</v>
      </c>
      <c r="B132" t="s">
        <v>1709</v>
      </c>
      <c r="C132" t="s">
        <v>1701</v>
      </c>
      <c r="D132" s="72">
        <v>1300</v>
      </c>
      <c r="E132" t="s">
        <v>124</v>
      </c>
    </row>
    <row r="133" s="67" customFormat="1" hidden="1" spans="1:5">
      <c r="A133" s="67" t="s">
        <v>1710</v>
      </c>
      <c r="B133" s="67" t="s">
        <v>1710</v>
      </c>
      <c r="C133" s="67" t="s">
        <v>1701</v>
      </c>
      <c r="D133" s="73"/>
      <c r="E133" s="67" t="s">
        <v>124</v>
      </c>
    </row>
    <row r="134" hidden="1" spans="1:5">
      <c r="A134" t="s">
        <v>1711</v>
      </c>
      <c r="B134" t="s">
        <v>1711</v>
      </c>
      <c r="C134" t="s">
        <v>1701</v>
      </c>
      <c r="D134" s="72"/>
      <c r="E134" t="s">
        <v>124</v>
      </c>
    </row>
    <row r="135" hidden="1" spans="1:5">
      <c r="A135" t="s">
        <v>1712</v>
      </c>
      <c r="B135" t="s">
        <v>1712</v>
      </c>
      <c r="C135" t="s">
        <v>1701</v>
      </c>
      <c r="D135" s="72">
        <v>1000</v>
      </c>
      <c r="E135" t="s">
        <v>124</v>
      </c>
    </row>
    <row r="136" hidden="1" spans="1:5">
      <c r="A136" t="s">
        <v>1713</v>
      </c>
      <c r="B136" t="s">
        <v>1713</v>
      </c>
      <c r="C136" t="s">
        <v>1701</v>
      </c>
      <c r="D136" s="72">
        <v>1000</v>
      </c>
      <c r="E136" t="s">
        <v>124</v>
      </c>
    </row>
    <row r="137" hidden="1" spans="1:5">
      <c r="A137" t="s">
        <v>225</v>
      </c>
      <c r="B137" t="s">
        <v>225</v>
      </c>
      <c r="C137" t="s">
        <v>1701</v>
      </c>
      <c r="D137" s="72">
        <v>130</v>
      </c>
      <c r="E137" t="s">
        <v>124</v>
      </c>
    </row>
    <row r="138" hidden="1" spans="1:5">
      <c r="A138" t="s">
        <v>1715</v>
      </c>
      <c r="B138" t="s">
        <v>1715</v>
      </c>
      <c r="C138" t="s">
        <v>1701</v>
      </c>
      <c r="D138" s="72">
        <v>1000</v>
      </c>
      <c r="E138" t="s">
        <v>124</v>
      </c>
    </row>
    <row r="139" s="67" customFormat="1" hidden="1" spans="1:5">
      <c r="A139" s="67" t="s">
        <v>1716</v>
      </c>
      <c r="B139" s="67" t="s">
        <v>1716</v>
      </c>
      <c r="C139" s="67" t="s">
        <v>1701</v>
      </c>
      <c r="D139" s="73"/>
      <c r="E139" s="67" t="s">
        <v>124</v>
      </c>
    </row>
    <row r="140" s="67" customFormat="1" hidden="1" spans="1:5">
      <c r="A140" s="67" t="s">
        <v>1717</v>
      </c>
      <c r="B140" s="67" t="s">
        <v>1717</v>
      </c>
      <c r="C140" s="67" t="s">
        <v>1701</v>
      </c>
      <c r="D140" s="73"/>
      <c r="E140" s="67" t="s">
        <v>124</v>
      </c>
    </row>
    <row r="141" hidden="1" spans="1:5">
      <c r="A141" t="s">
        <v>1718</v>
      </c>
      <c r="B141" t="s">
        <v>1718</v>
      </c>
      <c r="C141" t="s">
        <v>1701</v>
      </c>
      <c r="D141" s="72">
        <v>890</v>
      </c>
      <c r="E141" t="s">
        <v>124</v>
      </c>
    </row>
    <row r="142" hidden="1" spans="1:5">
      <c r="A142" t="s">
        <v>1719</v>
      </c>
      <c r="B142" t="s">
        <v>1719</v>
      </c>
      <c r="C142" t="s">
        <v>1701</v>
      </c>
      <c r="D142" s="72">
        <v>680</v>
      </c>
      <c r="E142" t="s">
        <v>124</v>
      </c>
    </row>
    <row r="143" hidden="1" spans="1:5">
      <c r="A143" t="s">
        <v>1720</v>
      </c>
      <c r="B143" t="s">
        <v>1720</v>
      </c>
      <c r="C143" t="s">
        <v>1701</v>
      </c>
      <c r="D143" s="72">
        <v>950</v>
      </c>
      <c r="E143" t="s">
        <v>124</v>
      </c>
    </row>
    <row r="144" hidden="1" spans="1:5">
      <c r="A144" t="s">
        <v>1721</v>
      </c>
      <c r="B144" t="s">
        <v>1722</v>
      </c>
      <c r="C144" t="s">
        <v>1701</v>
      </c>
      <c r="D144" s="72">
        <v>144</v>
      </c>
      <c r="E144" t="s">
        <v>124</v>
      </c>
    </row>
    <row r="145" hidden="1" spans="1:5">
      <c r="A145" t="s">
        <v>1723</v>
      </c>
      <c r="B145" t="s">
        <v>1724</v>
      </c>
      <c r="C145" t="s">
        <v>1701</v>
      </c>
      <c r="D145" s="72">
        <v>1100</v>
      </c>
      <c r="E145" t="s">
        <v>124</v>
      </c>
    </row>
    <row r="146" hidden="1" spans="1:5">
      <c r="A146" t="s">
        <v>1031</v>
      </c>
      <c r="B146" t="s">
        <v>1031</v>
      </c>
      <c r="C146" t="s">
        <v>217</v>
      </c>
      <c r="D146" s="72">
        <v>420</v>
      </c>
      <c r="E146" t="s">
        <v>124</v>
      </c>
    </row>
    <row r="147" hidden="1" spans="1:5">
      <c r="A147" t="s">
        <v>1033</v>
      </c>
      <c r="B147" t="s">
        <v>1033</v>
      </c>
      <c r="C147" t="s">
        <v>217</v>
      </c>
      <c r="D147" s="72">
        <v>365</v>
      </c>
      <c r="E147" t="s">
        <v>124</v>
      </c>
    </row>
    <row r="148" hidden="1" spans="1:5">
      <c r="A148" t="s">
        <v>2226</v>
      </c>
      <c r="B148" t="s">
        <v>2226</v>
      </c>
      <c r="C148" t="s">
        <v>156</v>
      </c>
      <c r="D148" s="72">
        <v>390</v>
      </c>
      <c r="E148" t="s">
        <v>124</v>
      </c>
    </row>
    <row r="149" hidden="1" spans="1:5">
      <c r="A149" t="s">
        <v>1797</v>
      </c>
      <c r="B149" t="s">
        <v>1797</v>
      </c>
      <c r="C149" t="s">
        <v>1732</v>
      </c>
      <c r="D149" s="72">
        <v>1000</v>
      </c>
      <c r="E149" t="s">
        <v>124</v>
      </c>
    </row>
    <row r="150" s="67" customFormat="1" hidden="1" spans="1:5">
      <c r="A150" s="67" t="s">
        <v>1813</v>
      </c>
      <c r="B150" s="67" t="s">
        <v>1813</v>
      </c>
      <c r="C150" s="67" t="s">
        <v>1732</v>
      </c>
      <c r="D150" s="73"/>
      <c r="E150" t="s">
        <v>124</v>
      </c>
    </row>
    <row r="151" hidden="1" spans="1:5">
      <c r="A151" t="s">
        <v>1883</v>
      </c>
      <c r="B151" t="s">
        <v>1883</v>
      </c>
      <c r="C151" t="s">
        <v>1732</v>
      </c>
      <c r="D151" s="72">
        <v>420</v>
      </c>
      <c r="E151" t="s">
        <v>124</v>
      </c>
    </row>
    <row r="152" hidden="1" spans="1:5">
      <c r="A152" t="s">
        <v>2019</v>
      </c>
      <c r="B152" t="s">
        <v>2019</v>
      </c>
      <c r="C152" t="s">
        <v>1732</v>
      </c>
      <c r="D152" s="72">
        <v>560</v>
      </c>
      <c r="E152" t="s">
        <v>124</v>
      </c>
    </row>
    <row r="153" hidden="1" spans="1:5">
      <c r="A153" t="s">
        <v>2020</v>
      </c>
      <c r="B153" t="s">
        <v>2020</v>
      </c>
      <c r="C153" t="s">
        <v>1732</v>
      </c>
      <c r="D153" s="72">
        <v>600</v>
      </c>
      <c r="E153" t="s">
        <v>124</v>
      </c>
    </row>
    <row r="154" hidden="1" spans="1:5">
      <c r="A154" t="s">
        <v>2182</v>
      </c>
      <c r="B154" t="s">
        <v>2182</v>
      </c>
      <c r="C154" t="s">
        <v>1732</v>
      </c>
      <c r="D154" s="72">
        <v>480</v>
      </c>
      <c r="E154" t="s">
        <v>124</v>
      </c>
    </row>
    <row r="155" hidden="1" spans="1:5">
      <c r="A155" s="8">
        <f>A127+1</f>
        <v>19</v>
      </c>
      <c r="B155" s="7" t="s">
        <v>284</v>
      </c>
    </row>
    <row r="156" hidden="1" spans="1:5">
      <c r="A156" t="s">
        <v>285</v>
      </c>
      <c r="B156" t="s">
        <v>285</v>
      </c>
      <c r="C156" t="s">
        <v>1551</v>
      </c>
      <c r="D156" s="72"/>
      <c r="E156" t="s">
        <v>124</v>
      </c>
    </row>
    <row r="157" hidden="1" spans="1:5">
      <c r="A157" t="s">
        <v>289</v>
      </c>
      <c r="B157" t="s">
        <v>289</v>
      </c>
      <c r="C157" t="s">
        <v>1551</v>
      </c>
      <c r="D157" s="72"/>
      <c r="E157" t="s">
        <v>377</v>
      </c>
    </row>
    <row r="158" hidden="1" spans="1:5">
      <c r="A158" t="s">
        <v>1994</v>
      </c>
      <c r="B158" t="s">
        <v>1994</v>
      </c>
      <c r="C158" t="s">
        <v>1732</v>
      </c>
      <c r="D158"/>
      <c r="E158" t="s">
        <v>292</v>
      </c>
    </row>
    <row r="159" hidden="1" spans="1:5">
      <c r="A159" t="s">
        <v>1995</v>
      </c>
      <c r="B159" t="s">
        <v>1995</v>
      </c>
      <c r="C159" t="s">
        <v>1732</v>
      </c>
      <c r="D159"/>
      <c r="E159" t="s">
        <v>292</v>
      </c>
    </row>
    <row r="160" hidden="1" spans="1:5">
      <c r="A160" t="s">
        <v>2191</v>
      </c>
      <c r="B160" t="s">
        <v>2191</v>
      </c>
      <c r="C160" t="s">
        <v>1732</v>
      </c>
      <c r="D160"/>
      <c r="E160" t="s">
        <v>124</v>
      </c>
    </row>
    <row r="161" hidden="1" spans="1:5">
      <c r="A161" t="s">
        <v>2192</v>
      </c>
      <c r="B161" t="s">
        <v>2192</v>
      </c>
      <c r="C161" t="s">
        <v>1732</v>
      </c>
      <c r="D161"/>
      <c r="E161" t="s">
        <v>124</v>
      </c>
    </row>
    <row r="162" hidden="1" spans="1:5">
      <c r="A162" t="s">
        <v>297</v>
      </c>
      <c r="B162" t="s">
        <v>297</v>
      </c>
      <c r="C162" t="s">
        <v>596</v>
      </c>
      <c r="D162"/>
      <c r="E162" t="s">
        <v>124</v>
      </c>
    </row>
    <row r="163" spans="1:5">
      <c r="A163" s="8">
        <f>A155+1</f>
        <v>20</v>
      </c>
      <c r="B163" s="7" t="s">
        <v>596</v>
      </c>
      <c r="C163" t="s">
        <v>3273</v>
      </c>
    </row>
    <row r="164" spans="1:5">
      <c r="A164" t="s">
        <v>625</v>
      </c>
      <c r="B164" t="s">
        <v>625</v>
      </c>
      <c r="C164" t="s">
        <v>1732</v>
      </c>
      <c r="D164"/>
      <c r="E164" t="s">
        <v>124</v>
      </c>
    </row>
    <row r="165" spans="1:5">
      <c r="A165" t="s">
        <v>2102</v>
      </c>
      <c r="B165" t="s">
        <v>2102</v>
      </c>
      <c r="C165" t="s">
        <v>1732</v>
      </c>
      <c r="D165"/>
      <c r="E165" t="s">
        <v>124</v>
      </c>
    </row>
    <row r="166" spans="1:5">
      <c r="A166" t="s">
        <v>626</v>
      </c>
      <c r="B166" t="s">
        <v>626</v>
      </c>
      <c r="C166" t="s">
        <v>1732</v>
      </c>
      <c r="D166"/>
      <c r="E166" t="s">
        <v>124</v>
      </c>
    </row>
    <row r="167" spans="1:5">
      <c r="A167" t="s">
        <v>683</v>
      </c>
      <c r="B167" t="s">
        <v>683</v>
      </c>
      <c r="C167" t="s">
        <v>1732</v>
      </c>
      <c r="D167"/>
      <c r="E167" t="s">
        <v>124</v>
      </c>
    </row>
    <row r="168" spans="1:5">
      <c r="A168" t="s">
        <v>2103</v>
      </c>
      <c r="B168" t="s">
        <v>2103</v>
      </c>
      <c r="C168" t="s">
        <v>1732</v>
      </c>
      <c r="D168"/>
      <c r="E168" t="s">
        <v>124</v>
      </c>
    </row>
    <row r="169" spans="1:5">
      <c r="A169" t="s">
        <v>2094</v>
      </c>
      <c r="B169" t="s">
        <v>2094</v>
      </c>
      <c r="C169" t="s">
        <v>1732</v>
      </c>
      <c r="D169"/>
      <c r="E169" t="s">
        <v>124</v>
      </c>
    </row>
    <row r="170" spans="1:5">
      <c r="A170" t="s">
        <v>2095</v>
      </c>
      <c r="B170" t="s">
        <v>2095</v>
      </c>
      <c r="C170" t="s">
        <v>1732</v>
      </c>
      <c r="D170"/>
      <c r="E170" t="s">
        <v>124</v>
      </c>
    </row>
    <row r="171" spans="1:5">
      <c r="A171" t="s">
        <v>2096</v>
      </c>
      <c r="B171" t="s">
        <v>2096</v>
      </c>
      <c r="C171" t="s">
        <v>1732</v>
      </c>
      <c r="D171"/>
      <c r="E171" t="s">
        <v>124</v>
      </c>
    </row>
    <row r="172" spans="1:5">
      <c r="A172" t="s">
        <v>2097</v>
      </c>
      <c r="B172" t="s">
        <v>2097</v>
      </c>
      <c r="C172" t="s">
        <v>1732</v>
      </c>
      <c r="D172"/>
      <c r="E172" t="s">
        <v>124</v>
      </c>
    </row>
    <row r="173" spans="1:5">
      <c r="A173" t="s">
        <v>2075</v>
      </c>
      <c r="B173" t="s">
        <v>2075</v>
      </c>
      <c r="C173" t="s">
        <v>1732</v>
      </c>
      <c r="D173"/>
      <c r="E173" t="s">
        <v>124</v>
      </c>
    </row>
    <row r="174" spans="1:5">
      <c r="A174" t="s">
        <v>2076</v>
      </c>
      <c r="B174" t="s">
        <v>2076</v>
      </c>
      <c r="C174" t="s">
        <v>1732</v>
      </c>
      <c r="D174"/>
      <c r="E174" t="s">
        <v>124</v>
      </c>
    </row>
    <row r="175" spans="1:5">
      <c r="A175" t="s">
        <v>2099</v>
      </c>
      <c r="B175" t="s">
        <v>2099</v>
      </c>
      <c r="C175" t="s">
        <v>1732</v>
      </c>
      <c r="D175"/>
      <c r="E175" t="s">
        <v>124</v>
      </c>
    </row>
    <row r="176" spans="1:5">
      <c r="A176" t="s">
        <v>2100</v>
      </c>
      <c r="B176" t="s">
        <v>2100</v>
      </c>
      <c r="C176" t="s">
        <v>1732</v>
      </c>
      <c r="D176"/>
      <c r="E176" t="s">
        <v>124</v>
      </c>
    </row>
    <row r="177" spans="1:5">
      <c r="A177" t="s">
        <v>2136</v>
      </c>
      <c r="B177" t="s">
        <v>2136</v>
      </c>
      <c r="C177" t="s">
        <v>1732</v>
      </c>
      <c r="D177"/>
      <c r="E177" t="s">
        <v>124</v>
      </c>
    </row>
    <row r="178" spans="1:5">
      <c r="A178" t="s">
        <v>730</v>
      </c>
      <c r="B178" t="s">
        <v>730</v>
      </c>
      <c r="C178" t="s">
        <v>1732</v>
      </c>
      <c r="D178"/>
      <c r="E178" t="s">
        <v>124</v>
      </c>
    </row>
    <row r="179" spans="1:5">
      <c r="A179" t="s">
        <v>731</v>
      </c>
      <c r="B179" t="s">
        <v>731</v>
      </c>
      <c r="C179" t="s">
        <v>1732</v>
      </c>
      <c r="D179"/>
      <c r="E179" t="s">
        <v>124</v>
      </c>
    </row>
    <row r="180" spans="1:5">
      <c r="A180" t="s">
        <v>2137</v>
      </c>
      <c r="B180" t="s">
        <v>2137</v>
      </c>
      <c r="C180" t="s">
        <v>1732</v>
      </c>
      <c r="D180"/>
      <c r="E180" t="s">
        <v>124</v>
      </c>
    </row>
    <row r="181" spans="1:5">
      <c r="A181" t="s">
        <v>624</v>
      </c>
      <c r="B181" t="s">
        <v>624</v>
      </c>
      <c r="C181" t="s">
        <v>1732</v>
      </c>
      <c r="D181"/>
      <c r="E181" t="s">
        <v>124</v>
      </c>
    </row>
    <row r="182" spans="1:5">
      <c r="A182" t="s">
        <v>2157</v>
      </c>
      <c r="B182" t="s">
        <v>2157</v>
      </c>
      <c r="C182" t="s">
        <v>1732</v>
      </c>
      <c r="D182"/>
      <c r="E182" t="s">
        <v>124</v>
      </c>
    </row>
    <row r="183" spans="1:5">
      <c r="A183" t="s">
        <v>2195</v>
      </c>
      <c r="B183" t="s">
        <v>2195</v>
      </c>
      <c r="C183" t="s">
        <v>1732</v>
      </c>
      <c r="D183"/>
      <c r="E183" t="s">
        <v>124</v>
      </c>
    </row>
    <row r="184" spans="1:5">
      <c r="A184" t="s">
        <v>2119</v>
      </c>
      <c r="B184" t="s">
        <v>2119</v>
      </c>
      <c r="C184" t="s">
        <v>1732</v>
      </c>
      <c r="D184"/>
      <c r="E184" t="s">
        <v>124</v>
      </c>
    </row>
    <row r="185" spans="1:5">
      <c r="A185" t="s">
        <v>2120</v>
      </c>
      <c r="B185" t="s">
        <v>2120</v>
      </c>
      <c r="C185" t="s">
        <v>1732</v>
      </c>
      <c r="D185"/>
      <c r="E185" t="s">
        <v>124</v>
      </c>
    </row>
    <row r="186" spans="1:5">
      <c r="A186" t="s">
        <v>652</v>
      </c>
      <c r="B186" t="s">
        <v>652</v>
      </c>
      <c r="C186" t="s">
        <v>1732</v>
      </c>
      <c r="D186"/>
      <c r="E186" t="s">
        <v>124</v>
      </c>
    </row>
    <row r="187" spans="1:5">
      <c r="A187" t="s">
        <v>646</v>
      </c>
      <c r="B187" t="s">
        <v>646</v>
      </c>
      <c r="C187" t="s">
        <v>1732</v>
      </c>
      <c r="D187"/>
      <c r="E187" t="s">
        <v>124</v>
      </c>
    </row>
    <row r="188" spans="1:5">
      <c r="A188" t="s">
        <v>1083</v>
      </c>
      <c r="B188" t="s">
        <v>1083</v>
      </c>
      <c r="C188" t="s">
        <v>348</v>
      </c>
      <c r="D188"/>
      <c r="E188" t="s">
        <v>124</v>
      </c>
    </row>
    <row r="189" spans="1:5">
      <c r="A189" t="s">
        <v>1158</v>
      </c>
      <c r="B189" t="s">
        <v>1159</v>
      </c>
      <c r="C189" t="s">
        <v>265</v>
      </c>
      <c r="D189"/>
      <c r="E189" t="s">
        <v>124</v>
      </c>
    </row>
    <row r="190" spans="1:5">
      <c r="A190" t="s">
        <v>1160</v>
      </c>
      <c r="B190" t="s">
        <v>1161</v>
      </c>
      <c r="C190" t="s">
        <v>265</v>
      </c>
      <c r="D190"/>
      <c r="E190" t="s">
        <v>124</v>
      </c>
    </row>
    <row r="191" spans="1:5">
      <c r="A191" t="s">
        <v>1162</v>
      </c>
      <c r="B191" t="s">
        <v>1162</v>
      </c>
      <c r="C191" t="s">
        <v>265</v>
      </c>
      <c r="D191"/>
      <c r="E191" t="s">
        <v>124</v>
      </c>
    </row>
    <row r="192" spans="1:5">
      <c r="A192" t="s">
        <v>1163</v>
      </c>
      <c r="B192" t="s">
        <v>1163</v>
      </c>
      <c r="C192" t="s">
        <v>265</v>
      </c>
      <c r="D192"/>
      <c r="E192" t="s">
        <v>124</v>
      </c>
    </row>
    <row r="193" spans="1:5">
      <c r="A193" t="s">
        <v>1164</v>
      </c>
      <c r="B193" t="s">
        <v>1164</v>
      </c>
      <c r="C193" t="s">
        <v>265</v>
      </c>
      <c r="D193"/>
      <c r="E193" t="s">
        <v>124</v>
      </c>
    </row>
    <row r="194" spans="1:5">
      <c r="A194" t="s">
        <v>1182</v>
      </c>
      <c r="B194" t="s">
        <v>1182</v>
      </c>
      <c r="C194" t="s">
        <v>265</v>
      </c>
      <c r="D194"/>
      <c r="E194" t="s">
        <v>124</v>
      </c>
    </row>
    <row r="195" spans="1:5">
      <c r="A195" t="s">
        <v>1183</v>
      </c>
      <c r="B195" t="s">
        <v>1183</v>
      </c>
      <c r="C195" t="s">
        <v>265</v>
      </c>
      <c r="D195"/>
      <c r="E195" t="s">
        <v>124</v>
      </c>
    </row>
    <row r="196" spans="1:5">
      <c r="A196" t="s">
        <v>1800</v>
      </c>
      <c r="B196" t="s">
        <v>1800</v>
      </c>
      <c r="C196" t="s">
        <v>1732</v>
      </c>
      <c r="D196"/>
      <c r="E196" t="s">
        <v>124</v>
      </c>
    </row>
    <row r="197" spans="1:5">
      <c r="A197" t="s">
        <v>1801</v>
      </c>
      <c r="B197" t="s">
        <v>1801</v>
      </c>
      <c r="C197" t="s">
        <v>1732</v>
      </c>
      <c r="D197"/>
      <c r="E197" t="s">
        <v>124</v>
      </c>
    </row>
    <row r="198" spans="1:5">
      <c r="A198" t="s">
        <v>1802</v>
      </c>
      <c r="B198" t="s">
        <v>1802</v>
      </c>
      <c r="C198" t="s">
        <v>1732</v>
      </c>
      <c r="D198"/>
      <c r="E198" t="s">
        <v>124</v>
      </c>
    </row>
    <row r="199" spans="1:5">
      <c r="A199" t="s">
        <v>1803</v>
      </c>
      <c r="B199" t="s">
        <v>1803</v>
      </c>
      <c r="C199" t="s">
        <v>1732</v>
      </c>
      <c r="D199"/>
      <c r="E199" t="s">
        <v>124</v>
      </c>
    </row>
    <row r="200" spans="1:5">
      <c r="A200" t="s">
        <v>1804</v>
      </c>
      <c r="B200" t="s">
        <v>1804</v>
      </c>
      <c r="C200" t="s">
        <v>1732</v>
      </c>
      <c r="D200"/>
      <c r="E200" t="s">
        <v>124</v>
      </c>
    </row>
    <row r="201" spans="1:5">
      <c r="A201" t="s">
        <v>1805</v>
      </c>
      <c r="B201" t="s">
        <v>1805</v>
      </c>
      <c r="C201" t="s">
        <v>1732</v>
      </c>
      <c r="D201"/>
      <c r="E201" t="s">
        <v>124</v>
      </c>
    </row>
    <row r="202" spans="1:5">
      <c r="A202" t="s">
        <v>1806</v>
      </c>
      <c r="B202" t="s">
        <v>1806</v>
      </c>
      <c r="C202" t="s">
        <v>1732</v>
      </c>
      <c r="D202"/>
      <c r="E202" t="s">
        <v>124</v>
      </c>
    </row>
    <row r="203" spans="1:5">
      <c r="A203" t="s">
        <v>1807</v>
      </c>
      <c r="B203" t="s">
        <v>1807</v>
      </c>
      <c r="C203" t="s">
        <v>1732</v>
      </c>
      <c r="D203"/>
      <c r="E203" t="s">
        <v>124</v>
      </c>
    </row>
    <row r="204" spans="1:5">
      <c r="A204" t="s">
        <v>1952</v>
      </c>
      <c r="B204" t="s">
        <v>1952</v>
      </c>
      <c r="C204" t="s">
        <v>1732</v>
      </c>
      <c r="D204"/>
      <c r="E204" t="s">
        <v>124</v>
      </c>
    </row>
    <row r="205" spans="1:5">
      <c r="A205" t="s">
        <v>1953</v>
      </c>
      <c r="B205" t="s">
        <v>1953</v>
      </c>
      <c r="C205" t="s">
        <v>1732</v>
      </c>
      <c r="D205"/>
      <c r="E205" t="s">
        <v>124</v>
      </c>
    </row>
    <row r="206" spans="1:5">
      <c r="A206" t="s">
        <v>1954</v>
      </c>
      <c r="B206" t="s">
        <v>1954</v>
      </c>
      <c r="C206" t="s">
        <v>1732</v>
      </c>
      <c r="D206"/>
      <c r="E206" t="s">
        <v>124</v>
      </c>
    </row>
    <row r="207" spans="1:5">
      <c r="A207" t="s">
        <v>1955</v>
      </c>
      <c r="B207" t="s">
        <v>1955</v>
      </c>
      <c r="C207" t="s">
        <v>1732</v>
      </c>
      <c r="D207"/>
      <c r="E207" t="s">
        <v>124</v>
      </c>
    </row>
    <row r="208" spans="1:5">
      <c r="A208" t="s">
        <v>1956</v>
      </c>
      <c r="B208" t="s">
        <v>1956</v>
      </c>
      <c r="C208" t="s">
        <v>1732</v>
      </c>
      <c r="D208"/>
      <c r="E208" t="s">
        <v>124</v>
      </c>
    </row>
    <row r="209" spans="1:5">
      <c r="A209" t="s">
        <v>1898</v>
      </c>
      <c r="B209" t="s">
        <v>1898</v>
      </c>
      <c r="C209" t="s">
        <v>1732</v>
      </c>
      <c r="D209"/>
      <c r="E209" t="s">
        <v>124</v>
      </c>
    </row>
    <row r="210" spans="1:5">
      <c r="A210" t="s">
        <v>1899</v>
      </c>
      <c r="B210" t="s">
        <v>1899</v>
      </c>
      <c r="C210" t="s">
        <v>1732</v>
      </c>
      <c r="D210"/>
      <c r="E210" t="s">
        <v>124</v>
      </c>
    </row>
    <row r="211" spans="1:5">
      <c r="A211" s="8">
        <f>A163+1</f>
        <v>21</v>
      </c>
      <c r="B211" s="71" t="s">
        <v>1694</v>
      </c>
      <c r="C211" t="s">
        <v>3274</v>
      </c>
    </row>
    <row r="212" hidden="1" spans="1:5">
      <c r="A212" s="8">
        <f>A211+1</f>
        <v>22</v>
      </c>
      <c r="B212" s="7" t="s">
        <v>515</v>
      </c>
    </row>
    <row r="213" hidden="1" spans="1:5">
      <c r="A213" t="s">
        <v>1725</v>
      </c>
      <c r="B213" t="s">
        <v>569</v>
      </c>
      <c r="C213" t="s">
        <v>515</v>
      </c>
      <c r="D213" s="72"/>
      <c r="E213" t="s">
        <v>124</v>
      </c>
    </row>
    <row r="214" hidden="1" spans="1:5">
      <c r="A214" t="s">
        <v>1726</v>
      </c>
      <c r="B214" t="s">
        <v>1727</v>
      </c>
      <c r="C214" t="s">
        <v>515</v>
      </c>
      <c r="D214" s="72"/>
      <c r="E214" t="s">
        <v>124</v>
      </c>
    </row>
    <row r="215" hidden="1" spans="1:5">
      <c r="A215" t="s">
        <v>1728</v>
      </c>
      <c r="B215" t="s">
        <v>563</v>
      </c>
      <c r="C215" t="s">
        <v>515</v>
      </c>
      <c r="D215" s="72"/>
      <c r="E215" t="s">
        <v>124</v>
      </c>
    </row>
    <row r="216" hidden="1" spans="1:5">
      <c r="A216" t="s">
        <v>1729</v>
      </c>
      <c r="B216" t="s">
        <v>566</v>
      </c>
      <c r="C216" t="s">
        <v>515</v>
      </c>
      <c r="D216" s="72"/>
      <c r="E216" t="s">
        <v>124</v>
      </c>
    </row>
    <row r="217" hidden="1" spans="1:5">
      <c r="A217" t="s">
        <v>564</v>
      </c>
      <c r="B217" t="s">
        <v>564</v>
      </c>
      <c r="C217" t="s">
        <v>515</v>
      </c>
      <c r="D217" s="72"/>
      <c r="E217" t="s">
        <v>124</v>
      </c>
    </row>
    <row r="218" hidden="1" spans="1:5">
      <c r="A218" t="s">
        <v>1730</v>
      </c>
      <c r="B218" t="s">
        <v>561</v>
      </c>
      <c r="C218" t="s">
        <v>515</v>
      </c>
      <c r="D218" s="72"/>
      <c r="E218" t="s">
        <v>124</v>
      </c>
    </row>
    <row r="219" hidden="1" spans="1:5">
      <c r="A219" t="s">
        <v>1731</v>
      </c>
      <c r="B219" t="s">
        <v>567</v>
      </c>
      <c r="C219" t="s">
        <v>515</v>
      </c>
      <c r="D219" s="72"/>
      <c r="E219" t="s">
        <v>124</v>
      </c>
    </row>
    <row r="220" hidden="1" spans="1:5">
      <c r="A220" t="s">
        <v>3172</v>
      </c>
      <c r="B220" t="s">
        <v>3172</v>
      </c>
      <c r="C220" t="s">
        <v>3171</v>
      </c>
      <c r="D220" s="72"/>
      <c r="E220" t="s">
        <v>399</v>
      </c>
    </row>
    <row r="221" hidden="1" spans="1:5">
      <c r="A221" t="s">
        <v>3173</v>
      </c>
      <c r="B221" t="s">
        <v>539</v>
      </c>
      <c r="C221" t="s">
        <v>3171</v>
      </c>
      <c r="D221" s="72"/>
      <c r="E221" t="s">
        <v>124</v>
      </c>
    </row>
    <row r="222" hidden="1" spans="1:5">
      <c r="A222" t="s">
        <v>3174</v>
      </c>
      <c r="B222" t="s">
        <v>548</v>
      </c>
      <c r="C222" t="s">
        <v>3171</v>
      </c>
      <c r="D222" s="72"/>
      <c r="E222" t="s">
        <v>124</v>
      </c>
    </row>
    <row r="223" hidden="1" spans="1:5">
      <c r="A223" t="s">
        <v>3175</v>
      </c>
      <c r="B223" t="s">
        <v>540</v>
      </c>
      <c r="C223" t="s">
        <v>3171</v>
      </c>
      <c r="D223" s="72"/>
      <c r="E223" t="s">
        <v>124</v>
      </c>
    </row>
    <row r="224" hidden="1" spans="1:5">
      <c r="A224" t="s">
        <v>3176</v>
      </c>
      <c r="B224" t="s">
        <v>541</v>
      </c>
      <c r="C224" t="s">
        <v>3171</v>
      </c>
      <c r="D224" s="72"/>
      <c r="E224" t="s">
        <v>124</v>
      </c>
    </row>
    <row r="225" hidden="1" spans="1:5">
      <c r="A225" t="s">
        <v>553</v>
      </c>
      <c r="B225" t="s">
        <v>553</v>
      </c>
      <c r="C225" t="s">
        <v>3171</v>
      </c>
      <c r="D225" s="72"/>
      <c r="E225" t="s">
        <v>124</v>
      </c>
    </row>
    <row r="226" hidden="1" spans="1:5">
      <c r="A226" t="s">
        <v>554</v>
      </c>
      <c r="B226" t="s">
        <v>554</v>
      </c>
      <c r="C226" t="s">
        <v>3171</v>
      </c>
      <c r="D226" s="72"/>
      <c r="E226" t="s">
        <v>124</v>
      </c>
    </row>
    <row r="227" hidden="1" spans="1:5">
      <c r="A227" t="s">
        <v>3177</v>
      </c>
      <c r="B227" t="s">
        <v>544</v>
      </c>
      <c r="C227" t="s">
        <v>3171</v>
      </c>
      <c r="D227" s="72"/>
      <c r="E227" t="s">
        <v>124</v>
      </c>
    </row>
    <row r="228" hidden="1" spans="1:5">
      <c r="A228" t="s">
        <v>3178</v>
      </c>
      <c r="B228" t="s">
        <v>3178</v>
      </c>
      <c r="C228" t="s">
        <v>3171</v>
      </c>
      <c r="D228" s="72"/>
      <c r="E228" t="s">
        <v>124</v>
      </c>
    </row>
    <row r="229" hidden="1" spans="1:5">
      <c r="A229" t="s">
        <v>3179</v>
      </c>
      <c r="B229" t="s">
        <v>3180</v>
      </c>
      <c r="C229" t="s">
        <v>3171</v>
      </c>
      <c r="D229" s="72"/>
      <c r="E229" t="s">
        <v>522</v>
      </c>
    </row>
    <row r="230" hidden="1" spans="1:5">
      <c r="A230" t="s">
        <v>555</v>
      </c>
      <c r="B230" t="s">
        <v>555</v>
      </c>
      <c r="C230" t="s">
        <v>3171</v>
      </c>
      <c r="D230" s="72"/>
      <c r="E230" t="s">
        <v>399</v>
      </c>
    </row>
    <row r="231" hidden="1" spans="1:5">
      <c r="A231" t="s">
        <v>556</v>
      </c>
      <c r="B231" t="s">
        <v>556</v>
      </c>
      <c r="C231" t="s">
        <v>3171</v>
      </c>
      <c r="D231" s="72"/>
      <c r="E231" t="s">
        <v>399</v>
      </c>
    </row>
    <row r="232" hidden="1" spans="1:5">
      <c r="A232" t="s">
        <v>533</v>
      </c>
      <c r="B232" t="s">
        <v>533</v>
      </c>
      <c r="C232" t="s">
        <v>3171</v>
      </c>
      <c r="D232" s="72"/>
      <c r="E232" t="s">
        <v>399</v>
      </c>
    </row>
    <row r="233" hidden="1" spans="1:5">
      <c r="A233" t="s">
        <v>557</v>
      </c>
      <c r="B233" t="s">
        <v>557</v>
      </c>
      <c r="C233" t="s">
        <v>3171</v>
      </c>
      <c r="D233" s="72"/>
      <c r="E233" t="s">
        <v>399</v>
      </c>
    </row>
    <row r="234" hidden="1" spans="1:5">
      <c r="A234" t="s">
        <v>558</v>
      </c>
      <c r="B234" t="s">
        <v>558</v>
      </c>
      <c r="C234" t="s">
        <v>3171</v>
      </c>
      <c r="D234" s="72"/>
      <c r="E234" t="s">
        <v>399</v>
      </c>
    </row>
    <row r="235" hidden="1" spans="1:5">
      <c r="A235" t="s">
        <v>516</v>
      </c>
      <c r="B235" t="s">
        <v>516</v>
      </c>
      <c r="C235" t="s">
        <v>3171</v>
      </c>
      <c r="D235" s="72"/>
      <c r="E235" t="s">
        <v>124</v>
      </c>
    </row>
    <row r="236" hidden="1" spans="1:5">
      <c r="A236" t="s">
        <v>3181</v>
      </c>
      <c r="B236" t="s">
        <v>3182</v>
      </c>
      <c r="C236" t="s">
        <v>3171</v>
      </c>
      <c r="D236" s="72"/>
      <c r="E236" t="s">
        <v>524</v>
      </c>
    </row>
    <row r="237" hidden="1" spans="1:5">
      <c r="A237" t="s">
        <v>3183</v>
      </c>
      <c r="B237" t="s">
        <v>3184</v>
      </c>
      <c r="C237" t="s">
        <v>3171</v>
      </c>
      <c r="D237" s="72"/>
      <c r="E237" t="s">
        <v>124</v>
      </c>
    </row>
    <row r="238" hidden="1" spans="1:5">
      <c r="A238" t="s">
        <v>3185</v>
      </c>
      <c r="B238" t="s">
        <v>536</v>
      </c>
      <c r="C238" t="s">
        <v>3171</v>
      </c>
      <c r="D238" s="72"/>
      <c r="E238" t="s">
        <v>399</v>
      </c>
    </row>
    <row r="239" hidden="1" spans="1:5">
      <c r="A239" t="s">
        <v>3186</v>
      </c>
      <c r="B239" t="s">
        <v>3187</v>
      </c>
      <c r="C239" t="s">
        <v>3171</v>
      </c>
      <c r="D239" s="72"/>
      <c r="E239" t="s">
        <v>124</v>
      </c>
    </row>
    <row r="240" hidden="1" spans="1:5">
      <c r="A240" t="s">
        <v>3188</v>
      </c>
      <c r="B240" t="s">
        <v>3189</v>
      </c>
      <c r="C240" t="s">
        <v>3171</v>
      </c>
      <c r="D240" s="72"/>
      <c r="E240" t="s">
        <v>399</v>
      </c>
    </row>
    <row r="241" hidden="1" spans="1:5">
      <c r="A241" t="s">
        <v>537</v>
      </c>
      <c r="B241" t="s">
        <v>537</v>
      </c>
      <c r="C241" t="s">
        <v>3171</v>
      </c>
      <c r="D241" s="72"/>
      <c r="E241" t="s">
        <v>399</v>
      </c>
    </row>
    <row r="242" hidden="1" spans="1:5">
      <c r="A242" t="s">
        <v>550</v>
      </c>
      <c r="B242" t="s">
        <v>550</v>
      </c>
      <c r="C242" t="s">
        <v>3171</v>
      </c>
      <c r="D242" s="72"/>
      <c r="E242" t="s">
        <v>124</v>
      </c>
    </row>
    <row r="243" hidden="1" spans="1:5">
      <c r="A243" t="s">
        <v>546</v>
      </c>
      <c r="B243" t="s">
        <v>546</v>
      </c>
      <c r="C243" t="s">
        <v>3171</v>
      </c>
      <c r="D243" s="72"/>
      <c r="E243" t="s">
        <v>124</v>
      </c>
    </row>
    <row r="244" hidden="1" spans="1:5">
      <c r="A244" t="s">
        <v>535</v>
      </c>
      <c r="B244" t="s">
        <v>535</v>
      </c>
      <c r="C244" t="s">
        <v>3171</v>
      </c>
      <c r="D244" s="72"/>
      <c r="E244" t="s">
        <v>124</v>
      </c>
    </row>
    <row r="245" hidden="1" spans="1:5">
      <c r="A245" t="s">
        <v>3190</v>
      </c>
      <c r="B245" t="s">
        <v>530</v>
      </c>
      <c r="C245" t="s">
        <v>3171</v>
      </c>
      <c r="D245" s="72"/>
      <c r="E245" t="s">
        <v>124</v>
      </c>
    </row>
    <row r="246" hidden="1" spans="1:5">
      <c r="A246" t="s">
        <v>525</v>
      </c>
      <c r="B246" t="s">
        <v>525</v>
      </c>
      <c r="C246" t="s">
        <v>3171</v>
      </c>
      <c r="D246" s="72"/>
      <c r="E246" t="s">
        <v>124</v>
      </c>
    </row>
    <row r="247" hidden="1" spans="1:5">
      <c r="A247" t="s">
        <v>542</v>
      </c>
      <c r="B247" t="s">
        <v>542</v>
      </c>
      <c r="C247" t="s">
        <v>3171</v>
      </c>
      <c r="D247" s="72"/>
      <c r="E247" t="s">
        <v>124</v>
      </c>
    </row>
    <row r="248" hidden="1" spans="1:5">
      <c r="A248" t="s">
        <v>3191</v>
      </c>
      <c r="B248" t="s">
        <v>3191</v>
      </c>
      <c r="C248" t="s">
        <v>3171</v>
      </c>
      <c r="D248" s="72"/>
      <c r="E248" t="s">
        <v>124</v>
      </c>
    </row>
    <row r="249" hidden="1" spans="1:5">
      <c r="A249" t="s">
        <v>3192</v>
      </c>
      <c r="B249" t="s">
        <v>3192</v>
      </c>
      <c r="C249" t="s">
        <v>3171</v>
      </c>
      <c r="D249" s="72"/>
      <c r="E249" t="s">
        <v>124</v>
      </c>
    </row>
    <row r="250" hidden="1" spans="1:5">
      <c r="A250" t="s">
        <v>3193</v>
      </c>
      <c r="B250" t="s">
        <v>3194</v>
      </c>
      <c r="C250" t="s">
        <v>3171</v>
      </c>
      <c r="D250" s="72"/>
      <c r="E250" t="s">
        <v>124</v>
      </c>
    </row>
    <row r="251" hidden="1" spans="1:5">
      <c r="A251" t="s">
        <v>560</v>
      </c>
      <c r="B251" t="s">
        <v>560</v>
      </c>
      <c r="C251" t="s">
        <v>3171</v>
      </c>
      <c r="D251" s="72"/>
      <c r="E251" t="s">
        <v>399</v>
      </c>
    </row>
    <row r="252" hidden="1" spans="1:5">
      <c r="A252" t="s">
        <v>518</v>
      </c>
      <c r="B252" t="s">
        <v>518</v>
      </c>
      <c r="C252" t="s">
        <v>3171</v>
      </c>
      <c r="D252" s="72"/>
      <c r="E252" t="s">
        <v>399</v>
      </c>
    </row>
    <row r="253" hidden="1" spans="1:5">
      <c r="A253" t="s">
        <v>559</v>
      </c>
      <c r="B253" t="s">
        <v>559</v>
      </c>
      <c r="C253" t="s">
        <v>3171</v>
      </c>
      <c r="D253" s="72"/>
      <c r="E253" t="s">
        <v>399</v>
      </c>
    </row>
    <row r="254" hidden="1" spans="1:5">
      <c r="A254" t="s">
        <v>3195</v>
      </c>
      <c r="B254" t="s">
        <v>3196</v>
      </c>
      <c r="C254" t="s">
        <v>3171</v>
      </c>
      <c r="D254" s="72"/>
      <c r="E254" t="s">
        <v>124</v>
      </c>
    </row>
    <row r="255" hidden="1" spans="1:5">
      <c r="A255" t="s">
        <v>1173</v>
      </c>
      <c r="B255" t="s">
        <v>1174</v>
      </c>
      <c r="C255" t="s">
        <v>265</v>
      </c>
      <c r="D255"/>
      <c r="E255" t="s">
        <v>399</v>
      </c>
    </row>
    <row r="256" hidden="1" spans="1:5">
      <c r="A256" t="s">
        <v>521</v>
      </c>
      <c r="B256" t="s">
        <v>521</v>
      </c>
      <c r="C256" t="s">
        <v>265</v>
      </c>
      <c r="D256"/>
      <c r="E256" t="s">
        <v>522</v>
      </c>
    </row>
    <row r="257" hidden="1" spans="1:5">
      <c r="A257" t="s">
        <v>534</v>
      </c>
      <c r="B257" t="s">
        <v>534</v>
      </c>
      <c r="C257" t="s">
        <v>265</v>
      </c>
      <c r="D257"/>
      <c r="E257" t="s">
        <v>524</v>
      </c>
    </row>
    <row r="258" hidden="1" spans="1:5">
      <c r="A258" t="s">
        <v>1157</v>
      </c>
      <c r="B258" t="s">
        <v>1157</v>
      </c>
      <c r="C258" t="s">
        <v>265</v>
      </c>
      <c r="D258"/>
      <c r="E258" t="s">
        <v>524</v>
      </c>
    </row>
    <row r="259" hidden="1" spans="1:5">
      <c r="A259" t="s">
        <v>1181</v>
      </c>
      <c r="B259" t="s">
        <v>1181</v>
      </c>
      <c r="C259" t="s">
        <v>265</v>
      </c>
      <c r="D259"/>
      <c r="E259" t="s">
        <v>124</v>
      </c>
    </row>
    <row r="260" hidden="1" spans="1:5">
      <c r="A260" t="s">
        <v>519</v>
      </c>
      <c r="B260" t="s">
        <v>519</v>
      </c>
      <c r="C260" t="s">
        <v>265</v>
      </c>
      <c r="D260"/>
      <c r="E260" t="s">
        <v>399</v>
      </c>
    </row>
    <row r="261" hidden="1" spans="1:5">
      <c r="A261" t="s">
        <v>523</v>
      </c>
      <c r="B261" t="s">
        <v>523</v>
      </c>
      <c r="C261" t="s">
        <v>265</v>
      </c>
      <c r="D261"/>
      <c r="E261" t="s">
        <v>524</v>
      </c>
    </row>
    <row r="262" hidden="1" spans="1:5">
      <c r="A262" t="s">
        <v>1237</v>
      </c>
      <c r="B262" t="s">
        <v>1237</v>
      </c>
      <c r="C262" t="s">
        <v>265</v>
      </c>
      <c r="D262"/>
      <c r="E262" t="s">
        <v>524</v>
      </c>
    </row>
    <row r="263" hidden="1" spans="1:5">
      <c r="A263" t="s">
        <v>538</v>
      </c>
      <c r="B263" t="s">
        <v>538</v>
      </c>
      <c r="C263" t="s">
        <v>265</v>
      </c>
      <c r="D263"/>
      <c r="E263" t="s">
        <v>524</v>
      </c>
    </row>
    <row r="264" hidden="1" spans="1:5">
      <c r="A264" t="s">
        <v>1283</v>
      </c>
      <c r="B264" t="s">
        <v>1283</v>
      </c>
      <c r="C264" t="s">
        <v>265</v>
      </c>
      <c r="D264"/>
      <c r="E264" t="s">
        <v>124</v>
      </c>
    </row>
    <row r="265" hidden="1" spans="1:5">
      <c r="A265" t="s">
        <v>545</v>
      </c>
      <c r="B265" t="s">
        <v>545</v>
      </c>
      <c r="C265" t="s">
        <v>265</v>
      </c>
      <c r="D265"/>
      <c r="E265" t="s">
        <v>124</v>
      </c>
    </row>
    <row r="266" hidden="1" spans="1:5">
      <c r="A266" t="s">
        <v>1287</v>
      </c>
      <c r="B266" t="s">
        <v>1287</v>
      </c>
      <c r="C266" t="s">
        <v>265</v>
      </c>
      <c r="D266"/>
      <c r="E266" t="s">
        <v>399</v>
      </c>
    </row>
    <row r="267" hidden="1" spans="1:5">
      <c r="A267" t="s">
        <v>1198</v>
      </c>
      <c r="B267" t="s">
        <v>1198</v>
      </c>
      <c r="C267" t="s">
        <v>265</v>
      </c>
      <c r="D267"/>
      <c r="E267" t="s">
        <v>524</v>
      </c>
    </row>
    <row r="268" hidden="1" spans="1:5">
      <c r="A268" t="s">
        <v>1199</v>
      </c>
      <c r="B268" t="s">
        <v>1199</v>
      </c>
      <c r="C268" t="s">
        <v>265</v>
      </c>
      <c r="D268"/>
      <c r="E268" t="s">
        <v>524</v>
      </c>
    </row>
    <row r="269" hidden="1" spans="1:5">
      <c r="A269" t="s">
        <v>1200</v>
      </c>
      <c r="B269" t="s">
        <v>1200</v>
      </c>
      <c r="C269" t="s">
        <v>265</v>
      </c>
      <c r="D269"/>
      <c r="E269" t="s">
        <v>524</v>
      </c>
    </row>
    <row r="270" hidden="1" spans="1:5">
      <c r="A270" t="s">
        <v>526</v>
      </c>
      <c r="B270" t="s">
        <v>526</v>
      </c>
      <c r="C270" t="s">
        <v>1732</v>
      </c>
      <c r="D270"/>
      <c r="E270" t="s">
        <v>524</v>
      </c>
    </row>
    <row r="271" spans="1:5">
      <c r="A271" s="8">
        <f>A212+1</f>
        <v>23</v>
      </c>
      <c r="B271" s="71" t="s">
        <v>1142</v>
      </c>
      <c r="C271" t="s">
        <v>3275</v>
      </c>
    </row>
    <row r="272" spans="1:5">
      <c r="A272" s="8">
        <f>A271+1</f>
        <v>24</v>
      </c>
      <c r="B272" s="29" t="s">
        <v>577</v>
      </c>
    </row>
    <row r="273" spans="1:5">
      <c r="A273" t="s">
        <v>1080</v>
      </c>
      <c r="B273" t="s">
        <v>1081</v>
      </c>
      <c r="C273" t="s">
        <v>1079</v>
      </c>
      <c r="D273" s="72"/>
      <c r="E273" t="s">
        <v>1052</v>
      </c>
    </row>
    <row r="274" spans="1:5">
      <c r="A274" t="s">
        <v>1125</v>
      </c>
      <c r="B274" t="s">
        <v>1126</v>
      </c>
      <c r="C274" t="s">
        <v>348</v>
      </c>
      <c r="D274"/>
      <c r="E274" t="s">
        <v>310</v>
      </c>
    </row>
    <row r="275" spans="1:5">
      <c r="A275" s="8">
        <f>A272+1</f>
        <v>25</v>
      </c>
      <c r="B275" s="7" t="s">
        <v>260</v>
      </c>
    </row>
    <row r="276" spans="1:5">
      <c r="A276" t="s">
        <v>1041</v>
      </c>
      <c r="B276" t="s">
        <v>1042</v>
      </c>
      <c r="C276" t="s">
        <v>260</v>
      </c>
      <c r="D276" s="72"/>
      <c r="E276" t="s">
        <v>1043</v>
      </c>
    </row>
    <row r="277" spans="1:5">
      <c r="A277" t="s">
        <v>1044</v>
      </c>
      <c r="B277" t="s">
        <v>1045</v>
      </c>
      <c r="C277" t="s">
        <v>260</v>
      </c>
      <c r="D277" s="72"/>
      <c r="E277" t="s">
        <v>124</v>
      </c>
    </row>
    <row r="278" hidden="1" spans="1:5">
      <c r="A278" s="8">
        <f>A275+1</f>
        <v>26</v>
      </c>
      <c r="B278" s="7" t="s">
        <v>382</v>
      </c>
    </row>
    <row r="279" hidden="1" spans="1:5">
      <c r="A279" t="s">
        <v>2121</v>
      </c>
      <c r="B279" t="s">
        <v>2121</v>
      </c>
      <c r="C279" t="s">
        <v>1732</v>
      </c>
      <c r="D279"/>
      <c r="E279" t="s">
        <v>124</v>
      </c>
    </row>
    <row r="280" hidden="1" spans="1:5">
      <c r="A280" t="s">
        <v>2122</v>
      </c>
      <c r="B280" t="s">
        <v>2122</v>
      </c>
      <c r="C280" t="s">
        <v>1732</v>
      </c>
      <c r="D280"/>
      <c r="E280" t="s">
        <v>124</v>
      </c>
    </row>
    <row r="281" hidden="1" spans="1:5">
      <c r="A281" t="s">
        <v>2123</v>
      </c>
      <c r="B281" t="s">
        <v>2123</v>
      </c>
      <c r="C281" t="s">
        <v>1732</v>
      </c>
      <c r="D281"/>
      <c r="E281" t="s">
        <v>124</v>
      </c>
    </row>
    <row r="282" hidden="1" spans="1:5">
      <c r="A282" t="s">
        <v>2080</v>
      </c>
      <c r="B282" t="s">
        <v>2080</v>
      </c>
      <c r="C282" t="s">
        <v>1732</v>
      </c>
      <c r="D282"/>
      <c r="E282" t="s">
        <v>124</v>
      </c>
    </row>
    <row r="283" hidden="1" spans="1:5">
      <c r="A283" t="s">
        <v>1988</v>
      </c>
      <c r="B283" t="s">
        <v>1988</v>
      </c>
      <c r="C283" t="s">
        <v>1732</v>
      </c>
      <c r="D283"/>
      <c r="E283" t="s">
        <v>124</v>
      </c>
    </row>
    <row r="284" hidden="1" spans="1:5">
      <c r="A284" t="s">
        <v>449</v>
      </c>
      <c r="B284" t="s">
        <v>449</v>
      </c>
      <c r="C284" t="s">
        <v>265</v>
      </c>
      <c r="D284"/>
      <c r="E284" t="s">
        <v>124</v>
      </c>
    </row>
    <row r="285" hidden="1" spans="1:5">
      <c r="A285" t="s">
        <v>1316</v>
      </c>
      <c r="B285" t="s">
        <v>392</v>
      </c>
      <c r="C285" t="s">
        <v>382</v>
      </c>
      <c r="D285" s="72"/>
      <c r="E285" t="s">
        <v>124</v>
      </c>
    </row>
    <row r="286" hidden="1" spans="1:5">
      <c r="A286" t="s">
        <v>424</v>
      </c>
      <c r="B286" t="s">
        <v>424</v>
      </c>
      <c r="C286" t="s">
        <v>382</v>
      </c>
      <c r="D286" s="72"/>
      <c r="E286" t="s">
        <v>124</v>
      </c>
    </row>
    <row r="287" hidden="1" spans="1:5">
      <c r="A287" t="s">
        <v>1317</v>
      </c>
      <c r="B287" t="s">
        <v>395</v>
      </c>
      <c r="C287" t="s">
        <v>382</v>
      </c>
      <c r="D287" s="72"/>
      <c r="E287" t="s">
        <v>124</v>
      </c>
    </row>
    <row r="288" hidden="1" spans="1:5">
      <c r="A288" t="s">
        <v>1318</v>
      </c>
      <c r="B288" t="s">
        <v>1318</v>
      </c>
      <c r="C288" t="s">
        <v>382</v>
      </c>
      <c r="D288" s="72"/>
      <c r="E288" t="s">
        <v>124</v>
      </c>
    </row>
    <row r="289" hidden="1" spans="1:5">
      <c r="A289" t="s">
        <v>1319</v>
      </c>
      <c r="B289" t="s">
        <v>501</v>
      </c>
      <c r="C289" t="s">
        <v>382</v>
      </c>
      <c r="D289" s="72"/>
      <c r="E289" t="s">
        <v>124</v>
      </c>
    </row>
    <row r="290" hidden="1" spans="1:5">
      <c r="A290" t="s">
        <v>1320</v>
      </c>
      <c r="B290" t="s">
        <v>396</v>
      </c>
      <c r="C290" t="s">
        <v>382</v>
      </c>
      <c r="D290" s="72"/>
      <c r="E290" t="s">
        <v>124</v>
      </c>
    </row>
    <row r="291" hidden="1" spans="1:5">
      <c r="A291" t="s">
        <v>1321</v>
      </c>
      <c r="B291" t="s">
        <v>394</v>
      </c>
      <c r="C291" t="s">
        <v>382</v>
      </c>
      <c r="D291" s="72"/>
      <c r="E291" t="s">
        <v>124</v>
      </c>
    </row>
    <row r="292" hidden="1" spans="1:5">
      <c r="A292" t="s">
        <v>1322</v>
      </c>
      <c r="B292" t="s">
        <v>393</v>
      </c>
      <c r="C292" t="s">
        <v>382</v>
      </c>
      <c r="D292" s="72"/>
      <c r="E292" t="s">
        <v>124</v>
      </c>
    </row>
    <row r="293" hidden="1" spans="1:5">
      <c r="A293" t="s">
        <v>1323</v>
      </c>
      <c r="B293" t="s">
        <v>1324</v>
      </c>
      <c r="C293" t="s">
        <v>382</v>
      </c>
      <c r="D293" s="72"/>
      <c r="E293" t="s">
        <v>124</v>
      </c>
    </row>
    <row r="294" hidden="1" spans="1:5">
      <c r="A294" t="s">
        <v>1325</v>
      </c>
      <c r="B294" t="s">
        <v>1326</v>
      </c>
      <c r="C294" t="s">
        <v>382</v>
      </c>
      <c r="D294" s="72"/>
      <c r="E294" t="s">
        <v>124</v>
      </c>
    </row>
    <row r="295" hidden="1" spans="1:5">
      <c r="A295" t="s">
        <v>1327</v>
      </c>
      <c r="B295" t="s">
        <v>1327</v>
      </c>
      <c r="C295" t="s">
        <v>382</v>
      </c>
      <c r="D295" s="72"/>
      <c r="E295" t="s">
        <v>124</v>
      </c>
    </row>
    <row r="296" hidden="1" spans="1:5">
      <c r="A296" t="s">
        <v>1328</v>
      </c>
      <c r="B296" t="s">
        <v>1328</v>
      </c>
      <c r="C296" t="s">
        <v>382</v>
      </c>
      <c r="D296" s="72"/>
      <c r="E296" t="s">
        <v>124</v>
      </c>
    </row>
    <row r="297" hidden="1" spans="1:5">
      <c r="A297" t="s">
        <v>407</v>
      </c>
      <c r="B297" t="s">
        <v>407</v>
      </c>
      <c r="C297" t="s">
        <v>382</v>
      </c>
      <c r="D297" s="72"/>
      <c r="E297" t="s">
        <v>408</v>
      </c>
    </row>
    <row r="298" hidden="1" spans="1:5">
      <c r="A298" t="s">
        <v>410</v>
      </c>
      <c r="B298" t="s">
        <v>410</v>
      </c>
      <c r="C298" t="s">
        <v>382</v>
      </c>
      <c r="D298" s="72"/>
      <c r="E298" t="s">
        <v>124</v>
      </c>
    </row>
    <row r="299" hidden="1" spans="1:5">
      <c r="A299" t="s">
        <v>412</v>
      </c>
      <c r="B299" t="s">
        <v>412</v>
      </c>
      <c r="C299" t="s">
        <v>382</v>
      </c>
      <c r="D299" s="72"/>
      <c r="E299" t="s">
        <v>408</v>
      </c>
    </row>
    <row r="300" hidden="1" spans="1:5">
      <c r="A300" t="s">
        <v>1329</v>
      </c>
      <c r="B300" t="s">
        <v>413</v>
      </c>
      <c r="C300" t="s">
        <v>382</v>
      </c>
      <c r="D300" s="72"/>
      <c r="E300" t="s">
        <v>408</v>
      </c>
    </row>
    <row r="301" hidden="1" spans="1:5">
      <c r="A301" t="s">
        <v>1330</v>
      </c>
      <c r="B301" t="s">
        <v>850</v>
      </c>
      <c r="C301" t="s">
        <v>382</v>
      </c>
      <c r="D301" s="72"/>
      <c r="E301" t="s">
        <v>124</v>
      </c>
    </row>
    <row r="302" hidden="1" spans="1:5">
      <c r="A302" t="s">
        <v>1331</v>
      </c>
      <c r="B302" t="s">
        <v>401</v>
      </c>
      <c r="C302" t="s">
        <v>382</v>
      </c>
      <c r="D302" s="72"/>
      <c r="E302" t="s">
        <v>124</v>
      </c>
    </row>
    <row r="303" hidden="1" spans="1:5">
      <c r="A303" t="s">
        <v>416</v>
      </c>
      <c r="B303" t="s">
        <v>416</v>
      </c>
      <c r="C303" t="s">
        <v>382</v>
      </c>
      <c r="D303" s="72"/>
      <c r="E303" t="s">
        <v>124</v>
      </c>
    </row>
    <row r="304" hidden="1" spans="1:5">
      <c r="A304" t="s">
        <v>415</v>
      </c>
      <c r="B304" t="s">
        <v>415</v>
      </c>
      <c r="C304" t="s">
        <v>382</v>
      </c>
      <c r="D304" s="72"/>
      <c r="E304" t="s">
        <v>124</v>
      </c>
    </row>
    <row r="305" hidden="1" spans="1:5">
      <c r="A305" t="s">
        <v>422</v>
      </c>
      <c r="B305" t="s">
        <v>422</v>
      </c>
      <c r="C305" t="s">
        <v>382</v>
      </c>
      <c r="D305" s="72"/>
      <c r="E305" t="s">
        <v>124</v>
      </c>
    </row>
    <row r="306" hidden="1" spans="1:5">
      <c r="A306" t="s">
        <v>1332</v>
      </c>
      <c r="B306" t="s">
        <v>1332</v>
      </c>
      <c r="C306" t="s">
        <v>382</v>
      </c>
      <c r="D306" s="72"/>
      <c r="E306" t="s">
        <v>124</v>
      </c>
    </row>
    <row r="307" hidden="1" spans="1:5">
      <c r="A307" t="s">
        <v>1333</v>
      </c>
      <c r="B307" t="s">
        <v>1333</v>
      </c>
      <c r="C307" t="s">
        <v>382</v>
      </c>
      <c r="D307" s="72"/>
      <c r="E307" t="s">
        <v>124</v>
      </c>
    </row>
    <row r="308" hidden="1" spans="1:5">
      <c r="A308" t="s">
        <v>1334</v>
      </c>
      <c r="B308" t="s">
        <v>1334</v>
      </c>
      <c r="C308" t="s">
        <v>382</v>
      </c>
      <c r="D308" s="72"/>
      <c r="E308" t="s">
        <v>124</v>
      </c>
    </row>
    <row r="309" hidden="1" spans="1:5">
      <c r="A309" t="s">
        <v>414</v>
      </c>
      <c r="B309" t="s">
        <v>414</v>
      </c>
      <c r="C309" t="s">
        <v>382</v>
      </c>
      <c r="D309" s="72"/>
      <c r="E309" t="s">
        <v>124</v>
      </c>
    </row>
    <row r="310" hidden="1" spans="1:5">
      <c r="A310" t="s">
        <v>1335</v>
      </c>
      <c r="B310" t="s">
        <v>419</v>
      </c>
      <c r="C310" t="s">
        <v>382</v>
      </c>
      <c r="D310" s="72"/>
      <c r="E310" t="s">
        <v>124</v>
      </c>
    </row>
    <row r="311" hidden="1" spans="1:5">
      <c r="A311" t="s">
        <v>1336</v>
      </c>
      <c r="B311" t="s">
        <v>417</v>
      </c>
      <c r="C311" t="s">
        <v>382</v>
      </c>
      <c r="D311" s="72"/>
      <c r="E311" t="s">
        <v>124</v>
      </c>
    </row>
    <row r="312" hidden="1" spans="1:5">
      <c r="A312" t="s">
        <v>1337</v>
      </c>
      <c r="B312" t="s">
        <v>421</v>
      </c>
      <c r="C312" t="s">
        <v>382</v>
      </c>
      <c r="D312" s="72"/>
      <c r="E312" t="s">
        <v>124</v>
      </c>
    </row>
    <row r="313" hidden="1" spans="1:5">
      <c r="A313" t="s">
        <v>1338</v>
      </c>
      <c r="B313" t="s">
        <v>420</v>
      </c>
      <c r="C313" t="s">
        <v>382</v>
      </c>
      <c r="D313" s="72"/>
      <c r="E313" t="s">
        <v>124</v>
      </c>
    </row>
    <row r="314" hidden="1" spans="1:5">
      <c r="A314" t="s">
        <v>1339</v>
      </c>
      <c r="B314" t="s">
        <v>423</v>
      </c>
      <c r="C314" t="s">
        <v>382</v>
      </c>
      <c r="D314" s="72"/>
      <c r="E314" t="s">
        <v>124</v>
      </c>
    </row>
    <row r="315" hidden="1" spans="1:5">
      <c r="A315" t="s">
        <v>1340</v>
      </c>
      <c r="B315" t="s">
        <v>418</v>
      </c>
      <c r="C315" t="s">
        <v>382</v>
      </c>
      <c r="D315" s="72"/>
      <c r="E315" t="s">
        <v>124</v>
      </c>
    </row>
    <row r="316" hidden="1" spans="1:5">
      <c r="A316" t="s">
        <v>400</v>
      </c>
      <c r="B316" t="s">
        <v>400</v>
      </c>
      <c r="C316" t="s">
        <v>382</v>
      </c>
      <c r="D316" s="72"/>
      <c r="E316" t="s">
        <v>124</v>
      </c>
    </row>
    <row r="317" hidden="1" spans="1:5">
      <c r="A317" t="s">
        <v>1341</v>
      </c>
      <c r="B317" t="s">
        <v>1342</v>
      </c>
      <c r="C317" t="s">
        <v>382</v>
      </c>
      <c r="D317" s="72"/>
      <c r="E317" t="s">
        <v>399</v>
      </c>
    </row>
    <row r="318" hidden="1" spans="1:5">
      <c r="A318" t="s">
        <v>398</v>
      </c>
      <c r="B318" t="s">
        <v>398</v>
      </c>
      <c r="C318" t="s">
        <v>382</v>
      </c>
      <c r="D318" s="72"/>
      <c r="E318" t="s">
        <v>124</v>
      </c>
    </row>
    <row r="319" hidden="1" spans="1:5">
      <c r="A319" t="s">
        <v>1343</v>
      </c>
      <c r="B319" t="s">
        <v>1344</v>
      </c>
      <c r="C319" t="s">
        <v>382</v>
      </c>
      <c r="D319" s="72"/>
      <c r="E319" t="s">
        <v>399</v>
      </c>
    </row>
    <row r="320" hidden="1" spans="1:5">
      <c r="A320" t="s">
        <v>1345</v>
      </c>
      <c r="B320" t="s">
        <v>1346</v>
      </c>
      <c r="C320" t="s">
        <v>382</v>
      </c>
      <c r="D320" s="72"/>
      <c r="E320" t="s">
        <v>399</v>
      </c>
    </row>
    <row r="321" hidden="1" spans="1:5">
      <c r="A321" t="s">
        <v>1347</v>
      </c>
      <c r="B321" t="s">
        <v>1347</v>
      </c>
      <c r="C321" t="s">
        <v>382</v>
      </c>
      <c r="D321" s="72"/>
      <c r="E321" t="s">
        <v>124</v>
      </c>
    </row>
    <row r="322" hidden="1" spans="1:5">
      <c r="A322" t="s">
        <v>1348</v>
      </c>
      <c r="B322" t="s">
        <v>425</v>
      </c>
      <c r="C322" t="s">
        <v>382</v>
      </c>
      <c r="D322" s="72"/>
      <c r="E322" t="s">
        <v>124</v>
      </c>
    </row>
    <row r="323" hidden="1" spans="1:5">
      <c r="A323" t="s">
        <v>1349</v>
      </c>
      <c r="B323" t="s">
        <v>498</v>
      </c>
      <c r="C323" t="s">
        <v>382</v>
      </c>
      <c r="D323" s="72"/>
      <c r="E323" t="s">
        <v>124</v>
      </c>
    </row>
    <row r="324" hidden="1" spans="1:5">
      <c r="A324" t="s">
        <v>1350</v>
      </c>
      <c r="B324" t="s">
        <v>428</v>
      </c>
      <c r="C324" t="s">
        <v>382</v>
      </c>
      <c r="D324" s="72"/>
      <c r="E324" t="s">
        <v>124</v>
      </c>
    </row>
    <row r="325" hidden="1" spans="1:5">
      <c r="A325" t="s">
        <v>1351</v>
      </c>
      <c r="B325" t="s">
        <v>441</v>
      </c>
      <c r="C325" t="s">
        <v>382</v>
      </c>
      <c r="D325" s="72"/>
      <c r="E325" t="s">
        <v>124</v>
      </c>
    </row>
    <row r="326" hidden="1" spans="1:5">
      <c r="A326" t="s">
        <v>1352</v>
      </c>
      <c r="B326" t="s">
        <v>1353</v>
      </c>
      <c r="C326" t="s">
        <v>382</v>
      </c>
      <c r="D326" s="72"/>
      <c r="E326" t="s">
        <v>329</v>
      </c>
    </row>
    <row r="327" hidden="1" spans="1:5">
      <c r="A327" t="s">
        <v>1354</v>
      </c>
      <c r="B327" t="s">
        <v>1355</v>
      </c>
      <c r="C327" t="s">
        <v>382</v>
      </c>
      <c r="D327" s="72"/>
      <c r="E327" t="s">
        <v>329</v>
      </c>
    </row>
    <row r="328" hidden="1" spans="1:5">
      <c r="A328" t="s">
        <v>1356</v>
      </c>
      <c r="B328" t="s">
        <v>1357</v>
      </c>
      <c r="C328" t="s">
        <v>382</v>
      </c>
      <c r="D328" s="72"/>
      <c r="E328" t="s">
        <v>124</v>
      </c>
    </row>
    <row r="329" hidden="1" spans="1:5">
      <c r="A329" t="s">
        <v>1358</v>
      </c>
      <c r="B329" t="s">
        <v>1358</v>
      </c>
      <c r="C329" t="s">
        <v>382</v>
      </c>
      <c r="D329" s="72"/>
      <c r="E329" t="s">
        <v>329</v>
      </c>
    </row>
    <row r="330" hidden="1" spans="1:5">
      <c r="A330" t="s">
        <v>1359</v>
      </c>
      <c r="B330" t="s">
        <v>1360</v>
      </c>
      <c r="C330" t="s">
        <v>382</v>
      </c>
      <c r="D330" s="72"/>
      <c r="E330" t="s">
        <v>124</v>
      </c>
    </row>
    <row r="331" hidden="1" spans="1:5">
      <c r="A331" t="s">
        <v>852</v>
      </c>
      <c r="B331" t="s">
        <v>852</v>
      </c>
      <c r="C331" t="s">
        <v>382</v>
      </c>
      <c r="D331" s="72"/>
      <c r="E331" t="s">
        <v>124</v>
      </c>
    </row>
    <row r="332" hidden="1" spans="1:5">
      <c r="A332" t="s">
        <v>397</v>
      </c>
      <c r="B332" t="s">
        <v>397</v>
      </c>
      <c r="C332" t="s">
        <v>382</v>
      </c>
      <c r="D332" s="72"/>
      <c r="E332" t="s">
        <v>124</v>
      </c>
    </row>
    <row r="333" hidden="1" spans="1:5">
      <c r="A333" t="s">
        <v>500</v>
      </c>
      <c r="B333" t="s">
        <v>500</v>
      </c>
      <c r="C333" t="s">
        <v>382</v>
      </c>
      <c r="D333" s="72"/>
      <c r="E333" t="s">
        <v>124</v>
      </c>
    </row>
    <row r="334" hidden="1" spans="1:5">
      <c r="A334" t="s">
        <v>426</v>
      </c>
      <c r="B334" t="s">
        <v>426</v>
      </c>
      <c r="C334" t="s">
        <v>382</v>
      </c>
      <c r="D334" s="72"/>
      <c r="E334" t="s">
        <v>124</v>
      </c>
    </row>
    <row r="335" hidden="1" spans="1:5">
      <c r="A335" t="s">
        <v>1361</v>
      </c>
      <c r="B335" t="s">
        <v>1361</v>
      </c>
      <c r="C335" t="s">
        <v>382</v>
      </c>
      <c r="D335" s="72"/>
      <c r="E335" t="s">
        <v>124</v>
      </c>
    </row>
    <row r="336" hidden="1" spans="1:5">
      <c r="A336" t="s">
        <v>851</v>
      </c>
      <c r="B336" t="s">
        <v>851</v>
      </c>
      <c r="C336" t="s">
        <v>382</v>
      </c>
      <c r="D336" s="72"/>
      <c r="E336" t="s">
        <v>124</v>
      </c>
    </row>
    <row r="337" hidden="1" spans="1:5">
      <c r="A337" t="s">
        <v>499</v>
      </c>
      <c r="B337" t="s">
        <v>499</v>
      </c>
      <c r="C337" t="s">
        <v>382</v>
      </c>
      <c r="D337" s="72"/>
      <c r="E337" t="s">
        <v>124</v>
      </c>
    </row>
    <row r="338" hidden="1" spans="1:5">
      <c r="A338" t="s">
        <v>1362</v>
      </c>
      <c r="B338" t="s">
        <v>1362</v>
      </c>
      <c r="C338" t="s">
        <v>382</v>
      </c>
      <c r="D338" s="72"/>
      <c r="E338" t="s">
        <v>124</v>
      </c>
    </row>
    <row r="339" hidden="1" spans="1:5">
      <c r="A339" t="s">
        <v>390</v>
      </c>
      <c r="B339" t="s">
        <v>390</v>
      </c>
      <c r="C339" t="s">
        <v>382</v>
      </c>
      <c r="D339" s="72"/>
      <c r="E339" t="s">
        <v>124</v>
      </c>
    </row>
    <row r="340" hidden="1" spans="1:5">
      <c r="A340" t="s">
        <v>391</v>
      </c>
      <c r="B340" t="s">
        <v>391</v>
      </c>
      <c r="C340" t="s">
        <v>382</v>
      </c>
      <c r="D340" s="72"/>
      <c r="E340" t="s">
        <v>124</v>
      </c>
    </row>
    <row r="341" hidden="1" spans="1:5">
      <c r="A341" t="s">
        <v>1363</v>
      </c>
      <c r="B341" t="s">
        <v>457</v>
      </c>
      <c r="C341" t="s">
        <v>382</v>
      </c>
      <c r="D341" s="72"/>
      <c r="E341" t="s">
        <v>124</v>
      </c>
    </row>
    <row r="342" hidden="1" spans="1:5">
      <c r="A342" t="s">
        <v>451</v>
      </c>
      <c r="B342" t="s">
        <v>451</v>
      </c>
      <c r="C342" t="s">
        <v>382</v>
      </c>
      <c r="D342" s="72"/>
      <c r="E342" t="s">
        <v>124</v>
      </c>
    </row>
    <row r="343" hidden="1" spans="1:5">
      <c r="A343" t="s">
        <v>1364</v>
      </c>
      <c r="B343" t="s">
        <v>1365</v>
      </c>
      <c r="C343" t="s">
        <v>382</v>
      </c>
      <c r="D343" s="72"/>
      <c r="E343" t="s">
        <v>399</v>
      </c>
    </row>
    <row r="344" hidden="1" spans="1:5">
      <c r="A344" t="s">
        <v>1366</v>
      </c>
      <c r="B344" t="s">
        <v>1366</v>
      </c>
      <c r="C344" t="s">
        <v>382</v>
      </c>
      <c r="D344" s="72"/>
      <c r="E344" t="s">
        <v>124</v>
      </c>
    </row>
    <row r="345" hidden="1" spans="1:5">
      <c r="A345" t="s">
        <v>1367</v>
      </c>
      <c r="B345" t="s">
        <v>1367</v>
      </c>
      <c r="C345" t="s">
        <v>382</v>
      </c>
      <c r="D345" s="72"/>
      <c r="E345" t="s">
        <v>124</v>
      </c>
    </row>
    <row r="346" hidden="1" spans="1:5">
      <c r="A346" t="s">
        <v>411</v>
      </c>
      <c r="B346" t="s">
        <v>411</v>
      </c>
      <c r="C346" t="s">
        <v>382</v>
      </c>
      <c r="D346" s="72"/>
      <c r="E346" t="s">
        <v>408</v>
      </c>
    </row>
    <row r="347" hidden="1" spans="1:5">
      <c r="A347" t="s">
        <v>1368</v>
      </c>
      <c r="B347" t="s">
        <v>409</v>
      </c>
      <c r="C347" t="s">
        <v>382</v>
      </c>
      <c r="D347" s="72"/>
      <c r="E347" t="s">
        <v>408</v>
      </c>
    </row>
    <row r="348" hidden="1" spans="1:5">
      <c r="A348" t="s">
        <v>437</v>
      </c>
      <c r="B348" t="s">
        <v>437</v>
      </c>
      <c r="C348" t="s">
        <v>265</v>
      </c>
      <c r="D348"/>
      <c r="E348" t="s">
        <v>124</v>
      </c>
    </row>
    <row r="349" hidden="1" spans="1:5">
      <c r="A349" t="s">
        <v>1148</v>
      </c>
      <c r="B349" t="s">
        <v>430</v>
      </c>
      <c r="C349" t="s">
        <v>265</v>
      </c>
      <c r="D349"/>
      <c r="E349" t="s">
        <v>124</v>
      </c>
    </row>
    <row r="350" hidden="1" spans="1:5">
      <c r="A350" t="s">
        <v>1149</v>
      </c>
      <c r="B350" t="s">
        <v>1149</v>
      </c>
      <c r="C350" t="s">
        <v>265</v>
      </c>
      <c r="D350"/>
      <c r="E350" t="s">
        <v>124</v>
      </c>
    </row>
    <row r="351" hidden="1" spans="1:5">
      <c r="A351" t="s">
        <v>1150</v>
      </c>
      <c r="B351" t="s">
        <v>436</v>
      </c>
      <c r="C351" t="s">
        <v>265</v>
      </c>
      <c r="D351"/>
      <c r="E351" t="s">
        <v>124</v>
      </c>
    </row>
    <row r="352" hidden="1" spans="1:5">
      <c r="A352" t="s">
        <v>1151</v>
      </c>
      <c r="B352" t="s">
        <v>1151</v>
      </c>
      <c r="C352" t="s">
        <v>265</v>
      </c>
      <c r="D352"/>
      <c r="E352" t="s">
        <v>124</v>
      </c>
    </row>
    <row r="353" hidden="1" spans="1:5">
      <c r="A353" t="s">
        <v>439</v>
      </c>
      <c r="B353" t="s">
        <v>439</v>
      </c>
      <c r="C353" t="s">
        <v>265</v>
      </c>
      <c r="D353"/>
      <c r="E353" t="s">
        <v>124</v>
      </c>
    </row>
    <row r="354" hidden="1" spans="1:5">
      <c r="A354" t="s">
        <v>387</v>
      </c>
      <c r="B354" t="s">
        <v>387</v>
      </c>
      <c r="C354" t="s">
        <v>265</v>
      </c>
      <c r="D354"/>
      <c r="E354" t="s">
        <v>329</v>
      </c>
    </row>
    <row r="355" hidden="1" spans="1:5">
      <c r="A355" t="s">
        <v>1152</v>
      </c>
      <c r="B355" t="s">
        <v>1153</v>
      </c>
      <c r="C355" t="s">
        <v>265</v>
      </c>
      <c r="D355"/>
      <c r="E355" t="s">
        <v>522</v>
      </c>
    </row>
    <row r="356" hidden="1" spans="1:5">
      <c r="A356" t="s">
        <v>447</v>
      </c>
      <c r="B356" t="s">
        <v>447</v>
      </c>
      <c r="C356" t="s">
        <v>265</v>
      </c>
      <c r="D356"/>
      <c r="E356" t="s">
        <v>124</v>
      </c>
    </row>
    <row r="357" hidden="1" spans="1:5">
      <c r="A357" t="s">
        <v>446</v>
      </c>
      <c r="B357" t="s">
        <v>446</v>
      </c>
      <c r="C357" t="s">
        <v>265</v>
      </c>
      <c r="D357"/>
      <c r="E357" t="s">
        <v>124</v>
      </c>
    </row>
    <row r="358" hidden="1" spans="1:5">
      <c r="A358" t="s">
        <v>1154</v>
      </c>
      <c r="B358" t="s">
        <v>433</v>
      </c>
      <c r="C358" t="s">
        <v>265</v>
      </c>
      <c r="D358"/>
      <c r="E358" t="s">
        <v>124</v>
      </c>
    </row>
    <row r="359" hidden="1" spans="1:5">
      <c r="A359" t="s">
        <v>438</v>
      </c>
      <c r="B359" t="s">
        <v>438</v>
      </c>
      <c r="C359" t="s">
        <v>265</v>
      </c>
      <c r="D359"/>
      <c r="E359" t="s">
        <v>124</v>
      </c>
    </row>
    <row r="360" hidden="1" spans="1:5">
      <c r="A360" t="s">
        <v>1155</v>
      </c>
      <c r="B360" t="s">
        <v>1156</v>
      </c>
      <c r="C360" t="s">
        <v>265</v>
      </c>
      <c r="D360"/>
      <c r="E360" t="s">
        <v>124</v>
      </c>
    </row>
    <row r="361" hidden="1" spans="1:5">
      <c r="A361" t="s">
        <v>1175</v>
      </c>
      <c r="B361" t="s">
        <v>1176</v>
      </c>
      <c r="C361" t="s">
        <v>265</v>
      </c>
      <c r="D361"/>
      <c r="E361" t="s">
        <v>124</v>
      </c>
    </row>
    <row r="362" hidden="1" spans="1:5">
      <c r="A362" t="s">
        <v>1177</v>
      </c>
      <c r="B362" t="s">
        <v>1178</v>
      </c>
      <c r="C362" t="s">
        <v>265</v>
      </c>
      <c r="D362"/>
      <c r="E362" t="s">
        <v>124</v>
      </c>
    </row>
    <row r="363" hidden="1" spans="1:5">
      <c r="A363" t="s">
        <v>434</v>
      </c>
      <c r="B363" t="s">
        <v>434</v>
      </c>
      <c r="C363" t="s">
        <v>265</v>
      </c>
      <c r="D363"/>
      <c r="E363" t="s">
        <v>124</v>
      </c>
    </row>
    <row r="364" hidden="1" spans="1:5">
      <c r="A364" t="s">
        <v>1763</v>
      </c>
      <c r="B364" t="s">
        <v>1763</v>
      </c>
      <c r="C364" t="s">
        <v>1732</v>
      </c>
      <c r="D364"/>
      <c r="E364" t="s">
        <v>124</v>
      </c>
    </row>
    <row r="365" hidden="1" spans="1:5">
      <c r="A365" t="s">
        <v>1767</v>
      </c>
      <c r="B365" t="s">
        <v>1767</v>
      </c>
      <c r="C365" t="s">
        <v>1732</v>
      </c>
      <c r="D365"/>
      <c r="E365" t="s">
        <v>124</v>
      </c>
    </row>
    <row r="366" hidden="1" spans="1:5">
      <c r="A366" t="s">
        <v>502</v>
      </c>
      <c r="B366" t="s">
        <v>502</v>
      </c>
      <c r="C366" t="s">
        <v>1732</v>
      </c>
      <c r="D366"/>
      <c r="E366" t="s">
        <v>124</v>
      </c>
    </row>
    <row r="367" hidden="1" spans="1:5">
      <c r="A367" t="s">
        <v>388</v>
      </c>
      <c r="B367" t="s">
        <v>388</v>
      </c>
      <c r="C367" t="s">
        <v>1732</v>
      </c>
      <c r="D367"/>
      <c r="E367" t="s">
        <v>124</v>
      </c>
    </row>
    <row r="368" hidden="1" spans="1:5">
      <c r="A368" t="s">
        <v>1769</v>
      </c>
      <c r="B368" t="s">
        <v>1769</v>
      </c>
      <c r="C368" t="s">
        <v>1732</v>
      </c>
      <c r="D368"/>
      <c r="E368" t="s">
        <v>124</v>
      </c>
    </row>
    <row r="369" hidden="1" spans="1:5">
      <c r="A369" t="s">
        <v>1771</v>
      </c>
      <c r="B369" t="s">
        <v>1771</v>
      </c>
      <c r="C369" t="s">
        <v>1732</v>
      </c>
      <c r="D369"/>
      <c r="E369" t="s">
        <v>329</v>
      </c>
    </row>
    <row r="370" hidden="1" spans="1:5">
      <c r="A370" t="s">
        <v>1773</v>
      </c>
      <c r="B370" t="s">
        <v>1773</v>
      </c>
      <c r="C370" t="s">
        <v>1732</v>
      </c>
      <c r="D370"/>
      <c r="E370" t="s">
        <v>622</v>
      </c>
    </row>
    <row r="371" hidden="1" spans="1:5">
      <c r="A371" t="s">
        <v>2018</v>
      </c>
      <c r="B371" t="s">
        <v>2018</v>
      </c>
      <c r="C371" t="s">
        <v>1732</v>
      </c>
      <c r="D371"/>
      <c r="E371" t="s">
        <v>124</v>
      </c>
    </row>
    <row r="372" hidden="1" spans="1:5">
      <c r="A372" t="s">
        <v>2071</v>
      </c>
      <c r="B372" t="s">
        <v>2071</v>
      </c>
      <c r="C372" t="s">
        <v>1732</v>
      </c>
      <c r="D372"/>
      <c r="E372" t="s">
        <v>124</v>
      </c>
    </row>
    <row r="373" hidden="1" spans="1:5">
      <c r="A373" t="s">
        <v>1890</v>
      </c>
      <c r="B373" t="s">
        <v>1890</v>
      </c>
      <c r="C373" t="s">
        <v>1732</v>
      </c>
      <c r="D373"/>
      <c r="E373" t="s">
        <v>124</v>
      </c>
    </row>
    <row r="374" hidden="1" spans="1:5">
      <c r="A374" t="s">
        <v>1891</v>
      </c>
      <c r="B374" t="s">
        <v>1891</v>
      </c>
      <c r="C374" t="s">
        <v>1732</v>
      </c>
      <c r="D374"/>
      <c r="E374" t="s">
        <v>124</v>
      </c>
    </row>
    <row r="375" hidden="1" spans="1:5">
      <c r="A375" t="s">
        <v>1892</v>
      </c>
      <c r="B375" t="s">
        <v>1892</v>
      </c>
      <c r="C375" t="s">
        <v>1732</v>
      </c>
      <c r="D375"/>
      <c r="E375" t="s">
        <v>124</v>
      </c>
    </row>
    <row r="376" hidden="1" spans="1:5">
      <c r="A376" t="s">
        <v>1893</v>
      </c>
      <c r="B376" t="s">
        <v>1893</v>
      </c>
      <c r="C376" t="s">
        <v>1732</v>
      </c>
      <c r="D376"/>
      <c r="E376" t="s">
        <v>124</v>
      </c>
    </row>
    <row r="377" hidden="1" spans="1:5">
      <c r="A377" s="8">
        <f>A278+1</f>
        <v>27</v>
      </c>
      <c r="B377" s="7" t="s">
        <v>452</v>
      </c>
    </row>
    <row r="378" hidden="1" spans="1:5">
      <c r="A378" t="s">
        <v>1625</v>
      </c>
      <c r="B378" t="s">
        <v>1625</v>
      </c>
      <c r="C378" t="s">
        <v>1624</v>
      </c>
      <c r="D378" s="72"/>
      <c r="E378" t="s">
        <v>124</v>
      </c>
    </row>
    <row r="379" hidden="1" spans="1:5">
      <c r="A379" t="s">
        <v>507</v>
      </c>
      <c r="B379" t="s">
        <v>507</v>
      </c>
      <c r="C379" t="s">
        <v>1624</v>
      </c>
      <c r="D379" s="72"/>
      <c r="E379" t="s">
        <v>124</v>
      </c>
    </row>
    <row r="380" hidden="1" spans="1:5">
      <c r="A380" t="s">
        <v>1626</v>
      </c>
      <c r="B380" t="s">
        <v>1626</v>
      </c>
      <c r="C380" t="s">
        <v>1624</v>
      </c>
      <c r="D380" s="72"/>
      <c r="E380" t="s">
        <v>124</v>
      </c>
    </row>
    <row r="381" hidden="1" spans="1:5">
      <c r="A381" t="s">
        <v>1627</v>
      </c>
      <c r="B381" t="s">
        <v>1628</v>
      </c>
      <c r="C381" t="s">
        <v>1624</v>
      </c>
      <c r="D381" s="72"/>
      <c r="E381" t="s">
        <v>124</v>
      </c>
    </row>
    <row r="382" hidden="1" spans="1:5">
      <c r="A382" t="s">
        <v>1629</v>
      </c>
      <c r="B382" t="s">
        <v>1630</v>
      </c>
      <c r="C382" t="s">
        <v>1624</v>
      </c>
      <c r="D382" s="72"/>
      <c r="E382" t="s">
        <v>124</v>
      </c>
    </row>
    <row r="383" hidden="1" spans="1:5">
      <c r="A383" t="s">
        <v>1631</v>
      </c>
      <c r="B383" t="s">
        <v>1631</v>
      </c>
      <c r="C383" t="s">
        <v>1624</v>
      </c>
      <c r="D383" s="72"/>
      <c r="E383" t="s">
        <v>124</v>
      </c>
    </row>
    <row r="384" hidden="1" spans="1:5">
      <c r="A384" t="s">
        <v>1632</v>
      </c>
      <c r="B384" t="s">
        <v>1632</v>
      </c>
      <c r="C384" t="s">
        <v>1624</v>
      </c>
      <c r="D384" s="72"/>
      <c r="E384" t="s">
        <v>124</v>
      </c>
    </row>
    <row r="385" hidden="1" spans="1:5">
      <c r="A385" t="s">
        <v>1633</v>
      </c>
      <c r="B385" t="s">
        <v>1633</v>
      </c>
      <c r="C385" t="s">
        <v>1624</v>
      </c>
      <c r="D385" s="72"/>
      <c r="E385" t="s">
        <v>124</v>
      </c>
    </row>
    <row r="386" hidden="1" spans="1:5">
      <c r="A386" t="s">
        <v>1634</v>
      </c>
      <c r="B386" t="s">
        <v>1634</v>
      </c>
      <c r="C386" t="s">
        <v>1624</v>
      </c>
      <c r="D386" s="72"/>
      <c r="E386" t="s">
        <v>124</v>
      </c>
    </row>
    <row r="387" hidden="1" spans="1:5">
      <c r="A387" t="s">
        <v>1635</v>
      </c>
      <c r="B387" t="s">
        <v>1635</v>
      </c>
      <c r="C387" t="s">
        <v>1624</v>
      </c>
      <c r="D387" s="72"/>
      <c r="E387" t="s">
        <v>124</v>
      </c>
    </row>
    <row r="388" hidden="1" spans="1:5">
      <c r="A388" t="s">
        <v>1636</v>
      </c>
      <c r="B388" t="s">
        <v>1636</v>
      </c>
      <c r="C388" t="s">
        <v>1624</v>
      </c>
      <c r="D388" s="72"/>
      <c r="E388" t="s">
        <v>124</v>
      </c>
    </row>
    <row r="389" hidden="1" spans="1:5">
      <c r="A389" t="s">
        <v>1637</v>
      </c>
      <c r="B389" t="s">
        <v>1637</v>
      </c>
      <c r="C389" t="s">
        <v>1624</v>
      </c>
      <c r="D389" s="72"/>
      <c r="E389" t="s">
        <v>124</v>
      </c>
    </row>
    <row r="390" hidden="1" spans="1:5">
      <c r="A390" t="s">
        <v>1638</v>
      </c>
      <c r="B390" t="s">
        <v>1639</v>
      </c>
      <c r="C390" t="s">
        <v>1624</v>
      </c>
      <c r="D390" s="72"/>
      <c r="E390" t="s">
        <v>124</v>
      </c>
    </row>
    <row r="391" hidden="1" spans="1:5">
      <c r="A391" t="s">
        <v>1640</v>
      </c>
      <c r="B391" t="s">
        <v>1640</v>
      </c>
      <c r="C391" t="s">
        <v>1624</v>
      </c>
      <c r="D391" s="72"/>
      <c r="E391" t="s">
        <v>124</v>
      </c>
    </row>
    <row r="392" hidden="1" spans="1:5">
      <c r="A392" t="s">
        <v>1641</v>
      </c>
      <c r="B392" t="s">
        <v>1642</v>
      </c>
      <c r="C392" t="s">
        <v>1624</v>
      </c>
      <c r="D392" s="72"/>
      <c r="E392" t="s">
        <v>124</v>
      </c>
    </row>
    <row r="393" hidden="1" spans="1:5">
      <c r="A393" t="s">
        <v>1643</v>
      </c>
      <c r="B393" t="s">
        <v>1643</v>
      </c>
      <c r="C393" t="s">
        <v>1624</v>
      </c>
      <c r="D393" s="72"/>
      <c r="E393" t="s">
        <v>124</v>
      </c>
    </row>
    <row r="394" hidden="1" spans="1:5">
      <c r="A394" t="s">
        <v>1644</v>
      </c>
      <c r="B394" t="s">
        <v>1645</v>
      </c>
      <c r="C394" t="s">
        <v>1624</v>
      </c>
      <c r="D394" s="72"/>
      <c r="E394" t="s">
        <v>124</v>
      </c>
    </row>
    <row r="395" hidden="1" spans="1:5">
      <c r="A395" t="s">
        <v>1646</v>
      </c>
      <c r="B395" t="s">
        <v>383</v>
      </c>
      <c r="C395" t="s">
        <v>1624</v>
      </c>
      <c r="D395" s="72"/>
      <c r="E395" t="s">
        <v>124</v>
      </c>
    </row>
    <row r="396" hidden="1" spans="1:5">
      <c r="A396" t="s">
        <v>1647</v>
      </c>
      <c r="B396" t="s">
        <v>1647</v>
      </c>
      <c r="C396" t="s">
        <v>1624</v>
      </c>
      <c r="D396" s="72"/>
      <c r="E396" t="s">
        <v>124</v>
      </c>
    </row>
    <row r="397" hidden="1" spans="1:5">
      <c r="A397" t="s">
        <v>1648</v>
      </c>
      <c r="B397" t="s">
        <v>1648</v>
      </c>
      <c r="C397" t="s">
        <v>1624</v>
      </c>
      <c r="D397" s="72"/>
      <c r="E397" t="s">
        <v>124</v>
      </c>
    </row>
    <row r="398" hidden="1" spans="1:5">
      <c r="A398" t="s">
        <v>471</v>
      </c>
      <c r="B398" t="s">
        <v>471</v>
      </c>
      <c r="C398" t="s">
        <v>1624</v>
      </c>
      <c r="D398" s="72"/>
      <c r="E398" t="s">
        <v>124</v>
      </c>
    </row>
    <row r="399" hidden="1" spans="1:5">
      <c r="A399" t="s">
        <v>1649</v>
      </c>
      <c r="B399" t="s">
        <v>463</v>
      </c>
      <c r="C399" t="s">
        <v>1624</v>
      </c>
      <c r="D399" s="72"/>
      <c r="E399" t="s">
        <v>124</v>
      </c>
    </row>
    <row r="400" hidden="1" spans="1:5">
      <c r="A400" t="s">
        <v>1650</v>
      </c>
      <c r="B400" t="s">
        <v>1650</v>
      </c>
      <c r="C400" t="s">
        <v>1624</v>
      </c>
      <c r="D400" s="72"/>
      <c r="E400" t="s">
        <v>124</v>
      </c>
    </row>
    <row r="401" hidden="1" spans="1:5">
      <c r="A401" t="s">
        <v>1651</v>
      </c>
      <c r="B401" t="s">
        <v>1651</v>
      </c>
      <c r="C401" t="s">
        <v>1624</v>
      </c>
      <c r="D401" s="72"/>
      <c r="E401" t="s">
        <v>124</v>
      </c>
    </row>
    <row r="402" hidden="1" spans="1:5">
      <c r="A402" t="s">
        <v>1652</v>
      </c>
      <c r="B402" t="s">
        <v>1653</v>
      </c>
      <c r="C402" t="s">
        <v>1624</v>
      </c>
      <c r="D402" s="72"/>
      <c r="E402" t="s">
        <v>124</v>
      </c>
    </row>
    <row r="403" hidden="1" spans="1:5">
      <c r="A403" t="s">
        <v>1654</v>
      </c>
      <c r="B403" t="s">
        <v>482</v>
      </c>
      <c r="C403" t="s">
        <v>1624</v>
      </c>
      <c r="D403" s="72"/>
      <c r="E403" t="s">
        <v>124</v>
      </c>
    </row>
    <row r="404" hidden="1" spans="1:5">
      <c r="A404" t="s">
        <v>1655</v>
      </c>
      <c r="B404" t="s">
        <v>484</v>
      </c>
      <c r="C404" t="s">
        <v>1624</v>
      </c>
      <c r="D404" s="72"/>
      <c r="E404" t="s">
        <v>124</v>
      </c>
    </row>
    <row r="405" hidden="1" spans="1:5">
      <c r="A405" t="s">
        <v>1656</v>
      </c>
      <c r="B405" t="s">
        <v>1657</v>
      </c>
      <c r="C405" t="s">
        <v>1624</v>
      </c>
      <c r="D405" s="72"/>
      <c r="E405" t="s">
        <v>124</v>
      </c>
    </row>
    <row r="406" hidden="1" spans="1:5">
      <c r="A406" t="s">
        <v>1658</v>
      </c>
      <c r="B406" t="s">
        <v>1658</v>
      </c>
      <c r="C406" t="s">
        <v>1624</v>
      </c>
      <c r="D406" s="72"/>
      <c r="E406" t="s">
        <v>124</v>
      </c>
    </row>
    <row r="407" hidden="1" spans="1:5">
      <c r="A407" t="s">
        <v>1659</v>
      </c>
      <c r="B407" t="s">
        <v>1659</v>
      </c>
      <c r="C407" t="s">
        <v>1624</v>
      </c>
      <c r="D407" s="72"/>
      <c r="E407" t="s">
        <v>124</v>
      </c>
    </row>
    <row r="408" hidden="1" spans="1:5">
      <c r="A408" t="s">
        <v>468</v>
      </c>
      <c r="B408" t="s">
        <v>468</v>
      </c>
      <c r="C408" t="s">
        <v>1624</v>
      </c>
      <c r="D408" s="72"/>
      <c r="E408" t="s">
        <v>124</v>
      </c>
    </row>
    <row r="409" hidden="1" spans="1:5">
      <c r="A409" t="s">
        <v>511</v>
      </c>
      <c r="B409" t="s">
        <v>511</v>
      </c>
      <c r="C409" t="s">
        <v>1624</v>
      </c>
      <c r="D409" s="72"/>
      <c r="E409" t="s">
        <v>124</v>
      </c>
    </row>
    <row r="410" hidden="1" spans="1:5">
      <c r="A410" t="s">
        <v>1660</v>
      </c>
      <c r="B410" t="s">
        <v>474</v>
      </c>
      <c r="C410" t="s">
        <v>1624</v>
      </c>
      <c r="D410" s="72"/>
      <c r="E410" t="s">
        <v>124</v>
      </c>
    </row>
    <row r="411" hidden="1" spans="1:5">
      <c r="A411" t="s">
        <v>514</v>
      </c>
      <c r="B411" t="s">
        <v>514</v>
      </c>
      <c r="C411" t="s">
        <v>1624</v>
      </c>
      <c r="D411" s="72"/>
      <c r="E411" t="s">
        <v>124</v>
      </c>
    </row>
    <row r="412" hidden="1" spans="1:5">
      <c r="A412" t="s">
        <v>464</v>
      </c>
      <c r="B412" t="s">
        <v>464</v>
      </c>
      <c r="C412" t="s">
        <v>1624</v>
      </c>
      <c r="D412" s="72"/>
      <c r="E412" t="s">
        <v>124</v>
      </c>
    </row>
    <row r="413" hidden="1" spans="1:5">
      <c r="A413" t="s">
        <v>1661</v>
      </c>
      <c r="B413" t="s">
        <v>684</v>
      </c>
      <c r="C413" t="s">
        <v>1624</v>
      </c>
      <c r="D413" s="72"/>
      <c r="E413" t="s">
        <v>124</v>
      </c>
    </row>
    <row r="414" hidden="1" spans="1:5">
      <c r="A414" t="s">
        <v>1662</v>
      </c>
      <c r="B414" t="s">
        <v>466</v>
      </c>
      <c r="C414" t="s">
        <v>1624</v>
      </c>
      <c r="D414" s="72"/>
      <c r="E414" t="s">
        <v>399</v>
      </c>
    </row>
    <row r="415" hidden="1" spans="1:5">
      <c r="A415" t="s">
        <v>1663</v>
      </c>
      <c r="B415" t="s">
        <v>465</v>
      </c>
      <c r="C415" t="s">
        <v>1624</v>
      </c>
      <c r="D415" s="72"/>
      <c r="E415" t="s">
        <v>124</v>
      </c>
    </row>
    <row r="416" hidden="1" spans="1:5">
      <c r="A416" t="s">
        <v>1664</v>
      </c>
      <c r="B416" t="s">
        <v>1664</v>
      </c>
      <c r="C416" t="s">
        <v>1624</v>
      </c>
      <c r="D416" s="72"/>
      <c r="E416" t="s">
        <v>124</v>
      </c>
    </row>
    <row r="417" hidden="1" spans="1:5">
      <c r="A417" t="s">
        <v>481</v>
      </c>
      <c r="B417" t="s">
        <v>481</v>
      </c>
      <c r="C417" t="s">
        <v>1624</v>
      </c>
      <c r="D417" s="72"/>
      <c r="E417" t="s">
        <v>124</v>
      </c>
    </row>
    <row r="418" hidden="1" spans="1:5">
      <c r="A418" t="s">
        <v>480</v>
      </c>
      <c r="B418" t="s">
        <v>480</v>
      </c>
      <c r="C418" t="s">
        <v>1624</v>
      </c>
      <c r="D418" s="72"/>
      <c r="E418" t="s">
        <v>124</v>
      </c>
    </row>
    <row r="419" hidden="1" spans="1:5">
      <c r="A419" t="s">
        <v>1665</v>
      </c>
      <c r="B419" t="s">
        <v>1666</v>
      </c>
      <c r="C419" t="s">
        <v>1624</v>
      </c>
      <c r="D419" s="72"/>
      <c r="E419" t="s">
        <v>124</v>
      </c>
    </row>
    <row r="420" hidden="1" spans="1:5">
      <c r="A420" t="s">
        <v>512</v>
      </c>
      <c r="B420" t="s">
        <v>512</v>
      </c>
      <c r="C420" t="s">
        <v>1624</v>
      </c>
      <c r="D420" s="72"/>
      <c r="E420" t="s">
        <v>124</v>
      </c>
    </row>
    <row r="421" hidden="1" spans="1:5">
      <c r="A421" t="s">
        <v>508</v>
      </c>
      <c r="B421" t="s">
        <v>508</v>
      </c>
      <c r="C421" t="s">
        <v>1624</v>
      </c>
      <c r="D421" s="72"/>
      <c r="E421" t="s">
        <v>124</v>
      </c>
    </row>
    <row r="422" hidden="1" spans="1:5">
      <c r="A422" t="s">
        <v>1667</v>
      </c>
      <c r="B422" t="s">
        <v>1667</v>
      </c>
      <c r="C422" t="s">
        <v>1624</v>
      </c>
      <c r="D422" s="72"/>
      <c r="E422" t="s">
        <v>124</v>
      </c>
    </row>
    <row r="423" hidden="1" spans="1:5">
      <c r="A423" t="s">
        <v>1668</v>
      </c>
      <c r="B423" t="s">
        <v>1668</v>
      </c>
      <c r="C423" t="s">
        <v>1624</v>
      </c>
      <c r="D423" s="72"/>
      <c r="E423" t="s">
        <v>124</v>
      </c>
    </row>
    <row r="424" hidden="1" spans="1:5">
      <c r="A424" t="s">
        <v>505</v>
      </c>
      <c r="B424" t="s">
        <v>505</v>
      </c>
      <c r="C424" t="s">
        <v>1624</v>
      </c>
      <c r="D424" s="72"/>
      <c r="E424" t="s">
        <v>124</v>
      </c>
    </row>
    <row r="425" hidden="1" spans="1:5">
      <c r="A425" t="s">
        <v>1669</v>
      </c>
      <c r="B425" t="s">
        <v>479</v>
      </c>
      <c r="C425" t="s">
        <v>1624</v>
      </c>
      <c r="D425" s="72"/>
      <c r="E425" t="s">
        <v>124</v>
      </c>
    </row>
    <row r="426" hidden="1" spans="1:5">
      <c r="A426" t="s">
        <v>1670</v>
      </c>
      <c r="B426" t="s">
        <v>1670</v>
      </c>
      <c r="C426" t="s">
        <v>1624</v>
      </c>
      <c r="D426" s="72"/>
      <c r="E426" t="s">
        <v>124</v>
      </c>
    </row>
    <row r="427" hidden="1" spans="1:5">
      <c r="A427" t="s">
        <v>1671</v>
      </c>
      <c r="B427" t="s">
        <v>473</v>
      </c>
      <c r="C427" t="s">
        <v>1624</v>
      </c>
      <c r="D427" s="72"/>
      <c r="E427" t="s">
        <v>124</v>
      </c>
    </row>
    <row r="428" hidden="1" spans="1:5">
      <c r="A428" t="s">
        <v>506</v>
      </c>
      <c r="B428" t="s">
        <v>506</v>
      </c>
      <c r="C428" t="s">
        <v>1624</v>
      </c>
      <c r="D428" s="72"/>
      <c r="E428" t="s">
        <v>124</v>
      </c>
    </row>
    <row r="429" hidden="1" spans="1:5">
      <c r="A429" t="s">
        <v>472</v>
      </c>
      <c r="B429" t="s">
        <v>472</v>
      </c>
      <c r="C429" t="s">
        <v>1624</v>
      </c>
      <c r="D429" s="72"/>
      <c r="E429" t="s">
        <v>124</v>
      </c>
    </row>
    <row r="430" hidden="1" spans="1:5">
      <c r="A430" t="s">
        <v>1672</v>
      </c>
      <c r="B430" t="s">
        <v>496</v>
      </c>
      <c r="C430" t="s">
        <v>1624</v>
      </c>
      <c r="D430" s="72"/>
      <c r="E430" t="s">
        <v>124</v>
      </c>
    </row>
    <row r="431" hidden="1" spans="1:5">
      <c r="A431" t="s">
        <v>1673</v>
      </c>
      <c r="B431" t="s">
        <v>513</v>
      </c>
      <c r="C431" t="s">
        <v>1624</v>
      </c>
      <c r="D431" s="72"/>
      <c r="E431" t="s">
        <v>124</v>
      </c>
    </row>
    <row r="432" hidden="1" spans="1:5">
      <c r="A432" t="s">
        <v>504</v>
      </c>
      <c r="B432" t="s">
        <v>504</v>
      </c>
      <c r="C432" t="s">
        <v>1624</v>
      </c>
      <c r="D432" s="72"/>
      <c r="E432" t="s">
        <v>124</v>
      </c>
    </row>
    <row r="433" hidden="1" spans="1:5">
      <c r="A433" t="s">
        <v>510</v>
      </c>
      <c r="B433" t="s">
        <v>510</v>
      </c>
      <c r="C433" t="s">
        <v>1624</v>
      </c>
      <c r="D433" s="72"/>
      <c r="E433" t="s">
        <v>124</v>
      </c>
    </row>
    <row r="434" hidden="1" spans="1:5">
      <c r="A434" t="s">
        <v>1674</v>
      </c>
      <c r="B434" t="s">
        <v>470</v>
      </c>
      <c r="C434" t="s">
        <v>1624</v>
      </c>
      <c r="D434" s="72"/>
      <c r="E434" t="s">
        <v>124</v>
      </c>
    </row>
    <row r="435" hidden="1" spans="1:5">
      <c r="A435" t="s">
        <v>469</v>
      </c>
      <c r="B435" t="s">
        <v>469</v>
      </c>
      <c r="C435" t="s">
        <v>1624</v>
      </c>
      <c r="D435" s="72"/>
      <c r="E435" t="s">
        <v>124</v>
      </c>
    </row>
    <row r="436" hidden="1" spans="1:5">
      <c r="A436" t="s">
        <v>1675</v>
      </c>
      <c r="B436" t="s">
        <v>467</v>
      </c>
      <c r="C436" t="s">
        <v>1624</v>
      </c>
      <c r="D436" s="72"/>
      <c r="E436" t="s">
        <v>124</v>
      </c>
    </row>
    <row r="437" hidden="1" spans="1:5">
      <c r="A437" t="s">
        <v>1676</v>
      </c>
      <c r="B437" t="s">
        <v>494</v>
      </c>
      <c r="C437" t="s">
        <v>1624</v>
      </c>
      <c r="D437" s="72"/>
      <c r="E437" t="s">
        <v>124</v>
      </c>
    </row>
    <row r="438" hidden="1" spans="1:5">
      <c r="A438" t="s">
        <v>1677</v>
      </c>
      <c r="B438" t="s">
        <v>483</v>
      </c>
      <c r="C438" t="s">
        <v>1624</v>
      </c>
      <c r="D438" s="72"/>
      <c r="E438" t="s">
        <v>124</v>
      </c>
    </row>
    <row r="439" hidden="1" spans="1:5">
      <c r="A439" t="s">
        <v>1678</v>
      </c>
      <c r="B439" t="s">
        <v>1678</v>
      </c>
      <c r="C439" t="s">
        <v>1624</v>
      </c>
      <c r="D439" s="72"/>
      <c r="E439" t="s">
        <v>124</v>
      </c>
    </row>
    <row r="440" hidden="1" spans="1:5">
      <c r="A440" t="s">
        <v>477</v>
      </c>
      <c r="B440" t="s">
        <v>477</v>
      </c>
      <c r="C440" t="s">
        <v>1624</v>
      </c>
      <c r="D440" s="72"/>
      <c r="E440" t="s">
        <v>124</v>
      </c>
    </row>
    <row r="441" hidden="1" spans="1:5">
      <c r="A441" t="s">
        <v>478</v>
      </c>
      <c r="B441" t="s">
        <v>478</v>
      </c>
      <c r="C441" t="s">
        <v>1624</v>
      </c>
      <c r="D441" s="72"/>
      <c r="E441" t="s">
        <v>124</v>
      </c>
    </row>
    <row r="442" hidden="1" spans="1:5">
      <c r="A442" t="s">
        <v>1679</v>
      </c>
      <c r="B442" t="s">
        <v>1680</v>
      </c>
      <c r="C442" t="s">
        <v>1624</v>
      </c>
      <c r="D442" s="72"/>
      <c r="E442" t="s">
        <v>124</v>
      </c>
    </row>
    <row r="443" hidden="1" spans="1:5">
      <c r="A443" t="s">
        <v>1681</v>
      </c>
      <c r="B443" t="s">
        <v>485</v>
      </c>
      <c r="C443" t="s">
        <v>1624</v>
      </c>
      <c r="D443" s="72"/>
      <c r="E443" t="s">
        <v>124</v>
      </c>
    </row>
    <row r="444" hidden="1" spans="1:5">
      <c r="A444" t="s">
        <v>1682</v>
      </c>
      <c r="B444" t="s">
        <v>509</v>
      </c>
      <c r="C444" t="s">
        <v>1624</v>
      </c>
      <c r="D444" s="72"/>
      <c r="E444" t="s">
        <v>124</v>
      </c>
    </row>
    <row r="445" hidden="1" spans="1:5">
      <c r="A445" t="s">
        <v>1683</v>
      </c>
      <c r="B445" t="s">
        <v>476</v>
      </c>
      <c r="C445" t="s">
        <v>1624</v>
      </c>
      <c r="D445" s="72"/>
      <c r="E445" t="s">
        <v>124</v>
      </c>
    </row>
    <row r="446" hidden="1" spans="1:5">
      <c r="A446" t="s">
        <v>487</v>
      </c>
      <c r="B446" t="s">
        <v>487</v>
      </c>
      <c r="C446" t="s">
        <v>1624</v>
      </c>
      <c r="D446" s="72"/>
      <c r="E446" t="s">
        <v>124</v>
      </c>
    </row>
    <row r="447" hidden="1" spans="1:5">
      <c r="A447" t="s">
        <v>488</v>
      </c>
      <c r="B447" t="s">
        <v>488</v>
      </c>
      <c r="C447" t="s">
        <v>1624</v>
      </c>
      <c r="D447" s="72"/>
      <c r="E447" t="s">
        <v>124</v>
      </c>
    </row>
    <row r="448" hidden="1" spans="1:5">
      <c r="A448" t="s">
        <v>490</v>
      </c>
      <c r="B448" t="s">
        <v>490</v>
      </c>
      <c r="C448" t="s">
        <v>1624</v>
      </c>
      <c r="D448" s="72"/>
      <c r="E448" t="s">
        <v>124</v>
      </c>
    </row>
    <row r="449" hidden="1" spans="1:5">
      <c r="A449" t="s">
        <v>1684</v>
      </c>
      <c r="B449" t="s">
        <v>503</v>
      </c>
      <c r="C449" t="s">
        <v>1624</v>
      </c>
      <c r="D449" s="72"/>
      <c r="E449" t="s">
        <v>124</v>
      </c>
    </row>
    <row r="450" hidden="1" spans="1:5">
      <c r="A450" t="s">
        <v>491</v>
      </c>
      <c r="B450" t="s">
        <v>491</v>
      </c>
      <c r="C450" t="s">
        <v>1624</v>
      </c>
      <c r="D450" s="72"/>
      <c r="E450" t="s">
        <v>124</v>
      </c>
    </row>
    <row r="451" hidden="1" spans="1:5">
      <c r="A451" t="s">
        <v>492</v>
      </c>
      <c r="B451" t="s">
        <v>492</v>
      </c>
      <c r="C451" t="s">
        <v>1624</v>
      </c>
      <c r="D451" s="72"/>
      <c r="E451" t="s">
        <v>124</v>
      </c>
    </row>
    <row r="452" hidden="1" spans="1:5">
      <c r="A452" t="s">
        <v>1733</v>
      </c>
      <c r="B452" t="s">
        <v>1733</v>
      </c>
      <c r="C452" t="s">
        <v>1732</v>
      </c>
      <c r="D452"/>
      <c r="E452" t="s">
        <v>124</v>
      </c>
    </row>
    <row r="453" hidden="1" spans="1:5">
      <c r="A453" t="s">
        <v>1734</v>
      </c>
      <c r="B453" t="s">
        <v>1734</v>
      </c>
      <c r="C453" t="s">
        <v>1732</v>
      </c>
      <c r="D453"/>
      <c r="E453" t="s">
        <v>124</v>
      </c>
    </row>
    <row r="454" hidden="1" spans="1:5">
      <c r="A454" t="s">
        <v>1735</v>
      </c>
      <c r="B454" t="s">
        <v>1735</v>
      </c>
      <c r="C454" t="s">
        <v>1732</v>
      </c>
      <c r="D454"/>
      <c r="E454" t="s">
        <v>124</v>
      </c>
    </row>
    <row r="455" hidden="1" spans="1:5">
      <c r="A455" t="s">
        <v>1736</v>
      </c>
      <c r="B455" t="s">
        <v>1736</v>
      </c>
      <c r="C455" t="s">
        <v>1732</v>
      </c>
      <c r="D455"/>
      <c r="E455" t="s">
        <v>124</v>
      </c>
    </row>
    <row r="456" hidden="1" spans="1:5">
      <c r="A456" t="s">
        <v>1737</v>
      </c>
      <c r="B456" t="s">
        <v>1737</v>
      </c>
      <c r="C456" t="s">
        <v>1732</v>
      </c>
      <c r="D456"/>
      <c r="E456" t="s">
        <v>124</v>
      </c>
    </row>
    <row r="457" hidden="1" spans="1:5">
      <c r="A457" t="s">
        <v>1738</v>
      </c>
      <c r="B457" t="s">
        <v>1738</v>
      </c>
      <c r="C457" t="s">
        <v>1732</v>
      </c>
      <c r="D457"/>
      <c r="E457" t="s">
        <v>124</v>
      </c>
    </row>
    <row r="458" hidden="1" spans="1:5">
      <c r="A458" t="s">
        <v>1739</v>
      </c>
      <c r="B458" t="s">
        <v>1739</v>
      </c>
      <c r="C458" t="s">
        <v>1732</v>
      </c>
      <c r="D458"/>
      <c r="E458" t="s">
        <v>124</v>
      </c>
    </row>
    <row r="459" hidden="1" spans="1:5">
      <c r="A459" t="s">
        <v>1740</v>
      </c>
      <c r="B459" t="s">
        <v>1740</v>
      </c>
      <c r="C459" t="s">
        <v>1732</v>
      </c>
      <c r="D459"/>
      <c r="E459" t="s">
        <v>124</v>
      </c>
    </row>
    <row r="460" hidden="1" spans="1:5">
      <c r="A460" t="s">
        <v>1741</v>
      </c>
      <c r="B460" t="s">
        <v>1741</v>
      </c>
      <c r="C460" t="s">
        <v>1732</v>
      </c>
      <c r="D460"/>
      <c r="E460" t="s">
        <v>124</v>
      </c>
    </row>
    <row r="461" hidden="1" spans="1:5">
      <c r="A461" t="s">
        <v>1742</v>
      </c>
      <c r="B461" t="s">
        <v>1742</v>
      </c>
      <c r="C461" t="s">
        <v>1732</v>
      </c>
      <c r="D461"/>
      <c r="E461" t="s">
        <v>124</v>
      </c>
    </row>
    <row r="462" hidden="1" spans="1:5">
      <c r="A462" t="s">
        <v>1743</v>
      </c>
      <c r="B462" t="s">
        <v>1743</v>
      </c>
      <c r="C462" t="s">
        <v>1732</v>
      </c>
      <c r="D462"/>
      <c r="E462" t="s">
        <v>124</v>
      </c>
    </row>
    <row r="463" hidden="1" spans="1:5">
      <c r="A463" t="s">
        <v>1744</v>
      </c>
      <c r="B463" t="s">
        <v>1744</v>
      </c>
      <c r="C463" t="s">
        <v>1732</v>
      </c>
      <c r="D463"/>
      <c r="E463" t="s">
        <v>124</v>
      </c>
    </row>
    <row r="464" hidden="1" spans="1:5">
      <c r="A464" t="s">
        <v>1745</v>
      </c>
      <c r="B464" t="s">
        <v>1745</v>
      </c>
      <c r="C464" t="s">
        <v>1732</v>
      </c>
      <c r="D464"/>
      <c r="E464" t="s">
        <v>524</v>
      </c>
    </row>
    <row r="465" hidden="1" spans="1:5">
      <c r="A465" t="s">
        <v>1747</v>
      </c>
      <c r="B465" t="s">
        <v>1747</v>
      </c>
      <c r="C465" t="s">
        <v>1732</v>
      </c>
      <c r="D465"/>
      <c r="E465" t="s">
        <v>124</v>
      </c>
    </row>
    <row r="466" hidden="1" spans="1:5">
      <c r="A466" t="s">
        <v>389</v>
      </c>
      <c r="B466" t="s">
        <v>389</v>
      </c>
      <c r="C466" t="s">
        <v>1732</v>
      </c>
      <c r="D466"/>
      <c r="E466" t="s">
        <v>124</v>
      </c>
    </row>
    <row r="467" hidden="1" spans="1:5">
      <c r="A467" t="s">
        <v>1748</v>
      </c>
      <c r="B467" t="s">
        <v>1748</v>
      </c>
      <c r="C467" t="s">
        <v>1732</v>
      </c>
      <c r="D467"/>
      <c r="E467" t="s">
        <v>124</v>
      </c>
    </row>
    <row r="468" hidden="1" spans="1:5">
      <c r="A468" t="s">
        <v>1749</v>
      </c>
      <c r="B468" t="s">
        <v>1749</v>
      </c>
      <c r="C468" t="s">
        <v>1732</v>
      </c>
      <c r="D468"/>
      <c r="E468" t="s">
        <v>124</v>
      </c>
    </row>
    <row r="469" hidden="1" spans="1:5">
      <c r="A469" t="s">
        <v>1750</v>
      </c>
      <c r="B469" t="s">
        <v>1750</v>
      </c>
      <c r="C469" t="s">
        <v>1732</v>
      </c>
      <c r="D469"/>
      <c r="E469" t="s">
        <v>124</v>
      </c>
    </row>
    <row r="470" hidden="1" spans="1:5">
      <c r="A470" t="s">
        <v>1751</v>
      </c>
      <c r="B470" t="s">
        <v>1751</v>
      </c>
      <c r="C470" t="s">
        <v>1732</v>
      </c>
      <c r="D470"/>
      <c r="E470" t="s">
        <v>124</v>
      </c>
    </row>
    <row r="471" hidden="1" spans="1:5">
      <c r="A471" t="s">
        <v>1752</v>
      </c>
      <c r="B471" t="s">
        <v>1752</v>
      </c>
      <c r="C471" t="s">
        <v>1732</v>
      </c>
      <c r="D471"/>
      <c r="E471" t="s">
        <v>124</v>
      </c>
    </row>
    <row r="472" hidden="1" spans="1:5">
      <c r="A472" t="s">
        <v>1753</v>
      </c>
      <c r="B472" t="s">
        <v>1753</v>
      </c>
      <c r="C472" t="s">
        <v>1732</v>
      </c>
      <c r="D472"/>
      <c r="E472" t="s">
        <v>124</v>
      </c>
    </row>
    <row r="473" hidden="1" spans="1:5">
      <c r="A473" t="s">
        <v>1754</v>
      </c>
      <c r="B473" t="s">
        <v>1754</v>
      </c>
      <c r="C473" t="s">
        <v>1732</v>
      </c>
      <c r="D473"/>
      <c r="E473" t="s">
        <v>124</v>
      </c>
    </row>
    <row r="474" hidden="1" spans="1:5">
      <c r="A474" t="s">
        <v>1755</v>
      </c>
      <c r="B474" t="s">
        <v>1755</v>
      </c>
      <c r="C474" t="s">
        <v>1732</v>
      </c>
      <c r="D474"/>
      <c r="E474" t="s">
        <v>124</v>
      </c>
    </row>
    <row r="475" hidden="1" spans="1:5">
      <c r="A475" t="s">
        <v>1756</v>
      </c>
      <c r="B475" t="s">
        <v>1756</v>
      </c>
      <c r="C475" t="s">
        <v>1732</v>
      </c>
      <c r="D475"/>
      <c r="E475" t="s">
        <v>124</v>
      </c>
    </row>
    <row r="476" hidden="1" spans="1:5">
      <c r="A476" t="s">
        <v>1757</v>
      </c>
      <c r="B476" t="s">
        <v>1757</v>
      </c>
      <c r="C476" t="s">
        <v>1732</v>
      </c>
      <c r="D476"/>
      <c r="E476" t="s">
        <v>124</v>
      </c>
    </row>
    <row r="477" hidden="1" spans="1:5">
      <c r="A477" t="s">
        <v>1758</v>
      </c>
      <c r="B477" t="s">
        <v>1758</v>
      </c>
      <c r="C477" t="s">
        <v>1732</v>
      </c>
      <c r="D477"/>
      <c r="E477" t="s">
        <v>124</v>
      </c>
    </row>
    <row r="478" hidden="1" spans="1:5">
      <c r="A478" t="s">
        <v>1759</v>
      </c>
      <c r="B478" t="s">
        <v>1759</v>
      </c>
      <c r="C478" t="s">
        <v>1732</v>
      </c>
      <c r="D478"/>
      <c r="E478" t="s">
        <v>124</v>
      </c>
    </row>
    <row r="479" hidden="1" spans="1:5">
      <c r="A479" t="s">
        <v>1760</v>
      </c>
      <c r="B479" t="s">
        <v>1760</v>
      </c>
      <c r="C479" t="s">
        <v>1732</v>
      </c>
      <c r="D479"/>
      <c r="E479" t="s">
        <v>124</v>
      </c>
    </row>
    <row r="480" hidden="1" spans="1:5">
      <c r="A480" t="s">
        <v>1764</v>
      </c>
      <c r="B480" t="s">
        <v>1764</v>
      </c>
      <c r="C480" t="s">
        <v>1732</v>
      </c>
      <c r="D480"/>
      <c r="E480" t="s">
        <v>124</v>
      </c>
    </row>
    <row r="481" hidden="1" spans="1:5">
      <c r="A481" t="s">
        <v>1765</v>
      </c>
      <c r="B481" t="s">
        <v>1765</v>
      </c>
      <c r="C481" t="s">
        <v>1732</v>
      </c>
      <c r="D481"/>
      <c r="E481" t="s">
        <v>124</v>
      </c>
    </row>
    <row r="482" hidden="1" spans="1:5">
      <c r="A482" t="s">
        <v>1766</v>
      </c>
      <c r="B482" t="s">
        <v>1766</v>
      </c>
      <c r="C482" t="s">
        <v>1732</v>
      </c>
      <c r="D482"/>
      <c r="E482" t="s">
        <v>124</v>
      </c>
    </row>
    <row r="483" hidden="1" spans="1:5">
      <c r="A483" t="s">
        <v>1881</v>
      </c>
      <c r="B483" t="s">
        <v>1881</v>
      </c>
      <c r="C483" t="s">
        <v>1732</v>
      </c>
      <c r="D483"/>
      <c r="E483" t="s">
        <v>124</v>
      </c>
    </row>
    <row r="484" spans="1:5">
      <c r="A484" s="8">
        <f>A377+1</f>
        <v>28</v>
      </c>
      <c r="B484" s="7" t="s">
        <v>3292</v>
      </c>
    </row>
    <row r="485" spans="1:5">
      <c r="A485" t="s">
        <v>1530</v>
      </c>
      <c r="B485" t="s">
        <v>1531</v>
      </c>
      <c r="C485" t="s">
        <v>1529</v>
      </c>
      <c r="D485" s="72"/>
      <c r="E485" t="s">
        <v>805</v>
      </c>
    </row>
    <row r="486" spans="1:5">
      <c r="A486" t="s">
        <v>1532</v>
      </c>
      <c r="B486" t="s">
        <v>1532</v>
      </c>
      <c r="C486" t="s">
        <v>1529</v>
      </c>
      <c r="D486" s="72"/>
      <c r="E486" t="s">
        <v>124</v>
      </c>
    </row>
    <row r="487" spans="1:5">
      <c r="A487" t="s">
        <v>1533</v>
      </c>
      <c r="B487" t="s">
        <v>1534</v>
      </c>
      <c r="C487" t="s">
        <v>1529</v>
      </c>
      <c r="D487" s="72"/>
      <c r="E487" t="s">
        <v>803</v>
      </c>
    </row>
    <row r="488" spans="1:5">
      <c r="A488" t="s">
        <v>1535</v>
      </c>
      <c r="B488" t="s">
        <v>1536</v>
      </c>
      <c r="C488" t="s">
        <v>1529</v>
      </c>
      <c r="D488" s="72"/>
      <c r="E488" t="s">
        <v>377</v>
      </c>
    </row>
    <row r="489" spans="1:5">
      <c r="A489" t="s">
        <v>1537</v>
      </c>
      <c r="B489" t="s">
        <v>807</v>
      </c>
      <c r="C489" t="s">
        <v>1529</v>
      </c>
      <c r="D489" s="72"/>
      <c r="E489" t="s">
        <v>805</v>
      </c>
    </row>
    <row r="490" spans="1:5">
      <c r="A490" t="s">
        <v>1538</v>
      </c>
      <c r="B490" t="s">
        <v>1539</v>
      </c>
      <c r="C490" t="s">
        <v>1529</v>
      </c>
      <c r="D490" s="72"/>
      <c r="E490" t="s">
        <v>803</v>
      </c>
    </row>
    <row r="491" spans="1:5">
      <c r="A491" t="s">
        <v>1540</v>
      </c>
      <c r="B491" t="s">
        <v>1540</v>
      </c>
      <c r="C491" t="s">
        <v>1529</v>
      </c>
      <c r="D491" s="72"/>
      <c r="E491" t="s">
        <v>805</v>
      </c>
    </row>
    <row r="492" spans="1:5">
      <c r="A492" t="s">
        <v>814</v>
      </c>
      <c r="B492" t="s">
        <v>814</v>
      </c>
      <c r="C492" t="s">
        <v>1529</v>
      </c>
      <c r="D492" s="72"/>
      <c r="E492" t="s">
        <v>803</v>
      </c>
    </row>
    <row r="493" spans="1:5">
      <c r="A493" t="s">
        <v>1541</v>
      </c>
      <c r="B493" t="s">
        <v>1542</v>
      </c>
      <c r="C493" t="s">
        <v>1529</v>
      </c>
      <c r="D493" s="72"/>
      <c r="E493" t="s">
        <v>363</v>
      </c>
    </row>
    <row r="494" spans="1:5">
      <c r="A494" t="s">
        <v>1543</v>
      </c>
      <c r="B494" t="s">
        <v>1543</v>
      </c>
      <c r="C494" t="s">
        <v>1529</v>
      </c>
      <c r="D494" s="72"/>
      <c r="E494" t="s">
        <v>124</v>
      </c>
    </row>
    <row r="495" spans="1:5">
      <c r="A495" t="s">
        <v>1544</v>
      </c>
      <c r="B495" t="s">
        <v>1544</v>
      </c>
      <c r="C495" t="s">
        <v>1529</v>
      </c>
      <c r="D495" s="72"/>
      <c r="E495" t="s">
        <v>124</v>
      </c>
    </row>
    <row r="496" spans="1:5">
      <c r="A496" t="s">
        <v>1545</v>
      </c>
      <c r="B496" t="s">
        <v>1545</v>
      </c>
      <c r="C496" t="s">
        <v>1529</v>
      </c>
      <c r="D496" s="72"/>
      <c r="E496" t="s">
        <v>803</v>
      </c>
    </row>
    <row r="497" spans="1:5">
      <c r="A497" t="s">
        <v>1546</v>
      </c>
      <c r="B497" t="s">
        <v>1547</v>
      </c>
      <c r="C497" t="s">
        <v>1529</v>
      </c>
      <c r="D497" s="72"/>
      <c r="E497" t="s">
        <v>124</v>
      </c>
    </row>
    <row r="498" spans="1:5">
      <c r="A498" t="s">
        <v>1548</v>
      </c>
      <c r="B498" t="s">
        <v>1549</v>
      </c>
      <c r="C498" t="s">
        <v>1529</v>
      </c>
      <c r="D498" s="72"/>
      <c r="E498" t="s">
        <v>803</v>
      </c>
    </row>
    <row r="499" spans="1:5">
      <c r="A499" t="s">
        <v>1550</v>
      </c>
      <c r="B499" t="s">
        <v>1550</v>
      </c>
      <c r="C499" t="s">
        <v>1529</v>
      </c>
      <c r="D499" s="72"/>
      <c r="E499" t="s">
        <v>124</v>
      </c>
    </row>
    <row r="500" spans="1:5">
      <c r="A500" t="s">
        <v>1553</v>
      </c>
      <c r="B500" t="s">
        <v>1553</v>
      </c>
      <c r="C500" t="s">
        <v>1552</v>
      </c>
      <c r="D500" s="72"/>
      <c r="E500" t="s">
        <v>363</v>
      </c>
    </row>
    <row r="501" spans="1:5">
      <c r="A501" t="s">
        <v>1554</v>
      </c>
      <c r="B501" t="s">
        <v>1555</v>
      </c>
      <c r="C501" t="s">
        <v>1552</v>
      </c>
      <c r="D501" s="72"/>
      <c r="E501" t="s">
        <v>805</v>
      </c>
    </row>
    <row r="502" spans="1:5">
      <c r="A502" t="s">
        <v>833</v>
      </c>
      <c r="B502" t="s">
        <v>833</v>
      </c>
      <c r="C502" t="s">
        <v>1552</v>
      </c>
      <c r="D502" s="72"/>
      <c r="E502" t="s">
        <v>363</v>
      </c>
    </row>
    <row r="503" spans="1:5">
      <c r="A503" t="s">
        <v>1556</v>
      </c>
      <c r="B503" t="s">
        <v>1556</v>
      </c>
      <c r="C503" t="s">
        <v>1552</v>
      </c>
      <c r="D503" s="72"/>
      <c r="E503" t="s">
        <v>363</v>
      </c>
    </row>
    <row r="504" spans="1:5">
      <c r="A504" t="s">
        <v>799</v>
      </c>
      <c r="B504" t="s">
        <v>799</v>
      </c>
      <c r="C504" t="s">
        <v>1552</v>
      </c>
      <c r="D504" s="72"/>
      <c r="E504" t="s">
        <v>363</v>
      </c>
    </row>
    <row r="505" spans="1:5">
      <c r="A505" t="s">
        <v>1557</v>
      </c>
      <c r="B505" t="s">
        <v>1558</v>
      </c>
      <c r="C505" t="s">
        <v>1552</v>
      </c>
      <c r="D505" s="72"/>
      <c r="E505" t="s">
        <v>377</v>
      </c>
    </row>
    <row r="506" spans="1:5">
      <c r="A506" t="s">
        <v>1559</v>
      </c>
      <c r="B506" t="s">
        <v>1559</v>
      </c>
      <c r="C506" t="s">
        <v>1552</v>
      </c>
      <c r="D506" s="72"/>
      <c r="E506" t="s">
        <v>803</v>
      </c>
    </row>
    <row r="507" spans="1:5">
      <c r="A507" t="s">
        <v>2105</v>
      </c>
      <c r="B507" t="s">
        <v>2105</v>
      </c>
      <c r="C507" t="s">
        <v>1732</v>
      </c>
      <c r="D507"/>
      <c r="E507" t="s">
        <v>363</v>
      </c>
    </row>
    <row r="508" spans="1:5">
      <c r="A508" t="s">
        <v>2106</v>
      </c>
      <c r="B508" t="s">
        <v>2106</v>
      </c>
      <c r="C508" t="s">
        <v>1732</v>
      </c>
      <c r="D508"/>
      <c r="E508" t="s">
        <v>363</v>
      </c>
    </row>
    <row r="509" spans="1:5">
      <c r="A509" t="s">
        <v>2160</v>
      </c>
      <c r="B509" t="s">
        <v>2160</v>
      </c>
      <c r="C509" t="s">
        <v>1732</v>
      </c>
      <c r="D509"/>
      <c r="E509" t="s">
        <v>363</v>
      </c>
    </row>
    <row r="510" spans="1:5">
      <c r="A510" t="s">
        <v>2161</v>
      </c>
      <c r="B510" t="s">
        <v>2161</v>
      </c>
      <c r="C510" t="s">
        <v>1732</v>
      </c>
      <c r="D510"/>
      <c r="E510" t="s">
        <v>363</v>
      </c>
    </row>
    <row r="511" spans="1:5">
      <c r="A511" t="s">
        <v>2621</v>
      </c>
      <c r="B511" t="s">
        <v>2622</v>
      </c>
      <c r="C511" t="s">
        <v>2304</v>
      </c>
      <c r="D511"/>
      <c r="E511" t="s">
        <v>124</v>
      </c>
    </row>
    <row r="512" spans="1:5">
      <c r="A512" t="s">
        <v>2623</v>
      </c>
      <c r="B512" t="s">
        <v>2623</v>
      </c>
      <c r="C512" t="s">
        <v>2304</v>
      </c>
      <c r="D512"/>
      <c r="E512" t="s">
        <v>2624</v>
      </c>
    </row>
    <row r="513" spans="1:5">
      <c r="A513" t="s">
        <v>785</v>
      </c>
      <c r="B513" t="s">
        <v>785</v>
      </c>
      <c r="C513" t="s">
        <v>2304</v>
      </c>
      <c r="D513"/>
      <c r="E513" t="s">
        <v>377</v>
      </c>
    </row>
    <row r="514" spans="1:5">
      <c r="A514" t="s">
        <v>788</v>
      </c>
      <c r="B514" t="s">
        <v>788</v>
      </c>
      <c r="C514" t="s">
        <v>2304</v>
      </c>
      <c r="D514"/>
      <c r="E514" t="s">
        <v>377</v>
      </c>
    </row>
    <row r="515" spans="1:5">
      <c r="A515" t="s">
        <v>2625</v>
      </c>
      <c r="B515" t="s">
        <v>789</v>
      </c>
      <c r="C515" t="s">
        <v>2304</v>
      </c>
      <c r="D515"/>
      <c r="E515" t="s">
        <v>124</v>
      </c>
    </row>
    <row r="516" spans="1:5">
      <c r="A516" t="s">
        <v>2626</v>
      </c>
      <c r="B516" t="s">
        <v>2626</v>
      </c>
      <c r="C516" t="s">
        <v>2304</v>
      </c>
      <c r="D516"/>
      <c r="E516" t="s">
        <v>805</v>
      </c>
    </row>
    <row r="517" spans="1:5">
      <c r="A517" t="s">
        <v>2627</v>
      </c>
      <c r="B517" t="s">
        <v>2627</v>
      </c>
      <c r="C517" t="s">
        <v>2304</v>
      </c>
      <c r="D517"/>
      <c r="E517" t="s">
        <v>803</v>
      </c>
    </row>
    <row r="518" spans="1:5">
      <c r="A518" t="s">
        <v>2628</v>
      </c>
      <c r="B518" t="s">
        <v>2628</v>
      </c>
      <c r="C518" t="s">
        <v>2304</v>
      </c>
      <c r="D518"/>
      <c r="E518" t="s">
        <v>805</v>
      </c>
    </row>
    <row r="519" spans="1:5">
      <c r="A519" s="8">
        <f>A484+1</f>
        <v>29</v>
      </c>
      <c r="B519" s="71" t="s">
        <v>3277</v>
      </c>
    </row>
    <row r="520" spans="1:5">
      <c r="A520" s="8">
        <f>A519+1</f>
        <v>30</v>
      </c>
      <c r="B520" s="71" t="s">
        <v>3205</v>
      </c>
    </row>
    <row r="521" spans="1:5">
      <c r="A521" s="8">
        <f>A520+1</f>
        <v>31</v>
      </c>
      <c r="B521" s="71" t="s">
        <v>3218</v>
      </c>
    </row>
    <row r="522" hidden="1" spans="1:5">
      <c r="A522" s="8">
        <f>A521+1</f>
        <v>32</v>
      </c>
      <c r="B522" s="7" t="s">
        <v>348</v>
      </c>
    </row>
    <row r="523" hidden="1" spans="1:5">
      <c r="A523" t="s">
        <v>1084</v>
      </c>
      <c r="B523" t="s">
        <v>1084</v>
      </c>
      <c r="C523" t="s">
        <v>348</v>
      </c>
      <c r="D523" s="72"/>
      <c r="E523" t="s">
        <v>316</v>
      </c>
    </row>
    <row r="524" hidden="1" spans="1:5">
      <c r="A524" t="s">
        <v>1085</v>
      </c>
      <c r="B524" t="s">
        <v>365</v>
      </c>
      <c r="C524" t="s">
        <v>348</v>
      </c>
      <c r="D524" s="72"/>
      <c r="E524" t="s">
        <v>124</v>
      </c>
    </row>
    <row r="525" hidden="1" spans="1:5">
      <c r="A525" t="s">
        <v>369</v>
      </c>
      <c r="B525" t="s">
        <v>369</v>
      </c>
      <c r="C525" t="s">
        <v>348</v>
      </c>
      <c r="D525" s="72"/>
      <c r="E525" t="s">
        <v>316</v>
      </c>
    </row>
    <row r="526" hidden="1" spans="1:5">
      <c r="A526" t="s">
        <v>1086</v>
      </c>
      <c r="B526" t="s">
        <v>370</v>
      </c>
      <c r="C526" t="s">
        <v>348</v>
      </c>
      <c r="D526" s="72"/>
      <c r="E526" t="s">
        <v>316</v>
      </c>
    </row>
    <row r="527" hidden="1" spans="1:5">
      <c r="A527" t="s">
        <v>1087</v>
      </c>
      <c r="B527" t="s">
        <v>364</v>
      </c>
      <c r="C527" t="s">
        <v>348</v>
      </c>
      <c r="D527" s="72"/>
      <c r="E527" t="s">
        <v>124</v>
      </c>
    </row>
    <row r="528" hidden="1" spans="1:5">
      <c r="A528" t="s">
        <v>362</v>
      </c>
      <c r="B528" t="s">
        <v>362</v>
      </c>
      <c r="C528" t="s">
        <v>348</v>
      </c>
      <c r="D528" s="72"/>
      <c r="E528" t="s">
        <v>124</v>
      </c>
    </row>
    <row r="529" hidden="1" spans="1:5">
      <c r="A529" t="s">
        <v>1088</v>
      </c>
      <c r="B529" t="s">
        <v>371</v>
      </c>
      <c r="C529" t="s">
        <v>348</v>
      </c>
      <c r="D529" s="72"/>
      <c r="E529" t="s">
        <v>316</v>
      </c>
    </row>
    <row r="530" hidden="1" spans="1:5">
      <c r="A530" t="s">
        <v>1089</v>
      </c>
      <c r="B530" t="s">
        <v>359</v>
      </c>
      <c r="C530" t="s">
        <v>348</v>
      </c>
      <c r="D530" s="72"/>
      <c r="E530" t="s">
        <v>287</v>
      </c>
    </row>
    <row r="531" hidden="1" spans="1:5">
      <c r="A531" t="s">
        <v>1090</v>
      </c>
      <c r="B531" t="s">
        <v>352</v>
      </c>
      <c r="C531" t="s">
        <v>348</v>
      </c>
      <c r="D531" s="72"/>
      <c r="E531" t="s">
        <v>124</v>
      </c>
    </row>
    <row r="532" hidden="1" spans="1:5">
      <c r="A532" t="s">
        <v>1091</v>
      </c>
      <c r="B532" t="s">
        <v>1091</v>
      </c>
      <c r="C532" t="s">
        <v>348</v>
      </c>
      <c r="D532" s="72"/>
      <c r="E532" t="s">
        <v>124</v>
      </c>
    </row>
    <row r="533" hidden="1" spans="1:5">
      <c r="A533" t="s">
        <v>1092</v>
      </c>
      <c r="B533" t="s">
        <v>1093</v>
      </c>
      <c r="C533" t="s">
        <v>348</v>
      </c>
      <c r="D533" s="72"/>
      <c r="E533" t="s">
        <v>316</v>
      </c>
    </row>
    <row r="534" hidden="1" spans="1:5">
      <c r="A534" t="s">
        <v>1094</v>
      </c>
      <c r="B534" t="s">
        <v>1094</v>
      </c>
      <c r="C534" t="s">
        <v>348</v>
      </c>
      <c r="D534" s="72"/>
      <c r="E534" t="s">
        <v>316</v>
      </c>
    </row>
    <row r="535" hidden="1" spans="1:5">
      <c r="A535" t="s">
        <v>351</v>
      </c>
      <c r="B535" t="s">
        <v>351</v>
      </c>
      <c r="C535" t="s">
        <v>348</v>
      </c>
      <c r="D535" s="72"/>
      <c r="E535" t="s">
        <v>316</v>
      </c>
    </row>
    <row r="536" hidden="1" spans="1:5">
      <c r="A536" t="s">
        <v>685</v>
      </c>
      <c r="B536" t="s">
        <v>685</v>
      </c>
      <c r="C536" t="s">
        <v>348</v>
      </c>
      <c r="D536" s="72"/>
      <c r="E536" t="s">
        <v>124</v>
      </c>
    </row>
    <row r="537" hidden="1" spans="1:5">
      <c r="A537" t="s">
        <v>1095</v>
      </c>
      <c r="B537" t="s">
        <v>654</v>
      </c>
      <c r="C537" t="s">
        <v>348</v>
      </c>
      <c r="D537" s="72"/>
      <c r="E537" t="s">
        <v>124</v>
      </c>
    </row>
    <row r="538" hidden="1" spans="1:5">
      <c r="A538" t="s">
        <v>349</v>
      </c>
      <c r="B538" t="s">
        <v>349</v>
      </c>
      <c r="C538" t="s">
        <v>348</v>
      </c>
      <c r="D538" s="72"/>
      <c r="E538" t="s">
        <v>124</v>
      </c>
    </row>
    <row r="539" hidden="1" spans="1:5">
      <c r="A539" t="s">
        <v>1096</v>
      </c>
      <c r="B539" t="s">
        <v>1096</v>
      </c>
      <c r="C539" t="s">
        <v>348</v>
      </c>
      <c r="D539" s="72"/>
      <c r="E539" t="s">
        <v>316</v>
      </c>
    </row>
    <row r="540" hidden="1" spans="1:5">
      <c r="A540" t="s">
        <v>353</v>
      </c>
      <c r="B540" t="s">
        <v>353</v>
      </c>
      <c r="C540" t="s">
        <v>348</v>
      </c>
      <c r="D540" s="72"/>
      <c r="E540" t="s">
        <v>316</v>
      </c>
    </row>
    <row r="541" hidden="1" spans="1:5">
      <c r="A541" t="s">
        <v>354</v>
      </c>
      <c r="B541" t="s">
        <v>354</v>
      </c>
      <c r="C541" t="s">
        <v>348</v>
      </c>
      <c r="D541" s="72"/>
      <c r="E541" t="s">
        <v>316</v>
      </c>
    </row>
    <row r="542" hidden="1" spans="1:5">
      <c r="A542" t="s">
        <v>1097</v>
      </c>
      <c r="B542" t="s">
        <v>1098</v>
      </c>
      <c r="C542" t="s">
        <v>348</v>
      </c>
      <c r="D542" s="72"/>
      <c r="E542" t="s">
        <v>316</v>
      </c>
    </row>
    <row r="543" hidden="1" spans="1:5">
      <c r="A543" t="s">
        <v>1099</v>
      </c>
      <c r="B543" t="s">
        <v>1099</v>
      </c>
      <c r="C543" t="s">
        <v>348</v>
      </c>
      <c r="D543" s="72"/>
      <c r="E543" t="s">
        <v>316</v>
      </c>
    </row>
    <row r="544" hidden="1" spans="1:5">
      <c r="A544" t="s">
        <v>1100</v>
      </c>
      <c r="B544" t="s">
        <v>360</v>
      </c>
      <c r="C544" t="s">
        <v>348</v>
      </c>
      <c r="D544" s="72"/>
      <c r="E544" t="s">
        <v>124</v>
      </c>
    </row>
    <row r="545" hidden="1" spans="1:5">
      <c r="A545" t="s">
        <v>1101</v>
      </c>
      <c r="B545" t="s">
        <v>1102</v>
      </c>
      <c r="C545" t="s">
        <v>348</v>
      </c>
      <c r="D545" s="72"/>
      <c r="E545" t="s">
        <v>316</v>
      </c>
    </row>
    <row r="546" hidden="1" spans="1:5">
      <c r="A546" t="s">
        <v>1103</v>
      </c>
      <c r="B546" t="s">
        <v>1104</v>
      </c>
      <c r="C546" t="s">
        <v>348</v>
      </c>
      <c r="D546" s="72"/>
      <c r="E546" t="s">
        <v>287</v>
      </c>
    </row>
    <row r="547" hidden="1" spans="1:5">
      <c r="A547" t="s">
        <v>1105</v>
      </c>
      <c r="B547" t="s">
        <v>355</v>
      </c>
      <c r="C547" t="s">
        <v>348</v>
      </c>
      <c r="D547" s="72"/>
      <c r="E547" t="s">
        <v>316</v>
      </c>
    </row>
    <row r="548" hidden="1" spans="1:5">
      <c r="A548" t="s">
        <v>1106</v>
      </c>
      <c r="B548" t="s">
        <v>356</v>
      </c>
      <c r="C548" t="s">
        <v>348</v>
      </c>
      <c r="D548" s="72"/>
      <c r="E548" t="s">
        <v>124</v>
      </c>
    </row>
    <row r="549" hidden="1" spans="1:5">
      <c r="A549" t="s">
        <v>1107</v>
      </c>
      <c r="B549" t="s">
        <v>366</v>
      </c>
      <c r="C549" t="s">
        <v>348</v>
      </c>
      <c r="D549" s="72"/>
      <c r="E549" t="s">
        <v>124</v>
      </c>
    </row>
    <row r="550" hidden="1" spans="1:5">
      <c r="A550" t="s">
        <v>1108</v>
      </c>
      <c r="B550" t="s">
        <v>1109</v>
      </c>
      <c r="C550" t="s">
        <v>348</v>
      </c>
      <c r="D550" s="72"/>
      <c r="E550" t="s">
        <v>124</v>
      </c>
    </row>
    <row r="551" hidden="1" spans="1:5">
      <c r="A551" t="s">
        <v>1110</v>
      </c>
      <c r="B551" t="s">
        <v>361</v>
      </c>
      <c r="C551" t="s">
        <v>348</v>
      </c>
      <c r="D551" s="72"/>
      <c r="E551" t="s">
        <v>124</v>
      </c>
    </row>
    <row r="552" hidden="1" spans="1:5">
      <c r="A552" t="s">
        <v>1111</v>
      </c>
      <c r="B552" t="s">
        <v>1111</v>
      </c>
      <c r="C552" t="s">
        <v>348</v>
      </c>
      <c r="D552" s="72"/>
      <c r="E552" t="s">
        <v>363</v>
      </c>
    </row>
    <row r="553" hidden="1" spans="1:5">
      <c r="A553" t="s">
        <v>379</v>
      </c>
      <c r="B553" t="s">
        <v>379</v>
      </c>
      <c r="C553" t="s">
        <v>348</v>
      </c>
      <c r="D553" s="72"/>
      <c r="E553" t="s">
        <v>287</v>
      </c>
    </row>
    <row r="554" hidden="1" spans="1:5">
      <c r="A554" t="s">
        <v>378</v>
      </c>
      <c r="B554" t="s">
        <v>378</v>
      </c>
      <c r="C554" t="s">
        <v>348</v>
      </c>
      <c r="D554" s="72"/>
      <c r="E554" t="s">
        <v>287</v>
      </c>
    </row>
    <row r="555" hidden="1" spans="1:5">
      <c r="A555" t="s">
        <v>1112</v>
      </c>
      <c r="B555" t="s">
        <v>1113</v>
      </c>
      <c r="C555" t="s">
        <v>348</v>
      </c>
      <c r="D555" s="72"/>
      <c r="E555" t="s">
        <v>316</v>
      </c>
    </row>
    <row r="556" hidden="1" spans="1:5">
      <c r="A556" t="s">
        <v>1114</v>
      </c>
      <c r="B556" t="s">
        <v>367</v>
      </c>
      <c r="C556" t="s">
        <v>348</v>
      </c>
      <c r="D556" s="72"/>
      <c r="E556" t="s">
        <v>316</v>
      </c>
    </row>
    <row r="557" hidden="1" spans="1:5">
      <c r="A557" t="s">
        <v>1115</v>
      </c>
      <c r="B557" t="s">
        <v>1116</v>
      </c>
      <c r="C557" t="s">
        <v>348</v>
      </c>
      <c r="D557" s="72"/>
      <c r="E557" t="s">
        <v>363</v>
      </c>
    </row>
    <row r="558" hidden="1" spans="1:5">
      <c r="A558" t="s">
        <v>381</v>
      </c>
      <c r="B558" t="s">
        <v>381</v>
      </c>
      <c r="C558" t="s">
        <v>348</v>
      </c>
      <c r="D558" s="72"/>
      <c r="E558" t="s">
        <v>124</v>
      </c>
    </row>
    <row r="559" hidden="1" spans="1:5">
      <c r="A559" t="s">
        <v>374</v>
      </c>
      <c r="B559" t="s">
        <v>374</v>
      </c>
      <c r="C559" t="s">
        <v>348</v>
      </c>
      <c r="D559" s="72"/>
      <c r="E559" t="s">
        <v>316</v>
      </c>
    </row>
    <row r="560" hidden="1" spans="1:5">
      <c r="A560" t="s">
        <v>375</v>
      </c>
      <c r="B560" t="s">
        <v>375</v>
      </c>
      <c r="C560" t="s">
        <v>348</v>
      </c>
      <c r="D560" s="72"/>
      <c r="E560" t="s">
        <v>316</v>
      </c>
    </row>
    <row r="561" hidden="1" spans="1:5">
      <c r="A561" t="s">
        <v>368</v>
      </c>
      <c r="B561" t="s">
        <v>368</v>
      </c>
      <c r="C561" t="s">
        <v>348</v>
      </c>
      <c r="D561" s="72"/>
      <c r="E561" t="s">
        <v>124</v>
      </c>
    </row>
    <row r="562" hidden="1" spans="1:5">
      <c r="A562" t="s">
        <v>1117</v>
      </c>
      <c r="B562" t="s">
        <v>1117</v>
      </c>
      <c r="C562" t="s">
        <v>348</v>
      </c>
      <c r="D562" s="72"/>
      <c r="E562" t="s">
        <v>1118</v>
      </c>
    </row>
    <row r="563" hidden="1" spans="1:5">
      <c r="A563" t="s">
        <v>1119</v>
      </c>
      <c r="B563" t="s">
        <v>1120</v>
      </c>
      <c r="C563" t="s">
        <v>348</v>
      </c>
      <c r="D563" s="72"/>
      <c r="E563" t="s">
        <v>124</v>
      </c>
    </row>
    <row r="564" hidden="1" spans="1:5">
      <c r="A564" t="s">
        <v>1121</v>
      </c>
      <c r="B564" t="s">
        <v>1121</v>
      </c>
      <c r="C564" t="s">
        <v>348</v>
      </c>
      <c r="D564" s="72"/>
      <c r="E564" t="s">
        <v>1122</v>
      </c>
    </row>
    <row r="565" hidden="1" spans="1:5">
      <c r="A565" t="s">
        <v>1123</v>
      </c>
      <c r="B565" t="s">
        <v>1123</v>
      </c>
      <c r="C565" t="s">
        <v>348</v>
      </c>
      <c r="D565" s="72"/>
      <c r="E565" t="s">
        <v>1124</v>
      </c>
    </row>
    <row r="566" hidden="1" spans="1:5">
      <c r="A566" t="s">
        <v>1127</v>
      </c>
      <c r="B566" t="s">
        <v>1128</v>
      </c>
      <c r="C566" t="s">
        <v>348</v>
      </c>
      <c r="D566" s="72"/>
      <c r="E566" t="s">
        <v>124</v>
      </c>
    </row>
    <row r="567" hidden="1" spans="1:5">
      <c r="A567" t="s">
        <v>1129</v>
      </c>
      <c r="B567" t="s">
        <v>1130</v>
      </c>
      <c r="C567" t="s">
        <v>348</v>
      </c>
      <c r="D567" s="72"/>
      <c r="E567" t="s">
        <v>316</v>
      </c>
    </row>
    <row r="568" hidden="1" spans="1:5">
      <c r="A568" t="s">
        <v>1131</v>
      </c>
      <c r="B568" t="s">
        <v>1132</v>
      </c>
      <c r="C568" t="s">
        <v>348</v>
      </c>
      <c r="D568" s="72"/>
      <c r="E568" t="s">
        <v>377</v>
      </c>
    </row>
    <row r="569" hidden="1" spans="1:5">
      <c r="A569" t="s">
        <v>1133</v>
      </c>
      <c r="B569" t="s">
        <v>1134</v>
      </c>
      <c r="C569" t="s">
        <v>348</v>
      </c>
      <c r="D569" s="72"/>
      <c r="E569" t="s">
        <v>377</v>
      </c>
    </row>
    <row r="570" hidden="1" spans="1:5">
      <c r="A570" t="s">
        <v>1135</v>
      </c>
      <c r="B570" t="s">
        <v>376</v>
      </c>
      <c r="C570" t="s">
        <v>348</v>
      </c>
      <c r="D570" s="72"/>
      <c r="E570" t="s">
        <v>377</v>
      </c>
    </row>
    <row r="571" hidden="1" spans="1:5">
      <c r="A571" t="s">
        <v>1136</v>
      </c>
      <c r="B571" t="s">
        <v>1136</v>
      </c>
      <c r="C571" t="s">
        <v>348</v>
      </c>
      <c r="D571" s="72"/>
      <c r="E571" t="s">
        <v>363</v>
      </c>
    </row>
    <row r="572" hidden="1" spans="1:5">
      <c r="A572" t="s">
        <v>358</v>
      </c>
      <c r="B572" t="s">
        <v>358</v>
      </c>
      <c r="C572" t="s">
        <v>348</v>
      </c>
      <c r="D572" s="72"/>
      <c r="E572" t="s">
        <v>316</v>
      </c>
    </row>
    <row r="573" hidden="1" spans="1:5">
      <c r="A573" t="s">
        <v>1137</v>
      </c>
      <c r="B573" t="s">
        <v>1137</v>
      </c>
      <c r="C573" t="s">
        <v>348</v>
      </c>
      <c r="D573" s="72"/>
      <c r="E573" t="s">
        <v>124</v>
      </c>
    </row>
    <row r="574" hidden="1" spans="1:5">
      <c r="A574" t="s">
        <v>357</v>
      </c>
      <c r="B574" t="s">
        <v>357</v>
      </c>
      <c r="C574" t="s">
        <v>348</v>
      </c>
      <c r="D574" s="72"/>
      <c r="E574" t="s">
        <v>316</v>
      </c>
    </row>
    <row r="575" hidden="1" spans="1:5">
      <c r="A575" t="s">
        <v>1138</v>
      </c>
      <c r="B575" t="s">
        <v>373</v>
      </c>
      <c r="C575" t="s">
        <v>348</v>
      </c>
      <c r="D575" s="72"/>
      <c r="E575" t="s">
        <v>124</v>
      </c>
    </row>
    <row r="576" hidden="1" spans="1:5">
      <c r="A576" t="s">
        <v>1139</v>
      </c>
      <c r="B576" t="s">
        <v>372</v>
      </c>
      <c r="C576" t="s">
        <v>348</v>
      </c>
      <c r="D576" s="72"/>
      <c r="E576" t="s">
        <v>316</v>
      </c>
    </row>
    <row r="577" hidden="1" spans="1:5">
      <c r="A577" t="s">
        <v>1140</v>
      </c>
      <c r="B577" t="s">
        <v>1141</v>
      </c>
      <c r="C577" t="s">
        <v>348</v>
      </c>
      <c r="D577" s="72"/>
      <c r="E577" t="s">
        <v>316</v>
      </c>
    </row>
    <row r="578" hidden="1" spans="1:5">
      <c r="A578" s="8">
        <f>A522+1</f>
        <v>33</v>
      </c>
      <c r="B578" s="7" t="s">
        <v>208</v>
      </c>
    </row>
    <row r="579" hidden="1" spans="1:5">
      <c r="A579" t="s">
        <v>1616</v>
      </c>
      <c r="B579" t="s">
        <v>1617</v>
      </c>
      <c r="C579" t="s">
        <v>1615</v>
      </c>
      <c r="D579" s="72">
        <v>184</v>
      </c>
      <c r="E579" t="s">
        <v>3293</v>
      </c>
    </row>
    <row r="580" hidden="1" spans="1:5">
      <c r="A580" t="s">
        <v>1618</v>
      </c>
      <c r="B580" t="s">
        <v>1618</v>
      </c>
      <c r="C580" t="s">
        <v>1615</v>
      </c>
      <c r="D580" s="72">
        <v>19.5</v>
      </c>
      <c r="E580" t="s">
        <v>3293</v>
      </c>
    </row>
    <row r="581" hidden="1" spans="1:5">
      <c r="A581" t="s">
        <v>1460</v>
      </c>
      <c r="B581" t="s">
        <v>1461</v>
      </c>
      <c r="C581" t="s">
        <v>44</v>
      </c>
      <c r="D581" s="72">
        <v>150</v>
      </c>
      <c r="E581" t="s">
        <v>3293</v>
      </c>
    </row>
    <row r="582" hidden="1" spans="1:5">
      <c r="A582" s="8">
        <f>A578+1</f>
        <v>34</v>
      </c>
      <c r="B582" s="7" t="s">
        <v>272</v>
      </c>
    </row>
    <row r="583" hidden="1" spans="1:5">
      <c r="A583" t="s">
        <v>3294</v>
      </c>
      <c r="B583" t="s">
        <v>3199</v>
      </c>
      <c r="C583" t="s">
        <v>3197</v>
      </c>
      <c r="D583"/>
      <c r="E583" t="s">
        <v>1887</v>
      </c>
    </row>
    <row r="584" hidden="1" spans="1:5">
      <c r="A584" t="s">
        <v>276</v>
      </c>
      <c r="B584" t="s">
        <v>276</v>
      </c>
      <c r="C584" t="s">
        <v>3197</v>
      </c>
      <c r="D584" s="72"/>
      <c r="E584" t="s">
        <v>1887</v>
      </c>
    </row>
    <row r="585" hidden="1" spans="1:5">
      <c r="A585" t="s">
        <v>277</v>
      </c>
      <c r="B585" t="s">
        <v>277</v>
      </c>
      <c r="C585" t="s">
        <v>3197</v>
      </c>
      <c r="D585" s="72"/>
      <c r="E585" t="s">
        <v>1887</v>
      </c>
    </row>
    <row r="586" hidden="1" spans="1:5">
      <c r="A586" t="s">
        <v>278</v>
      </c>
      <c r="B586" t="s">
        <v>277</v>
      </c>
      <c r="C586" t="s">
        <v>3197</v>
      </c>
      <c r="D586" s="72"/>
      <c r="E586" t="s">
        <v>1887</v>
      </c>
    </row>
    <row r="587" hidden="1" spans="1:5">
      <c r="A587" t="s">
        <v>279</v>
      </c>
      <c r="B587" t="s">
        <v>279</v>
      </c>
      <c r="C587" t="s">
        <v>3197</v>
      </c>
      <c r="D587" s="72"/>
      <c r="E587" t="s">
        <v>1887</v>
      </c>
    </row>
    <row r="588" hidden="1" spans="1:5">
      <c r="A588" t="s">
        <v>280</v>
      </c>
      <c r="B588" t="s">
        <v>279</v>
      </c>
      <c r="C588" t="s">
        <v>3197</v>
      </c>
      <c r="D588" s="72"/>
      <c r="E588" t="s">
        <v>1887</v>
      </c>
    </row>
    <row r="589" hidden="1" spans="1:5">
      <c r="A589" t="s">
        <v>3200</v>
      </c>
      <c r="B589" t="s">
        <v>3200</v>
      </c>
      <c r="C589" t="s">
        <v>3197</v>
      </c>
      <c r="D589" s="72"/>
      <c r="E589" t="s">
        <v>124</v>
      </c>
    </row>
    <row r="590" hidden="1" spans="1:5">
      <c r="A590" t="s">
        <v>282</v>
      </c>
      <c r="B590" t="s">
        <v>282</v>
      </c>
      <c r="C590" t="s">
        <v>3197</v>
      </c>
      <c r="D590" s="72"/>
      <c r="E590" t="s">
        <v>124</v>
      </c>
    </row>
    <row r="591" hidden="1" spans="1:5">
      <c r="A591" t="s">
        <v>283</v>
      </c>
      <c r="B591" t="s">
        <v>283</v>
      </c>
      <c r="C591" t="s">
        <v>1732</v>
      </c>
      <c r="D591"/>
      <c r="E591" t="s">
        <v>1887</v>
      </c>
    </row>
    <row r="592" hidden="1" spans="1:5">
      <c r="A592" s="8">
        <f>A582+1</f>
        <v>35</v>
      </c>
      <c r="B592" s="7" t="s">
        <v>44</v>
      </c>
    </row>
    <row r="593" hidden="1" spans="1:5">
      <c r="A593" t="s">
        <v>1462</v>
      </c>
      <c r="B593" t="s">
        <v>1462</v>
      </c>
      <c r="C593" t="s">
        <v>44</v>
      </c>
      <c r="D593" s="72">
        <v>406</v>
      </c>
      <c r="E593" t="s">
        <v>3293</v>
      </c>
    </row>
    <row r="594" hidden="1" spans="1:5">
      <c r="A594" t="s">
        <v>1463</v>
      </c>
      <c r="B594" t="s">
        <v>1463</v>
      </c>
      <c r="C594" t="s">
        <v>44</v>
      </c>
      <c r="D594" s="72">
        <v>464</v>
      </c>
      <c r="E594" t="s">
        <v>3293</v>
      </c>
    </row>
    <row r="595" s="67" customFormat="1" hidden="1" spans="1:5">
      <c r="A595" s="67" t="s">
        <v>1464</v>
      </c>
      <c r="B595" s="67" t="s">
        <v>1464</v>
      </c>
      <c r="C595" s="67" t="s">
        <v>44</v>
      </c>
      <c r="D595" s="73"/>
      <c r="E595" s="67" t="s">
        <v>3293</v>
      </c>
    </row>
    <row r="596" hidden="1" spans="1:5">
      <c r="A596" t="s">
        <v>1465</v>
      </c>
      <c r="B596" t="s">
        <v>1465</v>
      </c>
      <c r="C596" t="s">
        <v>44</v>
      </c>
      <c r="D596" s="72">
        <v>340</v>
      </c>
      <c r="E596" t="s">
        <v>3293</v>
      </c>
    </row>
    <row r="597" hidden="1" spans="1:5">
      <c r="A597" t="s">
        <v>1466</v>
      </c>
      <c r="B597" t="s">
        <v>1466</v>
      </c>
      <c r="C597" t="s">
        <v>44</v>
      </c>
      <c r="D597" s="72">
        <v>360</v>
      </c>
      <c r="E597" t="s">
        <v>3293</v>
      </c>
    </row>
    <row r="598" hidden="1" spans="1:5">
      <c r="A598" t="s">
        <v>1467</v>
      </c>
      <c r="B598" t="s">
        <v>1467</v>
      </c>
      <c r="C598" t="s">
        <v>44</v>
      </c>
      <c r="D598" s="72"/>
      <c r="E598" t="s">
        <v>3293</v>
      </c>
    </row>
    <row r="599" hidden="1" spans="1:5">
      <c r="A599" t="s">
        <v>1468</v>
      </c>
      <c r="B599" t="s">
        <v>1468</v>
      </c>
      <c r="C599" t="s">
        <v>44</v>
      </c>
      <c r="D599" s="72">
        <v>340</v>
      </c>
      <c r="E599" t="s">
        <v>3293</v>
      </c>
    </row>
    <row r="600" hidden="1" spans="1:5">
      <c r="A600" t="s">
        <v>1469</v>
      </c>
      <c r="B600" t="s">
        <v>1469</v>
      </c>
      <c r="C600" t="s">
        <v>44</v>
      </c>
      <c r="D600" s="72">
        <v>360</v>
      </c>
      <c r="E600" t="s">
        <v>3293</v>
      </c>
    </row>
    <row r="601" s="67" customFormat="1" hidden="1" spans="1:5">
      <c r="A601" s="67" t="s">
        <v>1470</v>
      </c>
      <c r="B601" s="67" t="s">
        <v>1470</v>
      </c>
      <c r="C601" s="67" t="s">
        <v>44</v>
      </c>
      <c r="D601" s="73"/>
      <c r="E601" s="67" t="s">
        <v>3293</v>
      </c>
    </row>
    <row r="602" hidden="1" spans="1:5">
      <c r="A602" t="s">
        <v>1471</v>
      </c>
      <c r="B602" t="s">
        <v>1471</v>
      </c>
      <c r="C602" t="s">
        <v>44</v>
      </c>
      <c r="D602" s="72">
        <v>1500</v>
      </c>
      <c r="E602" t="s">
        <v>3293</v>
      </c>
    </row>
    <row r="603" hidden="1" spans="1:5">
      <c r="A603" t="s">
        <v>1472</v>
      </c>
      <c r="B603" t="s">
        <v>1472</v>
      </c>
      <c r="C603" t="s">
        <v>44</v>
      </c>
      <c r="D603" s="72"/>
      <c r="E603" t="s">
        <v>3293</v>
      </c>
    </row>
    <row r="604" hidden="1" spans="1:5">
      <c r="A604" t="s">
        <v>1473</v>
      </c>
      <c r="B604" t="s">
        <v>1473</v>
      </c>
      <c r="C604" t="s">
        <v>44</v>
      </c>
      <c r="D604" s="72">
        <v>580</v>
      </c>
      <c r="E604" t="s">
        <v>3293</v>
      </c>
    </row>
    <row r="605" s="67" customFormat="1" hidden="1" spans="1:5">
      <c r="A605" s="67" t="s">
        <v>3295</v>
      </c>
      <c r="B605" s="67" t="s">
        <v>1474</v>
      </c>
      <c r="C605" s="67" t="s">
        <v>44</v>
      </c>
      <c r="D605" s="73"/>
      <c r="E605" s="67" t="s">
        <v>3293</v>
      </c>
    </row>
    <row r="606" s="67" customFormat="1" hidden="1" spans="1:5">
      <c r="A606" s="67" t="s">
        <v>1475</v>
      </c>
      <c r="B606" s="67" t="s">
        <v>1475</v>
      </c>
      <c r="C606" s="67" t="s">
        <v>44</v>
      </c>
      <c r="D606" s="73"/>
      <c r="E606" s="67" t="s">
        <v>3293</v>
      </c>
    </row>
    <row r="607" hidden="1" spans="1:5">
      <c r="A607" t="s">
        <v>1476</v>
      </c>
      <c r="B607" t="s">
        <v>1476</v>
      </c>
      <c r="C607" t="s">
        <v>44</v>
      </c>
      <c r="D607" s="72">
        <v>295</v>
      </c>
      <c r="E607" t="s">
        <v>3293</v>
      </c>
    </row>
    <row r="608" hidden="1" spans="1:5">
      <c r="A608" t="s">
        <v>1477</v>
      </c>
      <c r="B608" t="s">
        <v>1477</v>
      </c>
      <c r="C608" t="s">
        <v>44</v>
      </c>
      <c r="D608" s="72">
        <v>355</v>
      </c>
      <c r="E608" t="s">
        <v>3293</v>
      </c>
    </row>
    <row r="609" hidden="1" spans="1:5">
      <c r="A609" t="s">
        <v>1478</v>
      </c>
      <c r="B609" t="s">
        <v>1478</v>
      </c>
      <c r="C609" t="s">
        <v>44</v>
      </c>
      <c r="D609" s="72">
        <v>745</v>
      </c>
      <c r="E609" t="s">
        <v>3293</v>
      </c>
    </row>
    <row r="610" hidden="1" spans="1:5">
      <c r="A610" t="s">
        <v>1479</v>
      </c>
      <c r="B610" t="s">
        <v>1479</v>
      </c>
      <c r="C610" t="s">
        <v>44</v>
      </c>
      <c r="D610" s="72">
        <v>388</v>
      </c>
      <c r="E610" t="s">
        <v>3293</v>
      </c>
    </row>
    <row r="611" hidden="1" spans="1:5">
      <c r="A611" s="8">
        <f>A592+1</f>
        <v>36</v>
      </c>
      <c r="B611" s="71" t="s">
        <v>1701</v>
      </c>
    </row>
    <row r="612" hidden="1" spans="1:5">
      <c r="A612" s="8">
        <f>A611+1</f>
        <v>37</v>
      </c>
      <c r="B612" s="7" t="s">
        <v>263</v>
      </c>
    </row>
    <row r="613" hidden="1" spans="1:5">
      <c r="A613" t="s">
        <v>1027</v>
      </c>
      <c r="B613" t="s">
        <v>1027</v>
      </c>
      <c r="C613" t="s">
        <v>263</v>
      </c>
      <c r="D613" s="72">
        <v>90</v>
      </c>
      <c r="E613" t="s">
        <v>3293</v>
      </c>
    </row>
    <row r="614" hidden="1" spans="1:5">
      <c r="A614" t="s">
        <v>1028</v>
      </c>
      <c r="B614" t="s">
        <v>1028</v>
      </c>
      <c r="C614" t="s">
        <v>263</v>
      </c>
      <c r="D614" s="72"/>
      <c r="E614" t="s">
        <v>3293</v>
      </c>
    </row>
    <row r="615" hidden="1" spans="1:5">
      <c r="A615" t="s">
        <v>1029</v>
      </c>
      <c r="B615" t="s">
        <v>1029</v>
      </c>
      <c r="C615" t="s">
        <v>263</v>
      </c>
      <c r="D615" s="72">
        <v>95</v>
      </c>
      <c r="E615" t="s">
        <v>3293</v>
      </c>
    </row>
    <row r="616" hidden="1" spans="1:5">
      <c r="A616" t="s">
        <v>267</v>
      </c>
      <c r="B616" t="s">
        <v>267</v>
      </c>
      <c r="C616" t="s">
        <v>263</v>
      </c>
      <c r="D616" s="72">
        <v>68</v>
      </c>
      <c r="E616" t="s">
        <v>3293</v>
      </c>
    </row>
    <row r="617" hidden="1" spans="1:5">
      <c r="A617" t="s">
        <v>268</v>
      </c>
      <c r="B617" t="s">
        <v>1030</v>
      </c>
      <c r="C617" t="s">
        <v>263</v>
      </c>
      <c r="D617" s="72">
        <v>68</v>
      </c>
      <c r="E617" t="s">
        <v>3293</v>
      </c>
    </row>
    <row r="618" hidden="1" spans="1:5">
      <c r="A618" t="s">
        <v>1165</v>
      </c>
      <c r="B618" t="s">
        <v>1165</v>
      </c>
      <c r="C618" t="s">
        <v>265</v>
      </c>
      <c r="D618" s="72">
        <v>68</v>
      </c>
      <c r="E618" t="s">
        <v>3293</v>
      </c>
    </row>
    <row r="619" hidden="1" spans="1:5">
      <c r="A619" t="s">
        <v>1166</v>
      </c>
      <c r="B619" t="s">
        <v>1166</v>
      </c>
      <c r="C619" t="s">
        <v>265</v>
      </c>
      <c r="D619" s="72">
        <v>68</v>
      </c>
      <c r="E619" t="s">
        <v>3293</v>
      </c>
    </row>
    <row r="620" hidden="1" spans="1:5">
      <c r="A620" s="8">
        <f>A612+1</f>
        <v>38</v>
      </c>
      <c r="B620" s="7" t="s">
        <v>164</v>
      </c>
    </row>
    <row r="621" hidden="1" spans="1:5">
      <c r="A621" t="s">
        <v>1046</v>
      </c>
      <c r="B621" t="s">
        <v>1046</v>
      </c>
      <c r="C621" t="s">
        <v>164</v>
      </c>
      <c r="D621" s="72">
        <v>53</v>
      </c>
      <c r="E621" t="s">
        <v>3293</v>
      </c>
    </row>
    <row r="622" hidden="1" spans="1:5">
      <c r="A622" t="s">
        <v>1047</v>
      </c>
      <c r="B622" t="s">
        <v>1047</v>
      </c>
      <c r="C622" t="s">
        <v>164</v>
      </c>
      <c r="D622" s="72">
        <v>53</v>
      </c>
      <c r="E622" t="s">
        <v>3293</v>
      </c>
    </row>
    <row r="623" hidden="1" spans="1:5">
      <c r="A623" t="s">
        <v>1049</v>
      </c>
      <c r="B623" t="s">
        <v>1050</v>
      </c>
      <c r="C623" t="s">
        <v>164</v>
      </c>
      <c r="D623" s="72">
        <v>125</v>
      </c>
      <c r="E623" t="s">
        <v>3293</v>
      </c>
    </row>
    <row r="624" s="67" customFormat="1" hidden="1" spans="1:5">
      <c r="A624" s="67" t="s">
        <v>1051</v>
      </c>
      <c r="B624" s="67" t="s">
        <v>1051</v>
      </c>
      <c r="C624" s="67" t="s">
        <v>164</v>
      </c>
      <c r="D624" s="73"/>
      <c r="E624" t="s">
        <v>3293</v>
      </c>
    </row>
    <row r="625" hidden="1" spans="1:5">
      <c r="A625" t="s">
        <v>1053</v>
      </c>
      <c r="B625" t="s">
        <v>1053</v>
      </c>
      <c r="C625" t="s">
        <v>164</v>
      </c>
      <c r="D625" s="72">
        <v>55</v>
      </c>
      <c r="E625" t="s">
        <v>3293</v>
      </c>
    </row>
    <row r="626" hidden="1" spans="1:5">
      <c r="A626" t="s">
        <v>1054</v>
      </c>
      <c r="B626" t="s">
        <v>1054</v>
      </c>
      <c r="C626" t="s">
        <v>164</v>
      </c>
      <c r="D626" s="72">
        <v>50</v>
      </c>
      <c r="E626" t="s">
        <v>3293</v>
      </c>
    </row>
    <row r="627" hidden="1" spans="1:5">
      <c r="A627" t="s">
        <v>1055</v>
      </c>
      <c r="B627" t="s">
        <v>1055</v>
      </c>
      <c r="C627" t="s">
        <v>164</v>
      </c>
      <c r="D627" s="72">
        <v>55</v>
      </c>
      <c r="E627" t="s">
        <v>3293</v>
      </c>
    </row>
    <row r="628" s="67" customFormat="1" hidden="1" spans="1:5">
      <c r="A628" s="67" t="s">
        <v>1056</v>
      </c>
      <c r="B628" s="67" t="s">
        <v>1056</v>
      </c>
      <c r="C628" s="67" t="s">
        <v>164</v>
      </c>
      <c r="D628" s="73"/>
      <c r="E628" t="s">
        <v>3293</v>
      </c>
    </row>
    <row r="629" hidden="1" spans="1:5">
      <c r="A629" t="s">
        <v>1057</v>
      </c>
      <c r="B629" t="s">
        <v>1057</v>
      </c>
      <c r="C629" t="s">
        <v>164</v>
      </c>
      <c r="D629" s="72"/>
      <c r="E629" t="s">
        <v>3293</v>
      </c>
    </row>
    <row r="630" hidden="1" spans="1:5">
      <c r="A630" t="s">
        <v>1058</v>
      </c>
      <c r="B630" t="s">
        <v>1058</v>
      </c>
      <c r="C630" t="s">
        <v>164</v>
      </c>
      <c r="D630" s="72"/>
      <c r="E630" t="s">
        <v>3293</v>
      </c>
    </row>
    <row r="631" hidden="1" spans="1:5">
      <c r="A631" t="s">
        <v>1059</v>
      </c>
      <c r="B631" t="s">
        <v>1059</v>
      </c>
      <c r="C631" t="s">
        <v>164</v>
      </c>
      <c r="D631" s="72">
        <v>115</v>
      </c>
      <c r="E631" t="s">
        <v>3293</v>
      </c>
    </row>
    <row r="632" hidden="1" spans="1:5">
      <c r="A632" t="s">
        <v>1060</v>
      </c>
      <c r="B632" t="s">
        <v>1061</v>
      </c>
      <c r="C632" t="s">
        <v>164</v>
      </c>
      <c r="D632" s="72"/>
      <c r="E632" t="s">
        <v>3293</v>
      </c>
    </row>
    <row r="633" hidden="1" spans="1:5">
      <c r="A633" t="s">
        <v>1062</v>
      </c>
      <c r="B633" t="s">
        <v>1062</v>
      </c>
      <c r="C633" t="s">
        <v>164</v>
      </c>
      <c r="D633" s="72">
        <v>47</v>
      </c>
      <c r="E633" t="s">
        <v>3293</v>
      </c>
    </row>
    <row r="634" hidden="1" spans="1:5">
      <c r="A634" t="s">
        <v>175</v>
      </c>
      <c r="B634" t="s">
        <v>175</v>
      </c>
      <c r="C634" t="s">
        <v>164</v>
      </c>
      <c r="D634" s="72">
        <v>47</v>
      </c>
      <c r="E634" t="s">
        <v>3293</v>
      </c>
    </row>
    <row r="635" hidden="1" spans="1:5">
      <c r="A635" t="s">
        <v>1063</v>
      </c>
      <c r="B635" t="s">
        <v>1063</v>
      </c>
      <c r="C635" t="s">
        <v>164</v>
      </c>
      <c r="D635" s="72">
        <v>47</v>
      </c>
      <c r="E635" t="s">
        <v>3293</v>
      </c>
    </row>
    <row r="636" hidden="1" spans="1:5">
      <c r="A636" t="s">
        <v>177</v>
      </c>
      <c r="B636" t="s">
        <v>177</v>
      </c>
      <c r="C636" t="s">
        <v>164</v>
      </c>
      <c r="D636" s="72">
        <v>110</v>
      </c>
      <c r="E636" t="s">
        <v>3293</v>
      </c>
    </row>
    <row r="637" hidden="1" spans="1:5">
      <c r="A637" t="s">
        <v>178</v>
      </c>
      <c r="B637" t="s">
        <v>178</v>
      </c>
      <c r="C637" t="s">
        <v>164</v>
      </c>
      <c r="D637" s="72">
        <v>110</v>
      </c>
      <c r="E637" t="s">
        <v>3293</v>
      </c>
    </row>
    <row r="638" hidden="1" spans="1:5">
      <c r="A638" t="s">
        <v>179</v>
      </c>
      <c r="B638" t="s">
        <v>179</v>
      </c>
      <c r="C638" t="s">
        <v>164</v>
      </c>
      <c r="D638" s="72">
        <v>112</v>
      </c>
      <c r="E638" t="s">
        <v>3293</v>
      </c>
    </row>
    <row r="639" hidden="1" spans="1:5">
      <c r="A639" t="s">
        <v>1064</v>
      </c>
      <c r="B639" t="s">
        <v>1065</v>
      </c>
      <c r="C639" t="s">
        <v>164</v>
      </c>
      <c r="D639" s="72">
        <v>66</v>
      </c>
      <c r="E639" t="s">
        <v>3293</v>
      </c>
    </row>
    <row r="640" hidden="1" spans="1:5">
      <c r="A640" t="s">
        <v>1066</v>
      </c>
      <c r="B640" t="s">
        <v>1067</v>
      </c>
      <c r="C640" t="s">
        <v>164</v>
      </c>
      <c r="D640" s="72">
        <v>74</v>
      </c>
      <c r="E640" t="s">
        <v>3293</v>
      </c>
    </row>
    <row r="641" hidden="1" spans="1:5">
      <c r="A641" t="s">
        <v>1068</v>
      </c>
      <c r="B641" t="s">
        <v>1068</v>
      </c>
      <c r="C641" t="s">
        <v>164</v>
      </c>
      <c r="D641" s="72">
        <v>74</v>
      </c>
      <c r="E641" t="s">
        <v>3293</v>
      </c>
    </row>
    <row r="642" hidden="1" spans="1:5">
      <c r="A642" t="s">
        <v>1069</v>
      </c>
      <c r="B642" t="s">
        <v>1069</v>
      </c>
      <c r="C642" t="s">
        <v>164</v>
      </c>
      <c r="D642" s="72">
        <v>77</v>
      </c>
      <c r="E642" t="s">
        <v>3293</v>
      </c>
    </row>
    <row r="643" hidden="1" spans="1:5">
      <c r="A643" t="s">
        <v>1070</v>
      </c>
      <c r="B643" t="s">
        <v>1070</v>
      </c>
      <c r="C643" t="s">
        <v>164</v>
      </c>
      <c r="D643" s="72">
        <v>250</v>
      </c>
      <c r="E643" t="s">
        <v>3293</v>
      </c>
    </row>
    <row r="644" hidden="1" spans="1:5">
      <c r="A644" t="s">
        <v>1071</v>
      </c>
      <c r="B644" t="s">
        <v>1071</v>
      </c>
      <c r="C644" t="s">
        <v>164</v>
      </c>
      <c r="D644" s="72">
        <v>68</v>
      </c>
      <c r="E644" t="s">
        <v>3293</v>
      </c>
    </row>
    <row r="645" hidden="1" spans="1:5">
      <c r="A645" t="s">
        <v>1072</v>
      </c>
      <c r="B645" t="s">
        <v>1072</v>
      </c>
      <c r="C645" t="s">
        <v>164</v>
      </c>
      <c r="D645" s="72">
        <v>68</v>
      </c>
      <c r="E645" t="s">
        <v>3293</v>
      </c>
    </row>
    <row r="646" hidden="1" spans="1:5">
      <c r="A646" t="s">
        <v>1073</v>
      </c>
      <c r="B646" t="s">
        <v>1074</v>
      </c>
      <c r="C646" t="s">
        <v>164</v>
      </c>
      <c r="D646" s="72">
        <v>74</v>
      </c>
      <c r="E646" t="s">
        <v>3293</v>
      </c>
    </row>
    <row r="647" hidden="1" spans="1:5">
      <c r="A647" t="s">
        <v>1075</v>
      </c>
      <c r="B647" t="s">
        <v>1076</v>
      </c>
      <c r="C647" t="s">
        <v>164</v>
      </c>
      <c r="D647" s="72">
        <v>115</v>
      </c>
      <c r="E647" t="s">
        <v>3293</v>
      </c>
    </row>
    <row r="648" hidden="1" spans="1:5">
      <c r="A648" t="s">
        <v>1077</v>
      </c>
      <c r="B648" t="s">
        <v>1077</v>
      </c>
      <c r="C648" t="s">
        <v>164</v>
      </c>
      <c r="D648" s="72"/>
      <c r="E648" t="s">
        <v>3293</v>
      </c>
    </row>
    <row r="649" hidden="1" spans="1:5">
      <c r="A649" t="s">
        <v>1078</v>
      </c>
      <c r="B649" t="s">
        <v>1078</v>
      </c>
      <c r="C649" t="s">
        <v>164</v>
      </c>
      <c r="D649" s="72"/>
      <c r="E649" t="s">
        <v>3293</v>
      </c>
    </row>
    <row r="650" hidden="1" spans="1:5">
      <c r="A650" t="s">
        <v>2183</v>
      </c>
      <c r="B650" t="s">
        <v>2183</v>
      </c>
      <c r="C650" t="s">
        <v>1732</v>
      </c>
      <c r="D650" s="4">
        <v>48</v>
      </c>
      <c r="E650" t="s">
        <v>3293</v>
      </c>
    </row>
    <row r="651" hidden="1" spans="1:5">
      <c r="A651" t="s">
        <v>2184</v>
      </c>
      <c r="B651" t="s">
        <v>2184</v>
      </c>
      <c r="C651" t="s">
        <v>1732</v>
      </c>
      <c r="D651" s="4">
        <v>71</v>
      </c>
      <c r="E651" t="s">
        <v>3293</v>
      </c>
    </row>
    <row r="652" hidden="1" spans="1:5">
      <c r="A652" t="s">
        <v>2185</v>
      </c>
      <c r="B652" t="s">
        <v>2185</v>
      </c>
      <c r="C652" t="s">
        <v>1732</v>
      </c>
      <c r="D652" s="4">
        <v>79</v>
      </c>
      <c r="E652" t="s">
        <v>3293</v>
      </c>
    </row>
    <row r="653" hidden="1" spans="1:5">
      <c r="A653" t="s">
        <v>2186</v>
      </c>
      <c r="B653" t="s">
        <v>2186</v>
      </c>
      <c r="C653" t="s">
        <v>1732</v>
      </c>
      <c r="D653" s="4">
        <v>56</v>
      </c>
      <c r="E653" t="s">
        <v>3293</v>
      </c>
    </row>
    <row r="654" hidden="1" spans="1:5">
      <c r="A654" t="s">
        <v>2187</v>
      </c>
      <c r="B654" t="s">
        <v>2187</v>
      </c>
      <c r="C654" t="s">
        <v>1732</v>
      </c>
      <c r="D654" s="4">
        <v>100</v>
      </c>
      <c r="E654" t="s">
        <v>3293</v>
      </c>
    </row>
    <row r="655" hidden="1" spans="1:5">
      <c r="A655" s="8">
        <f>A620+1</f>
        <v>39</v>
      </c>
      <c r="B655" s="7" t="s">
        <v>156</v>
      </c>
    </row>
    <row r="656" hidden="1" spans="1:5">
      <c r="A656" t="s">
        <v>2224</v>
      </c>
      <c r="B656" t="s">
        <v>2225</v>
      </c>
      <c r="C656" t="s">
        <v>156</v>
      </c>
      <c r="D656" s="72">
        <v>425</v>
      </c>
      <c r="E656" t="s">
        <v>124</v>
      </c>
    </row>
    <row r="657" hidden="1" spans="1:5">
      <c r="A657" t="s">
        <v>2227</v>
      </c>
      <c r="B657" t="s">
        <v>2227</v>
      </c>
      <c r="C657" t="s">
        <v>156</v>
      </c>
      <c r="D657" s="72">
        <v>265</v>
      </c>
      <c r="E657" t="s">
        <v>124</v>
      </c>
    </row>
    <row r="658" hidden="1" spans="1:5">
      <c r="A658" t="s">
        <v>2228</v>
      </c>
      <c r="B658" t="s">
        <v>2228</v>
      </c>
      <c r="C658" t="s">
        <v>156</v>
      </c>
      <c r="D658" s="72">
        <v>230</v>
      </c>
      <c r="E658" t="s">
        <v>124</v>
      </c>
    </row>
    <row r="659" hidden="1" spans="1:5">
      <c r="A659" t="s">
        <v>2229</v>
      </c>
      <c r="B659" t="s">
        <v>2229</v>
      </c>
      <c r="C659" t="s">
        <v>156</v>
      </c>
      <c r="D659" s="72">
        <v>216</v>
      </c>
      <c r="E659" t="s">
        <v>124</v>
      </c>
    </row>
    <row r="660" hidden="1" spans="1:5">
      <c r="A660" t="s">
        <v>2232</v>
      </c>
      <c r="B660" t="s">
        <v>2232</v>
      </c>
      <c r="C660" t="s">
        <v>156</v>
      </c>
      <c r="D660" s="72">
        <v>280</v>
      </c>
      <c r="E660" t="s">
        <v>124</v>
      </c>
    </row>
    <row r="661" s="67" customFormat="1" hidden="1" spans="1:5">
      <c r="A661" s="67" t="s">
        <v>2234</v>
      </c>
      <c r="B661" s="67" t="s">
        <v>2235</v>
      </c>
      <c r="C661" s="67" t="s">
        <v>156</v>
      </c>
      <c r="D661" s="73">
        <v>275</v>
      </c>
      <c r="E661" t="s">
        <v>124</v>
      </c>
    </row>
    <row r="662" hidden="1" spans="1:5">
      <c r="A662" s="8">
        <f>A655+1</f>
        <v>40</v>
      </c>
      <c r="B662" s="7" t="s">
        <v>122</v>
      </c>
    </row>
    <row r="663" s="67" customFormat="1" hidden="1" spans="1:5">
      <c r="A663" s="67" t="s">
        <v>2199</v>
      </c>
      <c r="B663" s="67" t="s">
        <v>2199</v>
      </c>
      <c r="C663" s="67" t="s">
        <v>122</v>
      </c>
      <c r="D663" s="73"/>
      <c r="E663" s="67" t="s">
        <v>124</v>
      </c>
    </row>
    <row r="664" hidden="1" spans="1:5">
      <c r="A664" t="s">
        <v>3296</v>
      </c>
      <c r="B664" t="s">
        <v>2200</v>
      </c>
      <c r="C664" t="s">
        <v>122</v>
      </c>
      <c r="D664" s="72">
        <v>24</v>
      </c>
      <c r="E664" t="s">
        <v>124</v>
      </c>
    </row>
    <row r="665" hidden="1" spans="1:5">
      <c r="A665" t="s">
        <v>2201</v>
      </c>
      <c r="B665" t="s">
        <v>2201</v>
      </c>
      <c r="C665" t="s">
        <v>122</v>
      </c>
      <c r="D665" s="72"/>
      <c r="E665" t="s">
        <v>124</v>
      </c>
    </row>
    <row r="666" s="67" customFormat="1" hidden="1" spans="1:5">
      <c r="A666" s="67" t="s">
        <v>2202</v>
      </c>
      <c r="B666" s="67" t="s">
        <v>2202</v>
      </c>
      <c r="C666" s="67" t="s">
        <v>122</v>
      </c>
      <c r="D666" s="73"/>
      <c r="E666" s="67" t="s">
        <v>124</v>
      </c>
    </row>
    <row r="667" s="67" customFormat="1" hidden="1" spans="1:5">
      <c r="A667" s="67" t="s">
        <v>2203</v>
      </c>
      <c r="B667" s="67" t="s">
        <v>2204</v>
      </c>
      <c r="C667" s="67" t="s">
        <v>122</v>
      </c>
      <c r="D667" s="73"/>
      <c r="E667" s="67" t="s">
        <v>124</v>
      </c>
    </row>
    <row r="668" s="67" customFormat="1" hidden="1" spans="1:5">
      <c r="A668" s="67" t="s">
        <v>2205</v>
      </c>
      <c r="B668" s="67" t="s">
        <v>2205</v>
      </c>
      <c r="C668" s="67" t="s">
        <v>122</v>
      </c>
      <c r="D668" s="73"/>
      <c r="E668" s="67" t="s">
        <v>124</v>
      </c>
    </row>
    <row r="669" s="67" customFormat="1" hidden="1" spans="1:5">
      <c r="A669" s="67" t="s">
        <v>2206</v>
      </c>
      <c r="B669" s="67" t="s">
        <v>2206</v>
      </c>
      <c r="C669" s="67" t="s">
        <v>122</v>
      </c>
      <c r="D669" s="73"/>
      <c r="E669" s="67" t="s">
        <v>124</v>
      </c>
    </row>
    <row r="670" s="67" customFormat="1" hidden="1" spans="1:5">
      <c r="A670" s="67" t="s">
        <v>1924</v>
      </c>
      <c r="B670" s="67" t="s">
        <v>2207</v>
      </c>
      <c r="C670" s="67" t="s">
        <v>122</v>
      </c>
      <c r="D670" s="73"/>
      <c r="E670" s="67" t="s">
        <v>124</v>
      </c>
    </row>
    <row r="671" s="67" customFormat="1" hidden="1" spans="1:5">
      <c r="A671" s="67" t="s">
        <v>2208</v>
      </c>
      <c r="B671" s="67" t="s">
        <v>2208</v>
      </c>
      <c r="C671" s="67" t="s">
        <v>122</v>
      </c>
      <c r="D671" s="73"/>
      <c r="E671" s="67" t="s">
        <v>124</v>
      </c>
    </row>
    <row r="672" hidden="1" spans="1:5">
      <c r="A672" t="s">
        <v>2209</v>
      </c>
      <c r="B672" t="s">
        <v>2209</v>
      </c>
      <c r="C672" t="s">
        <v>122</v>
      </c>
      <c r="D672" s="72">
        <v>38</v>
      </c>
      <c r="E672" t="s">
        <v>124</v>
      </c>
    </row>
    <row r="673" s="67" customFormat="1" hidden="1" spans="1:5">
      <c r="A673" s="67" t="s">
        <v>2210</v>
      </c>
      <c r="B673" s="67" t="s">
        <v>2210</v>
      </c>
      <c r="C673" s="67" t="s">
        <v>122</v>
      </c>
      <c r="D673" s="73"/>
      <c r="E673" s="67" t="s">
        <v>124</v>
      </c>
    </row>
    <row r="674" hidden="1" spans="1:5">
      <c r="A674" t="s">
        <v>2211</v>
      </c>
      <c r="B674" t="s">
        <v>2211</v>
      </c>
      <c r="C674" t="s">
        <v>122</v>
      </c>
      <c r="D674" s="72">
        <v>31</v>
      </c>
      <c r="E674" t="s">
        <v>124</v>
      </c>
    </row>
    <row r="675" hidden="1" spans="1:5">
      <c r="A675" t="s">
        <v>2212</v>
      </c>
      <c r="B675" t="s">
        <v>2213</v>
      </c>
      <c r="C675" t="s">
        <v>122</v>
      </c>
      <c r="D675" s="72">
        <v>36</v>
      </c>
      <c r="E675" t="s">
        <v>124</v>
      </c>
    </row>
    <row r="676" hidden="1" spans="1:5">
      <c r="A676" t="s">
        <v>3297</v>
      </c>
      <c r="B676" t="s">
        <v>2214</v>
      </c>
      <c r="C676" t="s">
        <v>122</v>
      </c>
      <c r="D676" s="72">
        <v>25</v>
      </c>
      <c r="E676" t="s">
        <v>124</v>
      </c>
    </row>
    <row r="677" s="67" customFormat="1" hidden="1" spans="1:5">
      <c r="A677" s="67" t="s">
        <v>2215</v>
      </c>
      <c r="B677" s="67" t="s">
        <v>2215</v>
      </c>
      <c r="C677" s="67" t="s">
        <v>122</v>
      </c>
      <c r="D677" s="73"/>
      <c r="E677" s="67" t="s">
        <v>124</v>
      </c>
    </row>
    <row r="678" hidden="1" spans="1:5">
      <c r="A678" t="s">
        <v>3298</v>
      </c>
      <c r="B678" t="s">
        <v>2216</v>
      </c>
      <c r="C678" t="s">
        <v>122</v>
      </c>
      <c r="D678" s="72">
        <v>42</v>
      </c>
      <c r="E678" t="s">
        <v>124</v>
      </c>
    </row>
    <row r="679" s="67" customFormat="1" hidden="1" spans="1:5">
      <c r="A679" s="67" t="s">
        <v>2217</v>
      </c>
      <c r="B679" s="67" t="s">
        <v>2217</v>
      </c>
      <c r="C679" s="67" t="s">
        <v>122</v>
      </c>
      <c r="D679" s="73"/>
      <c r="E679" s="67" t="s">
        <v>124</v>
      </c>
    </row>
    <row r="680" hidden="1" spans="1:5">
      <c r="A680" t="s">
        <v>2218</v>
      </c>
      <c r="B680" t="s">
        <v>2218</v>
      </c>
      <c r="C680" t="s">
        <v>122</v>
      </c>
      <c r="D680" s="72">
        <v>32</v>
      </c>
      <c r="E680" t="s">
        <v>124</v>
      </c>
    </row>
    <row r="681" hidden="1" spans="1:5">
      <c r="A681" t="s">
        <v>2219</v>
      </c>
      <c r="B681" t="s">
        <v>2219</v>
      </c>
      <c r="C681" t="s">
        <v>122</v>
      </c>
      <c r="D681" s="72">
        <v>18</v>
      </c>
      <c r="E681" t="s">
        <v>124</v>
      </c>
    </row>
    <row r="682" hidden="1" spans="1:5">
      <c r="A682" t="s">
        <v>2220</v>
      </c>
      <c r="B682" t="s">
        <v>2221</v>
      </c>
      <c r="C682" t="s">
        <v>122</v>
      </c>
      <c r="D682" s="72">
        <v>24</v>
      </c>
      <c r="E682" t="s">
        <v>124</v>
      </c>
    </row>
    <row r="683" s="67" customFormat="1" hidden="1" spans="1:5">
      <c r="A683" s="67" t="s">
        <v>2222</v>
      </c>
      <c r="B683" s="67" t="s">
        <v>2222</v>
      </c>
      <c r="C683" s="67" t="s">
        <v>122</v>
      </c>
      <c r="D683" s="73"/>
      <c r="E683" t="s">
        <v>124</v>
      </c>
    </row>
    <row r="684" hidden="1" spans="1:5">
      <c r="A684" t="s">
        <v>2223</v>
      </c>
      <c r="B684" t="s">
        <v>2223</v>
      </c>
      <c r="C684" t="s">
        <v>122</v>
      </c>
      <c r="D684" s="72">
        <v>37</v>
      </c>
      <c r="E684" t="s">
        <v>124</v>
      </c>
    </row>
    <row r="685" hidden="1" spans="1:5">
      <c r="A685" t="s">
        <v>2062</v>
      </c>
      <c r="B685" t="s">
        <v>2062</v>
      </c>
      <c r="C685" t="s">
        <v>1732</v>
      </c>
      <c r="D685" s="72"/>
      <c r="E685" t="s">
        <v>124</v>
      </c>
    </row>
    <row r="686" hidden="1" spans="1:5">
      <c r="A686" t="s">
        <v>2072</v>
      </c>
      <c r="B686" t="s">
        <v>2072</v>
      </c>
      <c r="C686" t="s">
        <v>1732</v>
      </c>
      <c r="D686" s="72">
        <v>24</v>
      </c>
      <c r="E686" t="s">
        <v>124</v>
      </c>
    </row>
    <row r="687" hidden="1" spans="1:5">
      <c r="A687" t="s">
        <v>2073</v>
      </c>
      <c r="B687" t="s">
        <v>2073</v>
      </c>
      <c r="C687" t="s">
        <v>1732</v>
      </c>
      <c r="D687" s="72">
        <v>32</v>
      </c>
      <c r="E687" t="s">
        <v>124</v>
      </c>
    </row>
    <row r="688" hidden="1" spans="1:5">
      <c r="A688" t="s">
        <v>2125</v>
      </c>
      <c r="B688" t="s">
        <v>2125</v>
      </c>
      <c r="C688" t="s">
        <v>1732</v>
      </c>
      <c r="D688" s="72">
        <v>19</v>
      </c>
      <c r="E688" t="s">
        <v>124</v>
      </c>
    </row>
    <row r="689" s="67" customFormat="1" hidden="1" spans="1:5">
      <c r="A689" s="67" t="s">
        <v>2126</v>
      </c>
      <c r="B689" s="67" t="s">
        <v>2126</v>
      </c>
      <c r="C689" s="67" t="s">
        <v>1732</v>
      </c>
      <c r="D689" s="73"/>
      <c r="E689" t="s">
        <v>124</v>
      </c>
    </row>
    <row r="690" hidden="1" spans="1:5">
      <c r="A690" t="s">
        <v>2011</v>
      </c>
      <c r="B690" t="s">
        <v>2011</v>
      </c>
      <c r="C690" t="s">
        <v>1732</v>
      </c>
      <c r="D690" s="72"/>
      <c r="E690" t="s">
        <v>124</v>
      </c>
    </row>
    <row r="691" hidden="1" spans="1:5">
      <c r="A691" t="s">
        <v>1877</v>
      </c>
      <c r="B691" t="s">
        <v>1877</v>
      </c>
      <c r="C691" t="s">
        <v>1732</v>
      </c>
      <c r="D691" s="72">
        <v>18.9</v>
      </c>
      <c r="E691" t="s">
        <v>124</v>
      </c>
    </row>
    <row r="692" hidden="1" spans="1:5">
      <c r="A692" t="s">
        <v>1811</v>
      </c>
      <c r="B692" t="s">
        <v>1811</v>
      </c>
      <c r="C692" t="s">
        <v>1732</v>
      </c>
      <c r="D692" s="72">
        <v>31.5</v>
      </c>
      <c r="E692" t="s">
        <v>124</v>
      </c>
    </row>
    <row r="693" s="67" customFormat="1" hidden="1" spans="1:5">
      <c r="A693" s="67" t="s">
        <v>1772</v>
      </c>
      <c r="B693" s="67" t="s">
        <v>1772</v>
      </c>
      <c r="C693" s="67" t="s">
        <v>1732</v>
      </c>
      <c r="D693" s="73"/>
      <c r="E693" s="67" t="s">
        <v>124</v>
      </c>
    </row>
    <row r="694" s="67" customFormat="1" hidden="1" spans="1:5">
      <c r="A694" s="67" t="s">
        <v>1762</v>
      </c>
      <c r="B694" s="67" t="s">
        <v>1762</v>
      </c>
      <c r="C694" s="67" t="s">
        <v>1732</v>
      </c>
      <c r="D694" s="73"/>
      <c r="E694" t="s">
        <v>124</v>
      </c>
    </row>
    <row r="695" hidden="1" spans="1:5">
      <c r="A695" s="70">
        <f>A662+1</f>
        <v>41</v>
      </c>
      <c r="B695" s="7" t="s">
        <v>61</v>
      </c>
    </row>
    <row r="696" hidden="1" spans="1:5">
      <c r="A696" t="s">
        <v>1566</v>
      </c>
      <c r="B696" t="s">
        <v>1566</v>
      </c>
      <c r="C696" t="s">
        <v>61</v>
      </c>
      <c r="D696" s="72">
        <v>109</v>
      </c>
      <c r="E696" t="s">
        <v>3293</v>
      </c>
    </row>
    <row r="697" hidden="1" spans="1:5">
      <c r="A697" t="s">
        <v>1567</v>
      </c>
      <c r="B697" t="s">
        <v>1567</v>
      </c>
      <c r="C697" t="s">
        <v>61</v>
      </c>
      <c r="D697" s="72"/>
      <c r="E697" t="s">
        <v>3293</v>
      </c>
    </row>
    <row r="698" hidden="1" spans="1:5">
      <c r="A698" t="s">
        <v>1568</v>
      </c>
      <c r="B698" t="s">
        <v>1568</v>
      </c>
      <c r="C698" t="s">
        <v>61</v>
      </c>
      <c r="D698" s="72"/>
      <c r="E698" t="s">
        <v>3293</v>
      </c>
    </row>
    <row r="699" hidden="1" spans="1:5">
      <c r="A699" t="s">
        <v>1569</v>
      </c>
      <c r="B699" t="s">
        <v>1569</v>
      </c>
      <c r="C699" t="s">
        <v>61</v>
      </c>
      <c r="D699" s="72">
        <v>132.5</v>
      </c>
      <c r="E699" t="s">
        <v>3293</v>
      </c>
    </row>
    <row r="700" hidden="1" spans="1:5">
      <c r="A700" t="s">
        <v>1570</v>
      </c>
      <c r="B700" t="s">
        <v>1570</v>
      </c>
      <c r="C700" t="s">
        <v>61</v>
      </c>
      <c r="D700" s="72">
        <v>135</v>
      </c>
      <c r="E700" t="s">
        <v>3293</v>
      </c>
    </row>
    <row r="701" hidden="1" spans="1:5">
      <c r="A701" t="s">
        <v>1571</v>
      </c>
      <c r="B701" t="s">
        <v>1571</v>
      </c>
      <c r="C701" t="s">
        <v>61</v>
      </c>
      <c r="D701" s="72">
        <v>280</v>
      </c>
      <c r="E701" t="s">
        <v>3293</v>
      </c>
    </row>
    <row r="702" hidden="1" spans="1:5">
      <c r="A702" t="s">
        <v>1572</v>
      </c>
      <c r="B702" t="s">
        <v>1572</v>
      </c>
      <c r="C702" t="s">
        <v>61</v>
      </c>
      <c r="D702" s="72">
        <v>110</v>
      </c>
      <c r="E702" t="s">
        <v>3293</v>
      </c>
    </row>
    <row r="703" hidden="1" spans="1:5">
      <c r="A703" t="s">
        <v>1573</v>
      </c>
      <c r="B703" t="s">
        <v>1573</v>
      </c>
      <c r="C703" t="s">
        <v>61</v>
      </c>
      <c r="D703" s="72">
        <v>134</v>
      </c>
      <c r="E703" t="s">
        <v>3293</v>
      </c>
    </row>
    <row r="704" hidden="1" spans="1:5">
      <c r="A704" t="s">
        <v>1574</v>
      </c>
      <c r="B704" t="s">
        <v>1574</v>
      </c>
      <c r="C704" t="s">
        <v>61</v>
      </c>
      <c r="D704" s="72">
        <v>135</v>
      </c>
      <c r="E704" t="s">
        <v>3293</v>
      </c>
    </row>
    <row r="705" hidden="1" spans="1:5">
      <c r="A705" t="s">
        <v>1575</v>
      </c>
      <c r="B705" t="s">
        <v>1575</v>
      </c>
      <c r="C705" t="s">
        <v>61</v>
      </c>
      <c r="D705" s="72">
        <v>240</v>
      </c>
      <c r="E705" t="s">
        <v>3293</v>
      </c>
    </row>
    <row r="706" hidden="1" spans="1:5">
      <c r="A706" t="s">
        <v>1576</v>
      </c>
      <c r="B706" t="s">
        <v>1576</v>
      </c>
      <c r="C706" t="s">
        <v>61</v>
      </c>
      <c r="D706" s="72">
        <v>165</v>
      </c>
      <c r="E706" t="s">
        <v>3293</v>
      </c>
    </row>
    <row r="707" hidden="1" spans="1:5">
      <c r="A707" t="s">
        <v>1577</v>
      </c>
      <c r="B707" t="s">
        <v>1577</v>
      </c>
      <c r="C707" t="s">
        <v>61</v>
      </c>
      <c r="D707" s="72">
        <v>160</v>
      </c>
      <c r="E707" t="s">
        <v>3293</v>
      </c>
    </row>
    <row r="708" s="67" customFormat="1" hidden="1" spans="1:5">
      <c r="A708" s="67" t="s">
        <v>1578</v>
      </c>
      <c r="B708" s="67" t="s">
        <v>1578</v>
      </c>
      <c r="C708" s="67" t="s">
        <v>61</v>
      </c>
      <c r="D708" s="73"/>
      <c r="E708" s="67" t="s">
        <v>3293</v>
      </c>
    </row>
    <row r="709" s="67" customFormat="1" hidden="1" spans="1:5">
      <c r="A709" s="67" t="s">
        <v>1579</v>
      </c>
      <c r="B709" s="67" t="s">
        <v>1579</v>
      </c>
      <c r="C709" s="67" t="s">
        <v>61</v>
      </c>
      <c r="D709" s="73"/>
      <c r="E709" s="67" t="s">
        <v>3293</v>
      </c>
    </row>
    <row r="710" s="67" customFormat="1" hidden="1" spans="1:5">
      <c r="A710" s="67" t="s">
        <v>1580</v>
      </c>
      <c r="B710" s="67" t="s">
        <v>1580</v>
      </c>
      <c r="C710" s="67" t="s">
        <v>61</v>
      </c>
      <c r="D710" s="73"/>
      <c r="E710" s="67" t="s">
        <v>3293</v>
      </c>
    </row>
    <row r="711" s="67" customFormat="1" hidden="1" spans="1:5">
      <c r="A711" s="67" t="s">
        <v>1581</v>
      </c>
      <c r="B711" s="67" t="s">
        <v>1581</v>
      </c>
      <c r="C711" s="67" t="s">
        <v>61</v>
      </c>
      <c r="D711" s="73"/>
      <c r="E711" s="67" t="s">
        <v>3293</v>
      </c>
    </row>
    <row r="712" hidden="1" spans="1:5">
      <c r="A712" t="s">
        <v>1582</v>
      </c>
      <c r="B712" t="s">
        <v>1582</v>
      </c>
      <c r="C712" t="s">
        <v>61</v>
      </c>
      <c r="D712" s="72">
        <v>148</v>
      </c>
      <c r="E712" t="s">
        <v>3293</v>
      </c>
    </row>
    <row r="713" hidden="1" spans="1:5">
      <c r="A713" t="s">
        <v>1583</v>
      </c>
      <c r="B713" t="s">
        <v>1583</v>
      </c>
      <c r="C713" t="s">
        <v>61</v>
      </c>
      <c r="D713" s="72">
        <v>144</v>
      </c>
      <c r="E713" t="s">
        <v>3293</v>
      </c>
    </row>
    <row r="714" s="67" customFormat="1" hidden="1" spans="1:5">
      <c r="A714" s="67" t="s">
        <v>1584</v>
      </c>
      <c r="B714" s="67" t="s">
        <v>1584</v>
      </c>
      <c r="C714" s="67" t="s">
        <v>61</v>
      </c>
      <c r="D714" s="73"/>
      <c r="E714" s="67" t="s">
        <v>3293</v>
      </c>
    </row>
    <row r="715" s="67" customFormat="1" hidden="1" spans="1:5">
      <c r="A715" s="67" t="s">
        <v>1585</v>
      </c>
      <c r="B715" s="67" t="s">
        <v>1585</v>
      </c>
      <c r="C715" s="67" t="s">
        <v>61</v>
      </c>
      <c r="D715" s="73"/>
      <c r="E715" s="67" t="s">
        <v>3293</v>
      </c>
    </row>
    <row r="716" hidden="1" spans="1:5">
      <c r="A716" s="67" t="s">
        <v>1586</v>
      </c>
      <c r="B716" t="s">
        <v>1586</v>
      </c>
      <c r="C716" t="s">
        <v>61</v>
      </c>
      <c r="D716" s="72"/>
      <c r="E716" t="s">
        <v>3293</v>
      </c>
    </row>
    <row r="717" hidden="1" spans="1:5">
      <c r="A717" t="s">
        <v>1587</v>
      </c>
      <c r="B717" t="s">
        <v>1587</v>
      </c>
      <c r="C717" t="s">
        <v>61</v>
      </c>
      <c r="D717" s="72">
        <v>145</v>
      </c>
      <c r="E717" t="s">
        <v>3293</v>
      </c>
    </row>
    <row r="718" hidden="1" spans="1:5">
      <c r="A718" t="s">
        <v>1588</v>
      </c>
      <c r="B718" t="s">
        <v>1588</v>
      </c>
      <c r="C718" t="s">
        <v>61</v>
      </c>
      <c r="D718" s="72">
        <v>125</v>
      </c>
      <c r="E718" t="s">
        <v>3293</v>
      </c>
    </row>
    <row r="719" hidden="1" spans="1:5">
      <c r="A719" t="s">
        <v>1589</v>
      </c>
      <c r="B719" t="s">
        <v>1589</v>
      </c>
      <c r="C719" t="s">
        <v>61</v>
      </c>
      <c r="D719" s="72">
        <v>125</v>
      </c>
      <c r="E719" t="s">
        <v>3293</v>
      </c>
    </row>
    <row r="720" hidden="1" spans="1:5">
      <c r="A720" t="s">
        <v>1590</v>
      </c>
      <c r="B720" t="s">
        <v>1590</v>
      </c>
      <c r="C720" t="s">
        <v>61</v>
      </c>
      <c r="D720" s="72">
        <v>150</v>
      </c>
      <c r="E720" t="s">
        <v>3293</v>
      </c>
    </row>
    <row r="721" hidden="1" spans="1:5">
      <c r="A721" t="s">
        <v>1591</v>
      </c>
      <c r="B721" t="s">
        <v>1591</v>
      </c>
      <c r="C721" t="s">
        <v>61</v>
      </c>
      <c r="D721" s="72">
        <v>145</v>
      </c>
      <c r="E721" t="s">
        <v>3293</v>
      </c>
    </row>
    <row r="722" hidden="1" spans="1:5">
      <c r="A722" t="s">
        <v>1592</v>
      </c>
      <c r="B722" t="s">
        <v>1592</v>
      </c>
      <c r="C722" t="s">
        <v>61</v>
      </c>
      <c r="D722" s="72">
        <v>142</v>
      </c>
      <c r="E722" t="s">
        <v>3293</v>
      </c>
    </row>
    <row r="723" s="67" customFormat="1" hidden="1" spans="1:5">
      <c r="A723" s="67" t="s">
        <v>1593</v>
      </c>
      <c r="B723" s="67" t="s">
        <v>1593</v>
      </c>
      <c r="C723" s="67" t="s">
        <v>61</v>
      </c>
      <c r="D723" s="73"/>
      <c r="E723" s="67" t="s">
        <v>3293</v>
      </c>
    </row>
    <row r="724" s="67" customFormat="1" hidden="1" spans="1:5">
      <c r="A724" s="67" t="s">
        <v>1594</v>
      </c>
      <c r="B724" s="67" t="s">
        <v>1594</v>
      </c>
      <c r="C724" s="67" t="s">
        <v>61</v>
      </c>
      <c r="D724" s="73"/>
      <c r="E724" s="67" t="s">
        <v>3293</v>
      </c>
    </row>
    <row r="725" hidden="1" spans="1:5">
      <c r="A725" t="s">
        <v>1595</v>
      </c>
      <c r="B725" t="s">
        <v>1596</v>
      </c>
      <c r="C725" t="s">
        <v>61</v>
      </c>
      <c r="D725" s="72"/>
      <c r="E725" t="s">
        <v>3293</v>
      </c>
    </row>
    <row r="726" hidden="1" spans="1:5">
      <c r="A726" t="s">
        <v>1597</v>
      </c>
      <c r="B726" t="s">
        <v>1597</v>
      </c>
      <c r="C726" t="s">
        <v>61</v>
      </c>
      <c r="D726" s="72">
        <v>138</v>
      </c>
      <c r="E726" t="s">
        <v>3293</v>
      </c>
    </row>
    <row r="727" hidden="1" spans="1:5">
      <c r="A727" t="s">
        <v>1598</v>
      </c>
      <c r="B727" t="s">
        <v>1598</v>
      </c>
      <c r="C727" t="s">
        <v>61</v>
      </c>
      <c r="D727" s="72">
        <v>124</v>
      </c>
      <c r="E727" t="s">
        <v>3293</v>
      </c>
    </row>
    <row r="728" s="67" customFormat="1" hidden="1" spans="1:5">
      <c r="A728" s="67" t="s">
        <v>1599</v>
      </c>
      <c r="B728" s="67" t="s">
        <v>1600</v>
      </c>
      <c r="C728" s="67" t="s">
        <v>61</v>
      </c>
      <c r="D728" s="73"/>
      <c r="E728" s="67" t="s">
        <v>3293</v>
      </c>
    </row>
    <row r="729" hidden="1" spans="1:5">
      <c r="A729" t="s">
        <v>1601</v>
      </c>
      <c r="B729" t="s">
        <v>1602</v>
      </c>
      <c r="C729" t="s">
        <v>61</v>
      </c>
      <c r="D729" s="72">
        <v>126</v>
      </c>
      <c r="E729" t="s">
        <v>3293</v>
      </c>
    </row>
    <row r="730" hidden="1" spans="1:5">
      <c r="A730" t="s">
        <v>1603</v>
      </c>
      <c r="B730" t="s">
        <v>1603</v>
      </c>
      <c r="C730" t="s">
        <v>61</v>
      </c>
      <c r="D730" s="72">
        <v>128</v>
      </c>
      <c r="E730" t="s">
        <v>3293</v>
      </c>
    </row>
    <row r="731" hidden="1" spans="1:5">
      <c r="A731" t="s">
        <v>1604</v>
      </c>
      <c r="B731" t="s">
        <v>1604</v>
      </c>
      <c r="C731" t="s">
        <v>61</v>
      </c>
      <c r="D731" s="72">
        <v>124</v>
      </c>
      <c r="E731" t="s">
        <v>3293</v>
      </c>
    </row>
    <row r="732" hidden="1" spans="1:5">
      <c r="A732" t="s">
        <v>1605</v>
      </c>
      <c r="B732" t="s">
        <v>1605</v>
      </c>
      <c r="C732" t="s">
        <v>61</v>
      </c>
      <c r="D732" s="72">
        <v>150</v>
      </c>
      <c r="E732" t="s">
        <v>3293</v>
      </c>
    </row>
    <row r="733" hidden="1" spans="1:5">
      <c r="A733" t="s">
        <v>1606</v>
      </c>
      <c r="B733" t="s">
        <v>1607</v>
      </c>
      <c r="C733" t="s">
        <v>61</v>
      </c>
      <c r="D733" s="72">
        <v>140</v>
      </c>
      <c r="E733" t="s">
        <v>3293</v>
      </c>
    </row>
    <row r="734" s="67" customFormat="1" hidden="1" spans="1:5">
      <c r="A734" s="67" t="s">
        <v>1608</v>
      </c>
      <c r="B734" s="67" t="s">
        <v>1608</v>
      </c>
      <c r="C734" s="67" t="s">
        <v>61</v>
      </c>
      <c r="D734" s="73"/>
      <c r="E734" s="67" t="s">
        <v>3293</v>
      </c>
    </row>
    <row r="735" s="67" customFormat="1" hidden="1" spans="1:5">
      <c r="A735" s="67" t="s">
        <v>1609</v>
      </c>
      <c r="B735" s="67" t="s">
        <v>1609</v>
      </c>
      <c r="C735" s="67" t="s">
        <v>61</v>
      </c>
      <c r="D735" s="73"/>
      <c r="E735" s="67" t="s">
        <v>3293</v>
      </c>
    </row>
    <row r="736" hidden="1" spans="1:5">
      <c r="A736" t="s">
        <v>1610</v>
      </c>
      <c r="B736" t="s">
        <v>1610</v>
      </c>
      <c r="C736" t="s">
        <v>61</v>
      </c>
      <c r="D736" s="72">
        <v>145</v>
      </c>
      <c r="E736" t="s">
        <v>3293</v>
      </c>
    </row>
    <row r="737" hidden="1" spans="1:5">
      <c r="A737" t="s">
        <v>1611</v>
      </c>
      <c r="B737" t="s">
        <v>1611</v>
      </c>
      <c r="C737" t="s">
        <v>61</v>
      </c>
      <c r="D737" s="72">
        <v>140</v>
      </c>
      <c r="E737" t="s">
        <v>3293</v>
      </c>
    </row>
    <row r="738" hidden="1" spans="1:5">
      <c r="A738" t="s">
        <v>1612</v>
      </c>
      <c r="B738" t="s">
        <v>1612</v>
      </c>
      <c r="C738" t="s">
        <v>61</v>
      </c>
      <c r="D738" s="72">
        <v>155</v>
      </c>
      <c r="E738" t="s">
        <v>3293</v>
      </c>
    </row>
    <row r="739" hidden="1" spans="1:5">
      <c r="A739" t="s">
        <v>1613</v>
      </c>
      <c r="B739" t="s">
        <v>1613</v>
      </c>
      <c r="C739" t="s">
        <v>61</v>
      </c>
      <c r="D739" s="72">
        <v>165</v>
      </c>
      <c r="E739" t="s">
        <v>3293</v>
      </c>
    </row>
    <row r="740" hidden="1" spans="1:5">
      <c r="A740" t="s">
        <v>1614</v>
      </c>
      <c r="B740" t="s">
        <v>1614</v>
      </c>
      <c r="C740" t="s">
        <v>61</v>
      </c>
      <c r="D740" s="72">
        <v>120</v>
      </c>
      <c r="E740" t="s">
        <v>3293</v>
      </c>
    </row>
    <row r="741" hidden="1" spans="1:5">
      <c r="A741" t="s">
        <v>2109</v>
      </c>
      <c r="B741" t="s">
        <v>2109</v>
      </c>
      <c r="C741" t="s">
        <v>1732</v>
      </c>
      <c r="D741" s="72">
        <v>110</v>
      </c>
      <c r="E741" t="s">
        <v>1124</v>
      </c>
    </row>
    <row r="742" hidden="1" spans="1:5">
      <c r="A742" t="s">
        <v>2110</v>
      </c>
      <c r="B742" t="s">
        <v>2110</v>
      </c>
      <c r="C742" t="s">
        <v>1732</v>
      </c>
      <c r="D742" s="72">
        <v>130</v>
      </c>
      <c r="E742" t="s">
        <v>1124</v>
      </c>
    </row>
    <row r="743" hidden="1" spans="1:5">
      <c r="A743" t="s">
        <v>1851</v>
      </c>
      <c r="B743" t="s">
        <v>1852</v>
      </c>
      <c r="C743" t="s">
        <v>1732</v>
      </c>
      <c r="D743" s="72">
        <v>100</v>
      </c>
      <c r="E743" t="s">
        <v>329</v>
      </c>
    </row>
    <row r="744" hidden="1" spans="1:5">
      <c r="A744" t="s">
        <v>1879</v>
      </c>
      <c r="B744" t="s">
        <v>1879</v>
      </c>
      <c r="C744" t="s">
        <v>1732</v>
      </c>
      <c r="D744"/>
      <c r="E744" t="s">
        <v>329</v>
      </c>
    </row>
    <row r="745" hidden="1" spans="1:5">
      <c r="A745" t="s">
        <v>2053</v>
      </c>
      <c r="B745" t="s">
        <v>2053</v>
      </c>
      <c r="C745" t="s">
        <v>1732</v>
      </c>
      <c r="D745"/>
      <c r="E745" t="s">
        <v>1124</v>
      </c>
    </row>
    <row r="746" hidden="1" spans="1:5">
      <c r="A746" t="s">
        <v>2054</v>
      </c>
      <c r="B746" t="s">
        <v>2054</v>
      </c>
      <c r="C746" t="s">
        <v>1732</v>
      </c>
      <c r="D746"/>
      <c r="E746" t="s">
        <v>1124</v>
      </c>
    </row>
    <row r="747" hidden="1" spans="1:5">
      <c r="A747" t="s">
        <v>2055</v>
      </c>
      <c r="B747" t="s">
        <v>2055</v>
      </c>
      <c r="C747" t="s">
        <v>1732</v>
      </c>
      <c r="D747"/>
      <c r="E747" t="s">
        <v>1124</v>
      </c>
    </row>
    <row r="748" hidden="1" spans="1:5">
      <c r="A748" t="s">
        <v>2056</v>
      </c>
      <c r="B748" t="s">
        <v>2057</v>
      </c>
      <c r="C748" t="s">
        <v>1732</v>
      </c>
      <c r="D748"/>
      <c r="E748" t="s">
        <v>1124</v>
      </c>
    </row>
    <row r="749" hidden="1" spans="1:5">
      <c r="A749" t="s">
        <v>2058</v>
      </c>
      <c r="B749" t="s">
        <v>2058</v>
      </c>
      <c r="C749" t="s">
        <v>1732</v>
      </c>
      <c r="D749"/>
      <c r="E749" t="s">
        <v>1124</v>
      </c>
    </row>
    <row r="750" hidden="1" spans="1:5">
      <c r="A750" t="s">
        <v>2059</v>
      </c>
      <c r="B750" t="s">
        <v>2059</v>
      </c>
      <c r="C750" t="s">
        <v>1732</v>
      </c>
      <c r="D750"/>
      <c r="E750" t="s">
        <v>1124</v>
      </c>
    </row>
    <row r="751" hidden="1" spans="1:5">
      <c r="A751" t="s">
        <v>2060</v>
      </c>
      <c r="B751" t="s">
        <v>2060</v>
      </c>
      <c r="C751" t="s">
        <v>1732</v>
      </c>
      <c r="D751"/>
      <c r="E751" t="s">
        <v>1124</v>
      </c>
    </row>
    <row r="752" hidden="1" spans="1:5">
      <c r="A752" t="s">
        <v>2061</v>
      </c>
      <c r="B752" t="s">
        <v>2061</v>
      </c>
      <c r="C752" t="s">
        <v>1732</v>
      </c>
      <c r="D752"/>
      <c r="E752" t="s">
        <v>1124</v>
      </c>
    </row>
    <row r="753" hidden="1" spans="1:5">
      <c r="A753"/>
      <c r="B753" s="7" t="s">
        <v>141</v>
      </c>
      <c r="D753"/>
    </row>
    <row r="754" hidden="1" spans="1:5">
      <c r="A754" t="s">
        <v>3299</v>
      </c>
      <c r="B754" t="s">
        <v>2294</v>
      </c>
      <c r="C754" t="s">
        <v>141</v>
      </c>
      <c r="D754" s="72">
        <v>13.5</v>
      </c>
      <c r="E754" t="s">
        <v>124</v>
      </c>
    </row>
    <row r="755" hidden="1" spans="1:5">
      <c r="A755" t="s">
        <v>3300</v>
      </c>
      <c r="B755" t="s">
        <v>2296</v>
      </c>
      <c r="C755" t="s">
        <v>141</v>
      </c>
      <c r="D755" s="72">
        <v>115</v>
      </c>
      <c r="E755" t="s">
        <v>124</v>
      </c>
    </row>
    <row r="756" s="67" customFormat="1" hidden="1" spans="1:5">
      <c r="A756" s="67" t="s">
        <v>2297</v>
      </c>
      <c r="B756" s="67" t="s">
        <v>2298</v>
      </c>
      <c r="C756" s="67" t="s">
        <v>141</v>
      </c>
      <c r="D756" s="73"/>
      <c r="E756" s="67" t="s">
        <v>124</v>
      </c>
    </row>
    <row r="757" hidden="1" spans="1:5">
      <c r="A757" t="s">
        <v>144</v>
      </c>
      <c r="B757" t="s">
        <v>2299</v>
      </c>
      <c r="C757" t="s">
        <v>141</v>
      </c>
      <c r="D757" s="72">
        <v>88</v>
      </c>
      <c r="E757" t="s">
        <v>124</v>
      </c>
    </row>
    <row r="758" hidden="1" spans="1:5">
      <c r="A758" t="s">
        <v>3301</v>
      </c>
      <c r="B758" t="s">
        <v>2300</v>
      </c>
      <c r="C758" t="s">
        <v>141</v>
      </c>
      <c r="D758" s="72">
        <v>120</v>
      </c>
      <c r="E758" t="s">
        <v>124</v>
      </c>
    </row>
    <row r="759" hidden="1" spans="1:5">
      <c r="A759" t="s">
        <v>3302</v>
      </c>
      <c r="B759" t="s">
        <v>2301</v>
      </c>
      <c r="C759" t="s">
        <v>141</v>
      </c>
      <c r="D759" s="72">
        <v>190</v>
      </c>
      <c r="E759" t="s">
        <v>124</v>
      </c>
    </row>
    <row r="760" hidden="1" spans="1:5">
      <c r="A760" t="s">
        <v>3303</v>
      </c>
      <c r="B760" t="s">
        <v>2303</v>
      </c>
      <c r="C760" t="s">
        <v>141</v>
      </c>
      <c r="D760" s="72">
        <v>14</v>
      </c>
      <c r="E760" t="s">
        <v>3293</v>
      </c>
    </row>
    <row r="761" hidden="1" spans="1:5">
      <c r="A761" t="s">
        <v>3304</v>
      </c>
      <c r="B761" t="s">
        <v>2115</v>
      </c>
      <c r="C761" t="s">
        <v>1732</v>
      </c>
      <c r="D761" s="76">
        <v>14.5</v>
      </c>
      <c r="E761" t="s">
        <v>3293</v>
      </c>
    </row>
    <row r="762" hidden="1" spans="1:5">
      <c r="A762" t="s">
        <v>3305</v>
      </c>
      <c r="B762" t="s">
        <v>2021</v>
      </c>
      <c r="C762" t="s">
        <v>1732</v>
      </c>
      <c r="D762" s="76">
        <v>10.5</v>
      </c>
      <c r="E762" t="s">
        <v>3293</v>
      </c>
    </row>
    <row r="763" hidden="1" spans="1:5">
      <c r="A763" t="s">
        <v>3306</v>
      </c>
      <c r="B763" t="s">
        <v>2021</v>
      </c>
      <c r="C763" t="s">
        <v>1732</v>
      </c>
      <c r="D763" s="4">
        <v>51</v>
      </c>
      <c r="E763" t="s">
        <v>3293</v>
      </c>
    </row>
    <row r="764" hidden="1" spans="1:5">
      <c r="A764" t="s">
        <v>2142</v>
      </c>
      <c r="B764" t="s">
        <v>2142</v>
      </c>
      <c r="C764" t="s">
        <v>1732</v>
      </c>
      <c r="D764" s="76">
        <v>10.5</v>
      </c>
      <c r="E764" t="s">
        <v>1930</v>
      </c>
    </row>
    <row r="765" hidden="1" spans="1:5">
      <c r="A765" t="s">
        <v>2181</v>
      </c>
      <c r="B765" t="s">
        <v>2181</v>
      </c>
      <c r="C765" t="s">
        <v>1732</v>
      </c>
      <c r="D765" s="76">
        <v>14.5</v>
      </c>
      <c r="E765" t="s">
        <v>1930</v>
      </c>
    </row>
    <row r="766" hidden="1" spans="1:5">
      <c r="A766" t="s">
        <v>2188</v>
      </c>
      <c r="B766" t="s">
        <v>2188</v>
      </c>
      <c r="C766" t="s">
        <v>1732</v>
      </c>
      <c r="D766">
        <v>100</v>
      </c>
      <c r="E766" t="s">
        <v>3293</v>
      </c>
    </row>
    <row r="767" spans="1:5">
      <c r="A767" s="8">
        <f>Sheet2!C1+1</f>
        <v>1</v>
      </c>
      <c r="B767" s="7" t="s">
        <v>3278</v>
      </c>
    </row>
    <row r="768" spans="1:5">
      <c r="A768" t="s">
        <v>3236</v>
      </c>
      <c r="B768" t="s">
        <v>991</v>
      </c>
      <c r="C768" t="s">
        <v>3233</v>
      </c>
      <c r="D768"/>
      <c r="E768" t="s">
        <v>3237</v>
      </c>
    </row>
    <row r="769" spans="1:5">
      <c r="A769" t="s">
        <v>3234</v>
      </c>
      <c r="B769" t="s">
        <v>998</v>
      </c>
      <c r="C769" t="s">
        <v>3233</v>
      </c>
      <c r="D769"/>
      <c r="E769" t="s">
        <v>124</v>
      </c>
    </row>
    <row r="770" spans="1:5">
      <c r="A770" s="8">
        <f>A767+1</f>
        <v>2</v>
      </c>
      <c r="B770" s="29" t="s">
        <v>3279</v>
      </c>
    </row>
    <row r="771" spans="1:5">
      <c r="A771" t="s">
        <v>2193</v>
      </c>
      <c r="B771" t="s">
        <v>2193</v>
      </c>
      <c r="C771" t="s">
        <v>1732</v>
      </c>
      <c r="D771"/>
      <c r="E771" t="s">
        <v>124</v>
      </c>
    </row>
    <row r="772" spans="1:5">
      <c r="A772" t="s">
        <v>2169</v>
      </c>
      <c r="B772" t="s">
        <v>2169</v>
      </c>
      <c r="C772" t="s">
        <v>1732</v>
      </c>
      <c r="D772"/>
      <c r="E772" t="s">
        <v>124</v>
      </c>
    </row>
    <row r="773" spans="1:5">
      <c r="A773" t="s">
        <v>2170</v>
      </c>
      <c r="B773" t="s">
        <v>2170</v>
      </c>
      <c r="C773" t="s">
        <v>1732</v>
      </c>
      <c r="D773"/>
      <c r="E773" t="s">
        <v>124</v>
      </c>
    </row>
    <row r="774" spans="1:5">
      <c r="A774" t="s">
        <v>845</v>
      </c>
      <c r="B774" t="s">
        <v>845</v>
      </c>
      <c r="C774" t="s">
        <v>1691</v>
      </c>
      <c r="D774" s="72"/>
      <c r="E774" t="s">
        <v>124</v>
      </c>
    </row>
    <row r="775" spans="1:5">
      <c r="A775" t="s">
        <v>849</v>
      </c>
      <c r="B775" t="s">
        <v>849</v>
      </c>
      <c r="C775" t="s">
        <v>1691</v>
      </c>
      <c r="D775" s="72"/>
      <c r="E775" t="s">
        <v>124</v>
      </c>
    </row>
    <row r="776" spans="1:5">
      <c r="A776" t="s">
        <v>846</v>
      </c>
      <c r="B776" t="s">
        <v>846</v>
      </c>
      <c r="C776" t="s">
        <v>1691</v>
      </c>
      <c r="D776" s="72"/>
      <c r="E776" t="s">
        <v>124</v>
      </c>
    </row>
    <row r="777" spans="1:5">
      <c r="A777" t="s">
        <v>844</v>
      </c>
      <c r="B777" t="s">
        <v>844</v>
      </c>
      <c r="C777" t="s">
        <v>1691</v>
      </c>
      <c r="D777" s="72"/>
      <c r="E777" t="s">
        <v>124</v>
      </c>
    </row>
    <row r="778" spans="1:5">
      <c r="A778" t="s">
        <v>842</v>
      </c>
      <c r="B778" t="s">
        <v>842</v>
      </c>
      <c r="C778" t="s">
        <v>1691</v>
      </c>
      <c r="D778" s="72"/>
      <c r="E778" t="s">
        <v>124</v>
      </c>
    </row>
    <row r="779" spans="1:5">
      <c r="A779" t="s">
        <v>848</v>
      </c>
      <c r="B779" t="s">
        <v>848</v>
      </c>
      <c r="C779" t="s">
        <v>1691</v>
      </c>
      <c r="D779" s="72"/>
      <c r="E779" t="s">
        <v>124</v>
      </c>
    </row>
    <row r="780" spans="1:5">
      <c r="A780" t="s">
        <v>847</v>
      </c>
      <c r="B780" t="s">
        <v>847</v>
      </c>
      <c r="C780" t="s">
        <v>1691</v>
      </c>
      <c r="D780" s="72"/>
      <c r="E780" t="s">
        <v>124</v>
      </c>
    </row>
    <row r="781" spans="1:5">
      <c r="A781" t="s">
        <v>872</v>
      </c>
      <c r="B781" t="s">
        <v>1692</v>
      </c>
      <c r="C781" t="s">
        <v>1691</v>
      </c>
      <c r="D781" s="72"/>
      <c r="E781" t="s">
        <v>124</v>
      </c>
    </row>
    <row r="782" spans="1:5">
      <c r="A782" t="s">
        <v>1693</v>
      </c>
      <c r="B782" t="s">
        <v>1693</v>
      </c>
      <c r="C782" t="s">
        <v>1691</v>
      </c>
      <c r="D782" s="72"/>
      <c r="E782" t="s">
        <v>124</v>
      </c>
    </row>
    <row r="783" spans="1:5">
      <c r="A783" t="s">
        <v>1373</v>
      </c>
      <c r="B783" t="s">
        <v>1373</v>
      </c>
      <c r="C783" t="s">
        <v>1372</v>
      </c>
      <c r="D783" s="72"/>
      <c r="E783" t="s">
        <v>124</v>
      </c>
    </row>
    <row r="784" spans="1:5">
      <c r="A784" t="s">
        <v>1374</v>
      </c>
      <c r="B784" t="s">
        <v>1374</v>
      </c>
      <c r="C784" t="s">
        <v>1372</v>
      </c>
      <c r="D784" s="72"/>
      <c r="E784" t="s">
        <v>124</v>
      </c>
    </row>
    <row r="785" spans="1:5">
      <c r="A785" t="s">
        <v>1375</v>
      </c>
      <c r="B785" t="s">
        <v>1375</v>
      </c>
      <c r="C785" t="s">
        <v>1372</v>
      </c>
      <c r="D785" s="72"/>
      <c r="E785" t="s">
        <v>124</v>
      </c>
    </row>
    <row r="786" spans="1:5">
      <c r="A786" t="s">
        <v>1376</v>
      </c>
      <c r="B786" t="s">
        <v>1376</v>
      </c>
      <c r="C786" t="s">
        <v>1372</v>
      </c>
      <c r="D786" s="72"/>
      <c r="E786" t="s">
        <v>124</v>
      </c>
    </row>
    <row r="787" spans="1:5">
      <c r="A787" t="s">
        <v>1377</v>
      </c>
      <c r="B787" t="s">
        <v>1378</v>
      </c>
      <c r="C787" t="s">
        <v>1372</v>
      </c>
      <c r="D787" s="72"/>
      <c r="E787" t="s">
        <v>124</v>
      </c>
    </row>
    <row r="788" spans="1:5">
      <c r="A788" t="s">
        <v>854</v>
      </c>
      <c r="B788" t="s">
        <v>854</v>
      </c>
      <c r="C788" t="s">
        <v>1372</v>
      </c>
      <c r="D788" s="72"/>
      <c r="E788" t="s">
        <v>124</v>
      </c>
    </row>
    <row r="789" spans="1:5">
      <c r="A789" t="s">
        <v>1379</v>
      </c>
      <c r="B789" t="s">
        <v>1380</v>
      </c>
      <c r="C789" t="s">
        <v>1372</v>
      </c>
      <c r="D789" s="72"/>
      <c r="E789" t="s">
        <v>124</v>
      </c>
    </row>
    <row r="790" spans="1:5">
      <c r="A790" t="s">
        <v>1381</v>
      </c>
      <c r="B790" t="s">
        <v>1382</v>
      </c>
      <c r="C790" t="s">
        <v>1372</v>
      </c>
      <c r="D790" s="72"/>
      <c r="E790" t="s">
        <v>124</v>
      </c>
    </row>
    <row r="791" spans="1:5">
      <c r="A791" t="s">
        <v>1383</v>
      </c>
      <c r="B791" t="s">
        <v>1384</v>
      </c>
      <c r="C791" t="s">
        <v>1372</v>
      </c>
      <c r="D791" s="72"/>
      <c r="E791" t="s">
        <v>124</v>
      </c>
    </row>
    <row r="792" spans="1:5">
      <c r="A792" t="s">
        <v>1385</v>
      </c>
      <c r="B792" t="s">
        <v>1386</v>
      </c>
      <c r="C792" t="s">
        <v>1372</v>
      </c>
      <c r="D792" s="72"/>
      <c r="E792" t="s">
        <v>124</v>
      </c>
    </row>
    <row r="793" spans="1:5">
      <c r="A793" t="s">
        <v>1387</v>
      </c>
      <c r="B793" t="s">
        <v>1387</v>
      </c>
      <c r="C793" t="s">
        <v>1372</v>
      </c>
      <c r="D793" s="72"/>
      <c r="E793" t="s">
        <v>124</v>
      </c>
    </row>
    <row r="794" spans="1:5">
      <c r="A794" t="s">
        <v>1388</v>
      </c>
      <c r="B794" t="s">
        <v>1389</v>
      </c>
      <c r="C794" t="s">
        <v>1372</v>
      </c>
      <c r="D794" s="72"/>
      <c r="E794" t="s">
        <v>124</v>
      </c>
    </row>
    <row r="795" spans="1:5">
      <c r="A795" t="s">
        <v>1390</v>
      </c>
      <c r="B795" t="s">
        <v>1391</v>
      </c>
      <c r="C795" t="s">
        <v>1372</v>
      </c>
      <c r="D795" s="72"/>
      <c r="E795" t="s">
        <v>124</v>
      </c>
    </row>
    <row r="796" spans="1:5">
      <c r="A796" t="s">
        <v>1392</v>
      </c>
      <c r="B796" t="s">
        <v>1392</v>
      </c>
      <c r="C796" t="s">
        <v>1372</v>
      </c>
      <c r="D796" s="72"/>
      <c r="E796" t="s">
        <v>124</v>
      </c>
    </row>
    <row r="797" spans="1:5">
      <c r="A797" t="s">
        <v>996</v>
      </c>
      <c r="B797" t="s">
        <v>996</v>
      </c>
      <c r="C797" t="s">
        <v>1372</v>
      </c>
      <c r="D797" s="72"/>
      <c r="E797" t="s">
        <v>124</v>
      </c>
    </row>
    <row r="798" spans="1:5">
      <c r="A798" t="s">
        <v>1393</v>
      </c>
      <c r="B798" t="s">
        <v>1393</v>
      </c>
      <c r="C798" t="s">
        <v>1372</v>
      </c>
      <c r="D798" s="72"/>
      <c r="E798" t="s">
        <v>124</v>
      </c>
    </row>
    <row r="799" spans="1:5">
      <c r="A799" t="s">
        <v>1394</v>
      </c>
      <c r="B799" t="s">
        <v>1394</v>
      </c>
      <c r="C799" t="s">
        <v>1372</v>
      </c>
      <c r="D799" s="72"/>
      <c r="E799" t="s">
        <v>124</v>
      </c>
    </row>
    <row r="800" spans="1:5">
      <c r="A800" t="s">
        <v>1395</v>
      </c>
      <c r="B800" t="s">
        <v>1395</v>
      </c>
      <c r="C800" t="s">
        <v>1372</v>
      </c>
      <c r="D800" s="72"/>
      <c r="E800" t="s">
        <v>124</v>
      </c>
    </row>
    <row r="801" spans="1:5">
      <c r="A801" t="s">
        <v>1396</v>
      </c>
      <c r="B801" t="s">
        <v>1397</v>
      </c>
      <c r="C801" t="s">
        <v>1372</v>
      </c>
      <c r="D801" s="72"/>
      <c r="E801" t="s">
        <v>124</v>
      </c>
    </row>
    <row r="802" spans="1:5">
      <c r="A802" t="s">
        <v>1398</v>
      </c>
      <c r="B802" t="s">
        <v>1399</v>
      </c>
      <c r="C802" t="s">
        <v>1372</v>
      </c>
      <c r="D802" s="72"/>
      <c r="E802" t="s">
        <v>124</v>
      </c>
    </row>
    <row r="803" spans="1:5">
      <c r="A803" t="s">
        <v>1400</v>
      </c>
      <c r="B803" t="s">
        <v>1400</v>
      </c>
      <c r="C803" t="s">
        <v>1372</v>
      </c>
      <c r="D803" s="72"/>
      <c r="E803" t="s">
        <v>124</v>
      </c>
    </row>
    <row r="804" spans="1:5">
      <c r="A804" t="s">
        <v>1401</v>
      </c>
      <c r="B804" t="s">
        <v>1401</v>
      </c>
      <c r="C804" t="s">
        <v>1372</v>
      </c>
      <c r="D804" s="72"/>
      <c r="E804" t="s">
        <v>124</v>
      </c>
    </row>
    <row r="805" spans="1:5">
      <c r="A805" t="s">
        <v>1402</v>
      </c>
      <c r="B805" t="s">
        <v>1403</v>
      </c>
      <c r="C805" t="s">
        <v>1372</v>
      </c>
      <c r="D805" s="72"/>
      <c r="E805" t="s">
        <v>124</v>
      </c>
    </row>
    <row r="806" spans="1:5">
      <c r="A806" t="s">
        <v>1404</v>
      </c>
      <c r="B806" t="s">
        <v>1404</v>
      </c>
      <c r="C806" t="s">
        <v>1372</v>
      </c>
      <c r="D806" s="72"/>
      <c r="E806" t="s">
        <v>124</v>
      </c>
    </row>
    <row r="807" spans="1:5">
      <c r="A807" t="s">
        <v>1405</v>
      </c>
      <c r="B807" t="s">
        <v>1405</v>
      </c>
      <c r="C807" t="s">
        <v>1372</v>
      </c>
      <c r="D807" s="72"/>
      <c r="E807" t="s">
        <v>124</v>
      </c>
    </row>
    <row r="808" spans="1:5">
      <c r="A808" t="s">
        <v>1406</v>
      </c>
      <c r="B808" t="s">
        <v>1406</v>
      </c>
      <c r="C808" t="s">
        <v>1372</v>
      </c>
      <c r="D808" s="72"/>
      <c r="E808" t="s">
        <v>124</v>
      </c>
    </row>
    <row r="809" spans="1:5">
      <c r="A809" t="s">
        <v>1407</v>
      </c>
      <c r="B809" t="s">
        <v>1407</v>
      </c>
      <c r="C809" t="s">
        <v>1372</v>
      </c>
      <c r="D809" s="72"/>
      <c r="E809" t="s">
        <v>124</v>
      </c>
    </row>
    <row r="810" spans="1:5">
      <c r="A810" t="s">
        <v>1408</v>
      </c>
      <c r="B810" t="s">
        <v>1409</v>
      </c>
      <c r="C810" t="s">
        <v>1372</v>
      </c>
      <c r="D810" s="72"/>
      <c r="E810" t="s">
        <v>124</v>
      </c>
    </row>
    <row r="811" spans="1:5">
      <c r="A811" t="s">
        <v>1410</v>
      </c>
      <c r="B811" t="s">
        <v>1410</v>
      </c>
      <c r="C811" t="s">
        <v>1372</v>
      </c>
      <c r="D811" s="72"/>
      <c r="E811" t="s">
        <v>124</v>
      </c>
    </row>
    <row r="812" spans="1:5">
      <c r="A812" t="s">
        <v>1411</v>
      </c>
      <c r="B812" t="s">
        <v>1411</v>
      </c>
      <c r="C812" t="s">
        <v>1372</v>
      </c>
      <c r="D812" s="72"/>
      <c r="E812" t="s">
        <v>124</v>
      </c>
    </row>
    <row r="813" spans="1:5">
      <c r="A813" t="s">
        <v>1412</v>
      </c>
      <c r="B813" t="s">
        <v>1412</v>
      </c>
      <c r="C813" t="s">
        <v>1372</v>
      </c>
      <c r="D813" s="72"/>
      <c r="E813" t="s">
        <v>124</v>
      </c>
    </row>
    <row r="814" spans="1:5">
      <c r="A814" t="s">
        <v>1413</v>
      </c>
      <c r="B814" t="s">
        <v>1414</v>
      </c>
      <c r="C814" t="s">
        <v>1372</v>
      </c>
      <c r="D814" s="72"/>
      <c r="E814" t="s">
        <v>124</v>
      </c>
    </row>
    <row r="815" spans="1:5">
      <c r="A815" t="s">
        <v>1415</v>
      </c>
      <c r="B815" t="s">
        <v>1416</v>
      </c>
      <c r="C815" t="s">
        <v>1372</v>
      </c>
      <c r="D815" s="72"/>
      <c r="E815" t="s">
        <v>124</v>
      </c>
    </row>
    <row r="816" spans="1:5">
      <c r="A816" t="s">
        <v>1417</v>
      </c>
      <c r="B816" t="s">
        <v>1418</v>
      </c>
      <c r="C816" t="s">
        <v>1372</v>
      </c>
      <c r="D816" s="72"/>
      <c r="E816" t="s">
        <v>124</v>
      </c>
    </row>
    <row r="817" spans="1:5">
      <c r="A817" t="s">
        <v>1419</v>
      </c>
      <c r="B817" t="s">
        <v>1420</v>
      </c>
      <c r="C817" t="s">
        <v>1372</v>
      </c>
      <c r="D817" s="72"/>
      <c r="E817" t="s">
        <v>124</v>
      </c>
    </row>
    <row r="818" spans="1:5">
      <c r="A818" t="s">
        <v>1421</v>
      </c>
      <c r="B818" t="s">
        <v>1422</v>
      </c>
      <c r="C818" t="s">
        <v>1372</v>
      </c>
      <c r="D818" s="72"/>
      <c r="E818" t="s">
        <v>124</v>
      </c>
    </row>
    <row r="819" spans="1:5">
      <c r="A819" t="s">
        <v>1423</v>
      </c>
      <c r="B819" t="s">
        <v>1423</v>
      </c>
      <c r="C819" t="s">
        <v>1372</v>
      </c>
      <c r="D819" s="72"/>
      <c r="E819" t="s">
        <v>124</v>
      </c>
    </row>
    <row r="820" spans="1:5">
      <c r="A820" t="s">
        <v>1424</v>
      </c>
      <c r="B820" t="s">
        <v>1424</v>
      </c>
      <c r="C820" t="s">
        <v>1372</v>
      </c>
      <c r="D820" s="72"/>
      <c r="E820" t="s">
        <v>124</v>
      </c>
    </row>
    <row r="821" spans="1:5">
      <c r="A821" t="s">
        <v>1425</v>
      </c>
      <c r="B821" t="s">
        <v>1425</v>
      </c>
      <c r="C821" t="s">
        <v>1372</v>
      </c>
      <c r="D821" s="72"/>
      <c r="E821" t="s">
        <v>124</v>
      </c>
    </row>
    <row r="822" spans="1:5">
      <c r="A822" t="s">
        <v>1426</v>
      </c>
      <c r="B822" t="s">
        <v>1427</v>
      </c>
      <c r="C822" t="s">
        <v>1372</v>
      </c>
      <c r="D822" s="72"/>
      <c r="E822" t="s">
        <v>124</v>
      </c>
    </row>
    <row r="823" spans="1:5">
      <c r="A823" t="s">
        <v>1428</v>
      </c>
      <c r="B823" t="s">
        <v>1429</v>
      </c>
      <c r="C823" t="s">
        <v>1372</v>
      </c>
      <c r="D823" s="72"/>
      <c r="E823" t="s">
        <v>124</v>
      </c>
    </row>
    <row r="824" spans="1:5">
      <c r="A824" t="s">
        <v>742</v>
      </c>
      <c r="B824" t="s">
        <v>742</v>
      </c>
      <c r="C824" t="s">
        <v>1372</v>
      </c>
      <c r="D824" s="72"/>
      <c r="E824" t="s">
        <v>124</v>
      </c>
    </row>
    <row r="825" spans="1:5">
      <c r="A825" t="s">
        <v>1430</v>
      </c>
      <c r="B825" t="s">
        <v>1431</v>
      </c>
      <c r="C825" t="s">
        <v>1372</v>
      </c>
      <c r="D825" s="72"/>
      <c r="E825" t="s">
        <v>124</v>
      </c>
    </row>
    <row r="826" spans="1:5">
      <c r="A826" t="s">
        <v>1432</v>
      </c>
      <c r="B826" t="s">
        <v>1433</v>
      </c>
      <c r="C826" t="s">
        <v>1372</v>
      </c>
      <c r="D826" s="72"/>
      <c r="E826" t="s">
        <v>124</v>
      </c>
    </row>
    <row r="827" spans="1:5">
      <c r="A827" t="s">
        <v>1434</v>
      </c>
      <c r="B827" t="s">
        <v>678</v>
      </c>
      <c r="C827" t="s">
        <v>1372</v>
      </c>
      <c r="D827" s="72"/>
      <c r="E827" t="s">
        <v>124</v>
      </c>
    </row>
    <row r="828" spans="1:5">
      <c r="A828" t="s">
        <v>1435</v>
      </c>
      <c r="B828" t="s">
        <v>1435</v>
      </c>
      <c r="C828" t="s">
        <v>1372</v>
      </c>
      <c r="D828" s="72"/>
      <c r="E828" t="s">
        <v>124</v>
      </c>
    </row>
    <row r="829" spans="1:5">
      <c r="A829" t="s">
        <v>1436</v>
      </c>
      <c r="B829" t="s">
        <v>1436</v>
      </c>
      <c r="C829" t="s">
        <v>1372</v>
      </c>
      <c r="D829" s="72"/>
      <c r="E829" t="s">
        <v>124</v>
      </c>
    </row>
    <row r="830" spans="1:5">
      <c r="A830" t="s">
        <v>1437</v>
      </c>
      <c r="B830" t="s">
        <v>1437</v>
      </c>
      <c r="C830" t="s">
        <v>1372</v>
      </c>
      <c r="D830" s="72"/>
      <c r="E830" t="s">
        <v>124</v>
      </c>
    </row>
    <row r="831" spans="1:5">
      <c r="A831" t="s">
        <v>853</v>
      </c>
      <c r="B831" t="s">
        <v>853</v>
      </c>
      <c r="C831" t="s">
        <v>1372</v>
      </c>
      <c r="D831" s="72"/>
      <c r="E831" t="s">
        <v>124</v>
      </c>
    </row>
    <row r="832" spans="1:5">
      <c r="A832" t="s">
        <v>856</v>
      </c>
      <c r="B832" t="s">
        <v>856</v>
      </c>
      <c r="C832" t="s">
        <v>1372</v>
      </c>
      <c r="D832" s="72"/>
      <c r="E832" t="s">
        <v>124</v>
      </c>
    </row>
    <row r="833" spans="1:5">
      <c r="A833" t="s">
        <v>1438</v>
      </c>
      <c r="B833" t="s">
        <v>1438</v>
      </c>
      <c r="C833" t="s">
        <v>1372</v>
      </c>
      <c r="D833" s="72"/>
      <c r="E833" t="s">
        <v>124</v>
      </c>
    </row>
    <row r="834" spans="1:5">
      <c r="A834" t="s">
        <v>1439</v>
      </c>
      <c r="B834" t="s">
        <v>304</v>
      </c>
      <c r="C834" t="s">
        <v>1372</v>
      </c>
      <c r="D834" s="72"/>
      <c r="E834" t="s">
        <v>124</v>
      </c>
    </row>
    <row r="835" spans="1:5">
      <c r="A835" t="s">
        <v>1440</v>
      </c>
      <c r="B835" t="s">
        <v>1440</v>
      </c>
      <c r="C835" t="s">
        <v>1372</v>
      </c>
      <c r="D835" s="72"/>
      <c r="E835" t="s">
        <v>124</v>
      </c>
    </row>
    <row r="836" spans="1:5">
      <c r="A836" t="s">
        <v>1441</v>
      </c>
      <c r="B836" t="s">
        <v>1441</v>
      </c>
      <c r="C836" t="s">
        <v>1372</v>
      </c>
      <c r="D836" s="72"/>
      <c r="E836" t="s">
        <v>124</v>
      </c>
    </row>
    <row r="837" spans="1:5">
      <c r="A837" t="s">
        <v>1442</v>
      </c>
      <c r="B837" t="s">
        <v>1442</v>
      </c>
      <c r="C837" t="s">
        <v>1372</v>
      </c>
      <c r="D837" s="72"/>
      <c r="E837" t="s">
        <v>124</v>
      </c>
    </row>
    <row r="838" spans="1:5">
      <c r="A838" t="s">
        <v>1443</v>
      </c>
      <c r="B838" t="s">
        <v>1444</v>
      </c>
      <c r="C838" t="s">
        <v>1372</v>
      </c>
      <c r="D838" s="72"/>
      <c r="E838" t="s">
        <v>124</v>
      </c>
    </row>
    <row r="839" spans="1:5">
      <c r="A839" t="s">
        <v>1445</v>
      </c>
      <c r="B839" t="s">
        <v>1446</v>
      </c>
      <c r="C839" t="s">
        <v>1372</v>
      </c>
      <c r="D839" s="72"/>
      <c r="E839" t="s">
        <v>124</v>
      </c>
    </row>
    <row r="840" spans="1:5">
      <c r="A840" t="s">
        <v>1447</v>
      </c>
      <c r="B840" t="s">
        <v>1448</v>
      </c>
      <c r="C840" t="s">
        <v>1372</v>
      </c>
      <c r="D840" s="72"/>
      <c r="E840" t="s">
        <v>124</v>
      </c>
    </row>
    <row r="841" spans="1:5">
      <c r="A841" t="s">
        <v>1449</v>
      </c>
      <c r="B841" t="s">
        <v>1449</v>
      </c>
      <c r="C841" t="s">
        <v>1372</v>
      </c>
      <c r="D841" s="72"/>
      <c r="E841" t="s">
        <v>124</v>
      </c>
    </row>
    <row r="842" spans="1:5">
      <c r="A842" t="s">
        <v>1450</v>
      </c>
      <c r="B842" t="s">
        <v>1450</v>
      </c>
      <c r="C842" t="s">
        <v>1372</v>
      </c>
      <c r="D842" s="72"/>
      <c r="E842" t="s">
        <v>124</v>
      </c>
    </row>
    <row r="843" spans="1:5">
      <c r="A843" t="s">
        <v>1451</v>
      </c>
      <c r="B843" t="s">
        <v>1451</v>
      </c>
      <c r="C843" t="s">
        <v>1372</v>
      </c>
      <c r="D843" s="72"/>
      <c r="E843" t="s">
        <v>124</v>
      </c>
    </row>
    <row r="844" spans="1:5">
      <c r="A844" t="s">
        <v>1452</v>
      </c>
      <c r="B844" t="s">
        <v>1452</v>
      </c>
      <c r="C844" t="s">
        <v>1372</v>
      </c>
      <c r="D844" s="72"/>
      <c r="E844" t="s">
        <v>124</v>
      </c>
    </row>
    <row r="845" spans="1:5">
      <c r="A845" t="s">
        <v>1453</v>
      </c>
      <c r="B845" t="s">
        <v>1453</v>
      </c>
      <c r="C845" t="s">
        <v>1372</v>
      </c>
      <c r="D845" s="72"/>
      <c r="E845" t="s">
        <v>124</v>
      </c>
    </row>
    <row r="846" spans="1:5">
      <c r="A846" t="s">
        <v>1454</v>
      </c>
      <c r="B846" t="s">
        <v>1455</v>
      </c>
      <c r="C846" t="s">
        <v>1372</v>
      </c>
      <c r="D846" s="72"/>
      <c r="E846" t="s">
        <v>124</v>
      </c>
    </row>
    <row r="847" spans="1:5">
      <c r="A847" t="s">
        <v>1456</v>
      </c>
      <c r="B847" t="s">
        <v>1457</v>
      </c>
      <c r="C847" t="s">
        <v>1372</v>
      </c>
      <c r="D847" s="72"/>
      <c r="E847" t="s">
        <v>124</v>
      </c>
    </row>
    <row r="848" spans="1:5">
      <c r="A848" t="s">
        <v>1458</v>
      </c>
      <c r="B848" t="s">
        <v>1458</v>
      </c>
      <c r="C848" t="s">
        <v>1372</v>
      </c>
      <c r="D848" s="72"/>
      <c r="E848" t="s">
        <v>124</v>
      </c>
    </row>
    <row r="849" spans="1:5">
      <c r="A849" t="s">
        <v>1459</v>
      </c>
      <c r="B849" t="s">
        <v>1459</v>
      </c>
      <c r="C849" t="s">
        <v>1372</v>
      </c>
      <c r="D849" s="72"/>
      <c r="E849" t="s">
        <v>124</v>
      </c>
    </row>
    <row r="850" spans="1:5">
      <c r="A850" t="s">
        <v>782</v>
      </c>
      <c r="B850" t="s">
        <v>782</v>
      </c>
      <c r="C850" t="s">
        <v>2281</v>
      </c>
      <c r="D850" s="72"/>
      <c r="E850" t="s">
        <v>124</v>
      </c>
    </row>
    <row r="851" spans="1:5">
      <c r="A851" t="s">
        <v>1007</v>
      </c>
      <c r="B851" t="s">
        <v>1007</v>
      </c>
      <c r="C851" t="s">
        <v>458</v>
      </c>
      <c r="D851" s="72"/>
      <c r="E851" t="s">
        <v>124</v>
      </c>
    </row>
    <row r="852" spans="1:5">
      <c r="A852" t="s">
        <v>1008</v>
      </c>
      <c r="B852" t="s">
        <v>1008</v>
      </c>
      <c r="C852" t="s">
        <v>458</v>
      </c>
      <c r="D852" s="72"/>
      <c r="E852" t="s">
        <v>124</v>
      </c>
    </row>
    <row r="853" spans="1:5">
      <c r="A853" t="s">
        <v>1009</v>
      </c>
      <c r="B853" t="s">
        <v>1009</v>
      </c>
      <c r="C853" t="s">
        <v>458</v>
      </c>
      <c r="D853" s="72"/>
      <c r="E853" t="s">
        <v>124</v>
      </c>
    </row>
    <row r="854" spans="1:5">
      <c r="A854" t="s">
        <v>1010</v>
      </c>
      <c r="B854" t="s">
        <v>1010</v>
      </c>
      <c r="C854" t="s">
        <v>458</v>
      </c>
      <c r="D854" s="72"/>
      <c r="E854" t="s">
        <v>124</v>
      </c>
    </row>
    <row r="855" spans="1:5">
      <c r="A855" t="s">
        <v>1011</v>
      </c>
      <c r="B855" t="s">
        <v>1012</v>
      </c>
      <c r="C855" t="s">
        <v>458</v>
      </c>
      <c r="D855" s="72"/>
      <c r="E855" t="s">
        <v>124</v>
      </c>
    </row>
    <row r="856" spans="1:5">
      <c r="A856" t="s">
        <v>1013</v>
      </c>
      <c r="B856" t="s">
        <v>1013</v>
      </c>
      <c r="C856" t="s">
        <v>458</v>
      </c>
      <c r="D856" s="72"/>
      <c r="E856" t="s">
        <v>124</v>
      </c>
    </row>
    <row r="857" spans="1:5">
      <c r="A857" t="s">
        <v>1014</v>
      </c>
      <c r="B857" t="s">
        <v>1015</v>
      </c>
      <c r="C857" t="s">
        <v>458</v>
      </c>
      <c r="D857" s="72"/>
      <c r="E857" t="s">
        <v>124</v>
      </c>
    </row>
    <row r="858" spans="1:5">
      <c r="A858" t="s">
        <v>1016</v>
      </c>
      <c r="B858" t="s">
        <v>1017</v>
      </c>
      <c r="C858" t="s">
        <v>458</v>
      </c>
      <c r="D858" s="72"/>
      <c r="E858" t="s">
        <v>124</v>
      </c>
    </row>
    <row r="859" spans="1:5">
      <c r="A859" t="s">
        <v>1018</v>
      </c>
      <c r="B859" t="s">
        <v>1018</v>
      </c>
      <c r="C859" t="s">
        <v>458</v>
      </c>
      <c r="D859" s="72"/>
      <c r="E859" t="s">
        <v>124</v>
      </c>
    </row>
    <row r="860" spans="1:5">
      <c r="A860" t="s">
        <v>1019</v>
      </c>
      <c r="B860" t="s">
        <v>1019</v>
      </c>
      <c r="C860" t="s">
        <v>458</v>
      </c>
      <c r="D860" s="72"/>
      <c r="E860" t="s">
        <v>124</v>
      </c>
    </row>
    <row r="861" spans="1:5">
      <c r="A861" t="s">
        <v>1020</v>
      </c>
      <c r="B861" t="s">
        <v>1020</v>
      </c>
      <c r="C861" t="s">
        <v>458</v>
      </c>
      <c r="D861" s="72"/>
      <c r="E861" t="s">
        <v>124</v>
      </c>
    </row>
    <row r="862" spans="1:5">
      <c r="A862" t="s">
        <v>1021</v>
      </c>
      <c r="B862" t="s">
        <v>1021</v>
      </c>
      <c r="C862" t="s">
        <v>458</v>
      </c>
      <c r="D862" s="72"/>
      <c r="E862" t="s">
        <v>124</v>
      </c>
    </row>
    <row r="863" spans="1:5">
      <c r="A863" t="s">
        <v>1022</v>
      </c>
      <c r="B863" t="s">
        <v>1022</v>
      </c>
      <c r="C863" t="s">
        <v>458</v>
      </c>
      <c r="D863" s="72"/>
      <c r="E863" t="s">
        <v>124</v>
      </c>
    </row>
    <row r="864" spans="1:5">
      <c r="A864" t="s">
        <v>1023</v>
      </c>
      <c r="B864" t="s">
        <v>1023</v>
      </c>
      <c r="C864" t="s">
        <v>458</v>
      </c>
      <c r="D864" s="72"/>
      <c r="E864" t="s">
        <v>124</v>
      </c>
    </row>
    <row r="865" spans="1:5">
      <c r="A865" t="s">
        <v>1024</v>
      </c>
      <c r="B865" t="s">
        <v>1024</v>
      </c>
      <c r="C865" t="s">
        <v>458</v>
      </c>
      <c r="D865" s="72"/>
      <c r="E865" t="s">
        <v>124</v>
      </c>
    </row>
    <row r="866" spans="1:5">
      <c r="A866" t="s">
        <v>1025</v>
      </c>
      <c r="B866" t="s">
        <v>1025</v>
      </c>
      <c r="C866" t="s">
        <v>458</v>
      </c>
      <c r="D866" s="72"/>
      <c r="E866" t="s">
        <v>124</v>
      </c>
    </row>
    <row r="867" spans="1:5">
      <c r="A867" t="s">
        <v>1895</v>
      </c>
      <c r="B867" t="s">
        <v>1895</v>
      </c>
      <c r="C867" t="s">
        <v>1732</v>
      </c>
      <c r="D867"/>
      <c r="E867" t="s">
        <v>124</v>
      </c>
    </row>
    <row r="868" spans="1:5">
      <c r="A868" t="s">
        <v>1896</v>
      </c>
      <c r="B868" t="s">
        <v>1896</v>
      </c>
      <c r="C868" t="s">
        <v>1732</v>
      </c>
      <c r="D868"/>
      <c r="E868" t="s">
        <v>124</v>
      </c>
    </row>
    <row r="869" spans="1:5">
      <c r="A869" t="s">
        <v>1901</v>
      </c>
      <c r="B869" t="s">
        <v>1901</v>
      </c>
      <c r="C869" t="s">
        <v>1732</v>
      </c>
      <c r="D869"/>
      <c r="E869" t="s">
        <v>124</v>
      </c>
    </row>
    <row r="870" spans="1:5">
      <c r="A870" t="s">
        <v>1910</v>
      </c>
      <c r="B870" t="s">
        <v>1910</v>
      </c>
      <c r="C870" t="s">
        <v>1732</v>
      </c>
      <c r="D870"/>
      <c r="E870" t="s">
        <v>475</v>
      </c>
    </row>
    <row r="871" spans="1:5">
      <c r="A871" t="s">
        <v>1922</v>
      </c>
      <c r="B871" t="s">
        <v>1922</v>
      </c>
      <c r="C871" t="s">
        <v>1732</v>
      </c>
      <c r="D871"/>
      <c r="E871" t="s">
        <v>124</v>
      </c>
    </row>
    <row r="872" spans="1:5">
      <c r="A872" t="s">
        <v>1927</v>
      </c>
      <c r="B872" t="s">
        <v>1927</v>
      </c>
      <c r="C872" t="s">
        <v>1732</v>
      </c>
      <c r="D872"/>
      <c r="E872" t="s">
        <v>124</v>
      </c>
    </row>
    <row r="873" spans="1:5">
      <c r="A873" t="s">
        <v>783</v>
      </c>
      <c r="B873" t="s">
        <v>783</v>
      </c>
      <c r="C873" t="s">
        <v>1732</v>
      </c>
      <c r="D873"/>
      <c r="E873" t="s">
        <v>124</v>
      </c>
    </row>
    <row r="874" spans="1:5">
      <c r="A874" t="s">
        <v>1928</v>
      </c>
      <c r="B874" t="s">
        <v>1928</v>
      </c>
      <c r="C874" t="s">
        <v>1732</v>
      </c>
      <c r="D874"/>
      <c r="E874" t="s">
        <v>124</v>
      </c>
    </row>
    <row r="875" spans="1:5">
      <c r="A875" t="s">
        <v>1975</v>
      </c>
      <c r="B875" t="s">
        <v>1975</v>
      </c>
      <c r="C875" t="s">
        <v>1732</v>
      </c>
      <c r="D875"/>
      <c r="E875" t="s">
        <v>124</v>
      </c>
    </row>
    <row r="876" spans="1:5">
      <c r="A876" t="s">
        <v>1976</v>
      </c>
      <c r="B876" t="s">
        <v>1976</v>
      </c>
      <c r="C876" t="s">
        <v>1732</v>
      </c>
      <c r="D876"/>
      <c r="E876" t="s">
        <v>124</v>
      </c>
    </row>
    <row r="877" spans="1:5">
      <c r="A877" t="s">
        <v>2025</v>
      </c>
      <c r="B877" t="s">
        <v>2025</v>
      </c>
      <c r="C877" t="s">
        <v>1732</v>
      </c>
      <c r="D877"/>
      <c r="E877" t="s">
        <v>124</v>
      </c>
    </row>
    <row r="878" spans="1:5">
      <c r="A878" t="s">
        <v>2155</v>
      </c>
      <c r="B878" t="s">
        <v>2155</v>
      </c>
      <c r="C878" t="s">
        <v>1732</v>
      </c>
      <c r="D878"/>
      <c r="E878" t="s">
        <v>475</v>
      </c>
    </row>
    <row r="879" spans="1:5">
      <c r="A879" t="s">
        <v>2176</v>
      </c>
      <c r="B879" t="s">
        <v>2176</v>
      </c>
      <c r="C879" t="s">
        <v>1732</v>
      </c>
      <c r="D879"/>
      <c r="E879" t="s">
        <v>124</v>
      </c>
    </row>
    <row r="880" spans="1:5">
      <c r="A880" t="s">
        <v>2177</v>
      </c>
      <c r="B880" t="s">
        <v>2177</v>
      </c>
      <c r="C880" t="s">
        <v>1732</v>
      </c>
      <c r="D880"/>
      <c r="E880" t="s">
        <v>124</v>
      </c>
    </row>
    <row r="881" spans="1:5">
      <c r="A881" t="s">
        <v>2178</v>
      </c>
      <c r="B881" t="s">
        <v>2178</v>
      </c>
      <c r="C881" t="s">
        <v>1732</v>
      </c>
      <c r="D881"/>
      <c r="E881" t="s">
        <v>124</v>
      </c>
    </row>
    <row r="882" spans="1:5">
      <c r="A882" t="s">
        <v>2179</v>
      </c>
      <c r="B882" t="s">
        <v>2179</v>
      </c>
      <c r="C882" t="s">
        <v>1732</v>
      </c>
      <c r="D882"/>
      <c r="E882" t="s">
        <v>124</v>
      </c>
    </row>
    <row r="883" spans="1:5">
      <c r="A883" t="s">
        <v>2138</v>
      </c>
      <c r="B883" t="s">
        <v>2138</v>
      </c>
      <c r="C883" t="s">
        <v>1732</v>
      </c>
      <c r="D883"/>
      <c r="E883" t="s">
        <v>124</v>
      </c>
    </row>
    <row r="884" spans="1:5">
      <c r="A884" t="s">
        <v>2289</v>
      </c>
      <c r="B884" t="s">
        <v>2289</v>
      </c>
      <c r="C884" t="s">
        <v>2281</v>
      </c>
      <c r="D884" s="72"/>
      <c r="E884" t="s">
        <v>124</v>
      </c>
    </row>
    <row r="885" spans="1:5">
      <c r="A885" t="s">
        <v>775</v>
      </c>
      <c r="B885" t="s">
        <v>775</v>
      </c>
      <c r="C885" t="s">
        <v>2281</v>
      </c>
      <c r="D885" s="72"/>
      <c r="E885" t="s">
        <v>124</v>
      </c>
    </row>
    <row r="886" spans="1:5">
      <c r="A886" t="s">
        <v>2048</v>
      </c>
      <c r="B886" t="s">
        <v>2048</v>
      </c>
      <c r="C886" t="s">
        <v>1732</v>
      </c>
      <c r="D886"/>
      <c r="E886" t="s">
        <v>803</v>
      </c>
    </row>
    <row r="887" spans="1:5">
      <c r="A887" s="8">
        <f>A770+1</f>
        <v>3</v>
      </c>
      <c r="B887" s="71" t="s">
        <v>458</v>
      </c>
    </row>
    <row r="888" spans="1:5">
      <c r="A888" s="8">
        <f>A887+1</f>
        <v>4</v>
      </c>
      <c r="B888" s="29" t="s">
        <v>3280</v>
      </c>
    </row>
    <row r="889" spans="1:5">
      <c r="A889" t="s">
        <v>2196</v>
      </c>
      <c r="B889" t="s">
        <v>2196</v>
      </c>
      <c r="C889" t="s">
        <v>1732</v>
      </c>
      <c r="D889"/>
      <c r="E889" t="s">
        <v>124</v>
      </c>
    </row>
    <row r="890" spans="1:5">
      <c r="A890" t="s">
        <v>2197</v>
      </c>
      <c r="B890" t="s">
        <v>2197</v>
      </c>
      <c r="C890" t="s">
        <v>1732</v>
      </c>
      <c r="D890"/>
      <c r="E890" t="s">
        <v>524</v>
      </c>
    </row>
    <row r="891" spans="1:5">
      <c r="A891" t="s">
        <v>644</v>
      </c>
      <c r="B891" t="s">
        <v>644</v>
      </c>
      <c r="C891" t="s">
        <v>1732</v>
      </c>
      <c r="D891"/>
      <c r="E891" t="s">
        <v>524</v>
      </c>
    </row>
    <row r="892" spans="1:5">
      <c r="A892" t="s">
        <v>599</v>
      </c>
      <c r="B892" t="s">
        <v>599</v>
      </c>
      <c r="C892" t="s">
        <v>1732</v>
      </c>
      <c r="D892"/>
      <c r="E892" t="s">
        <v>524</v>
      </c>
    </row>
    <row r="893" spans="1:5">
      <c r="A893" t="s">
        <v>597</v>
      </c>
      <c r="B893" t="s">
        <v>597</v>
      </c>
      <c r="C893" t="s">
        <v>1732</v>
      </c>
      <c r="D893"/>
      <c r="E893" t="s">
        <v>524</v>
      </c>
    </row>
    <row r="894" spans="1:5">
      <c r="A894" t="s">
        <v>600</v>
      </c>
      <c r="B894" t="s">
        <v>600</v>
      </c>
      <c r="C894" t="s">
        <v>1732</v>
      </c>
      <c r="D894"/>
      <c r="E894" t="s">
        <v>524</v>
      </c>
    </row>
    <row r="895" spans="1:5">
      <c r="A895" t="s">
        <v>605</v>
      </c>
      <c r="B895" t="s">
        <v>605</v>
      </c>
      <c r="C895" t="s">
        <v>1732</v>
      </c>
      <c r="D895"/>
      <c r="E895" t="s">
        <v>524</v>
      </c>
    </row>
    <row r="896" spans="1:5">
      <c r="A896" t="s">
        <v>613</v>
      </c>
      <c r="B896" t="s">
        <v>613</v>
      </c>
      <c r="C896" t="s">
        <v>1732</v>
      </c>
      <c r="D896"/>
      <c r="E896" t="s">
        <v>124</v>
      </c>
    </row>
    <row r="897" spans="1:5">
      <c r="A897" t="s">
        <v>612</v>
      </c>
      <c r="B897" t="s">
        <v>612</v>
      </c>
      <c r="C897" t="s">
        <v>1732</v>
      </c>
      <c r="D897"/>
      <c r="E897" t="s">
        <v>124</v>
      </c>
    </row>
    <row r="898" spans="1:5">
      <c r="A898" t="s">
        <v>2146</v>
      </c>
      <c r="B898" t="s">
        <v>2146</v>
      </c>
      <c r="C898" t="s">
        <v>1732</v>
      </c>
      <c r="D898"/>
      <c r="E898" t="s">
        <v>124</v>
      </c>
    </row>
    <row r="899" spans="1:5">
      <c r="A899" t="s">
        <v>632</v>
      </c>
      <c r="B899" t="s">
        <v>632</v>
      </c>
      <c r="C899" t="s">
        <v>1732</v>
      </c>
      <c r="D899"/>
      <c r="E899" t="s">
        <v>124</v>
      </c>
    </row>
    <row r="900" spans="1:5">
      <c r="A900" t="s">
        <v>633</v>
      </c>
      <c r="B900" t="s">
        <v>633</v>
      </c>
      <c r="C900" t="s">
        <v>1732</v>
      </c>
      <c r="D900"/>
      <c r="E900" t="s">
        <v>124</v>
      </c>
    </row>
    <row r="901" spans="1:5">
      <c r="A901" t="s">
        <v>627</v>
      </c>
      <c r="B901" t="s">
        <v>627</v>
      </c>
      <c r="C901" t="s">
        <v>1732</v>
      </c>
      <c r="D901"/>
      <c r="E901" t="s">
        <v>124</v>
      </c>
    </row>
    <row r="902" spans="1:5">
      <c r="A902" t="s">
        <v>2147</v>
      </c>
      <c r="B902" t="s">
        <v>2147</v>
      </c>
      <c r="C902" t="s">
        <v>1732</v>
      </c>
      <c r="D902"/>
      <c r="E902" t="s">
        <v>124</v>
      </c>
    </row>
    <row r="903" spans="1:5">
      <c r="A903" t="s">
        <v>2101</v>
      </c>
      <c r="B903" t="s">
        <v>2101</v>
      </c>
      <c r="C903" t="s">
        <v>1732</v>
      </c>
      <c r="D903"/>
      <c r="E903" t="s">
        <v>399</v>
      </c>
    </row>
    <row r="904" spans="1:5">
      <c r="A904" t="s">
        <v>2140</v>
      </c>
      <c r="B904" t="s">
        <v>2140</v>
      </c>
      <c r="C904" t="s">
        <v>1732</v>
      </c>
      <c r="D904"/>
      <c r="E904" t="s">
        <v>524</v>
      </c>
    </row>
    <row r="905" spans="1:5">
      <c r="A905" t="s">
        <v>2141</v>
      </c>
      <c r="B905" t="s">
        <v>2141</v>
      </c>
      <c r="C905" t="s">
        <v>1732</v>
      </c>
      <c r="D905"/>
      <c r="E905" t="s">
        <v>524</v>
      </c>
    </row>
    <row r="906" spans="1:5">
      <c r="A906" t="s">
        <v>2156</v>
      </c>
      <c r="B906" t="s">
        <v>2156</v>
      </c>
      <c r="C906" t="s">
        <v>1732</v>
      </c>
      <c r="D906"/>
      <c r="E906" t="s">
        <v>124</v>
      </c>
    </row>
    <row r="907" spans="1:5">
      <c r="A907" t="s">
        <v>2069</v>
      </c>
      <c r="B907" t="s">
        <v>2069</v>
      </c>
      <c r="C907" t="s">
        <v>1732</v>
      </c>
      <c r="D907"/>
      <c r="E907" t="s">
        <v>524</v>
      </c>
    </row>
    <row r="908" spans="1:5">
      <c r="A908" t="s">
        <v>2070</v>
      </c>
      <c r="B908" t="s">
        <v>2070</v>
      </c>
      <c r="C908" t="s">
        <v>1732</v>
      </c>
      <c r="D908"/>
      <c r="E908" t="s">
        <v>124</v>
      </c>
    </row>
    <row r="909" spans="1:5">
      <c r="A909" t="s">
        <v>1171</v>
      </c>
      <c r="B909" t="s">
        <v>1172</v>
      </c>
      <c r="C909" t="s">
        <v>265</v>
      </c>
      <c r="D909"/>
      <c r="E909" t="s">
        <v>598</v>
      </c>
    </row>
    <row r="910" spans="1:5">
      <c r="A910" t="s">
        <v>701</v>
      </c>
      <c r="B910" t="s">
        <v>701</v>
      </c>
      <c r="C910" t="s">
        <v>265</v>
      </c>
      <c r="D910"/>
      <c r="E910" t="s">
        <v>702</v>
      </c>
    </row>
    <row r="911" spans="1:5">
      <c r="A911" t="s">
        <v>634</v>
      </c>
      <c r="B911" t="s">
        <v>634</v>
      </c>
      <c r="C911" t="s">
        <v>265</v>
      </c>
      <c r="D911"/>
      <c r="E911" t="s">
        <v>124</v>
      </c>
    </row>
    <row r="912" spans="1:5">
      <c r="A912" t="s">
        <v>635</v>
      </c>
      <c r="B912" t="s">
        <v>635</v>
      </c>
      <c r="C912" t="s">
        <v>265</v>
      </c>
      <c r="D912"/>
      <c r="E912" t="s">
        <v>124</v>
      </c>
    </row>
    <row r="913" spans="1:5">
      <c r="A913" t="s">
        <v>1196</v>
      </c>
      <c r="B913" t="s">
        <v>1197</v>
      </c>
      <c r="C913" t="s">
        <v>265</v>
      </c>
      <c r="D913"/>
      <c r="E913" t="s">
        <v>124</v>
      </c>
    </row>
    <row r="914" spans="1:5">
      <c r="A914" t="s">
        <v>1238</v>
      </c>
      <c r="B914" t="s">
        <v>1238</v>
      </c>
      <c r="C914" t="s">
        <v>265</v>
      </c>
      <c r="D914"/>
      <c r="E914" t="s">
        <v>524</v>
      </c>
    </row>
    <row r="915" spans="1:5">
      <c r="A915" t="s">
        <v>686</v>
      </c>
      <c r="B915" t="s">
        <v>686</v>
      </c>
      <c r="C915" t="s">
        <v>265</v>
      </c>
      <c r="D915"/>
      <c r="E915" t="s">
        <v>124</v>
      </c>
    </row>
    <row r="916" spans="1:5">
      <c r="A916" t="s">
        <v>601</v>
      </c>
      <c r="B916" t="s">
        <v>601</v>
      </c>
      <c r="C916" t="s">
        <v>265</v>
      </c>
      <c r="D916"/>
      <c r="E916" t="s">
        <v>522</v>
      </c>
    </row>
    <row r="917" spans="1:5">
      <c r="A917" t="s">
        <v>1288</v>
      </c>
      <c r="B917" t="s">
        <v>1288</v>
      </c>
      <c r="C917" t="s">
        <v>265</v>
      </c>
      <c r="D917"/>
      <c r="E917" t="s">
        <v>522</v>
      </c>
    </row>
    <row r="918" spans="1:5">
      <c r="A918" t="s">
        <v>1289</v>
      </c>
      <c r="B918" t="s">
        <v>1290</v>
      </c>
      <c r="C918" t="s">
        <v>265</v>
      </c>
      <c r="D918"/>
      <c r="E918" t="s">
        <v>124</v>
      </c>
    </row>
    <row r="919" spans="1:5">
      <c r="A919" t="s">
        <v>1307</v>
      </c>
      <c r="B919" t="s">
        <v>1307</v>
      </c>
      <c r="C919" t="s">
        <v>265</v>
      </c>
      <c r="D919"/>
      <c r="E919" t="s">
        <v>522</v>
      </c>
    </row>
    <row r="920" spans="1:5">
      <c r="A920" t="s">
        <v>1308</v>
      </c>
      <c r="B920" t="s">
        <v>1308</v>
      </c>
      <c r="C920" t="s">
        <v>265</v>
      </c>
      <c r="D920"/>
      <c r="E920" t="s">
        <v>598</v>
      </c>
    </row>
    <row r="921" spans="1:5">
      <c r="A921" t="s">
        <v>1309</v>
      </c>
      <c r="B921" t="s">
        <v>1309</v>
      </c>
      <c r="C921" t="s">
        <v>265</v>
      </c>
      <c r="D921"/>
      <c r="E921" t="s">
        <v>522</v>
      </c>
    </row>
    <row r="922" spans="1:5">
      <c r="A922" t="s">
        <v>1310</v>
      </c>
      <c r="B922" t="s">
        <v>1310</v>
      </c>
      <c r="C922" t="s">
        <v>265</v>
      </c>
      <c r="D922"/>
      <c r="E922" t="s">
        <v>522</v>
      </c>
    </row>
    <row r="923" spans="1:5">
      <c r="A923" t="s">
        <v>1311</v>
      </c>
      <c r="B923" t="s">
        <v>1311</v>
      </c>
      <c r="C923" t="s">
        <v>265</v>
      </c>
      <c r="D923"/>
      <c r="E923" t="s">
        <v>522</v>
      </c>
    </row>
    <row r="924" spans="1:5">
      <c r="A924" t="s">
        <v>660</v>
      </c>
      <c r="B924" t="s">
        <v>603</v>
      </c>
      <c r="C924" t="s">
        <v>1732</v>
      </c>
      <c r="D924"/>
      <c r="E924" t="s">
        <v>622</v>
      </c>
    </row>
    <row r="925" spans="1:5">
      <c r="A925" t="s">
        <v>690</v>
      </c>
      <c r="B925" t="s">
        <v>690</v>
      </c>
      <c r="C925" t="s">
        <v>1732</v>
      </c>
      <c r="D925"/>
      <c r="E925" t="s">
        <v>622</v>
      </c>
    </row>
    <row r="926" spans="1:5">
      <c r="A926" t="s">
        <v>639</v>
      </c>
      <c r="B926" t="s">
        <v>639</v>
      </c>
      <c r="C926" t="s">
        <v>348</v>
      </c>
      <c r="D926" s="72"/>
      <c r="E926" t="s">
        <v>124</v>
      </c>
    </row>
    <row r="927" spans="1:5">
      <c r="A927" t="s">
        <v>618</v>
      </c>
      <c r="B927" t="s">
        <v>618</v>
      </c>
      <c r="C927" t="s">
        <v>348</v>
      </c>
      <c r="D927" s="72"/>
      <c r="E927" t="s">
        <v>124</v>
      </c>
    </row>
    <row r="928" spans="1:5">
      <c r="A928" t="s">
        <v>697</v>
      </c>
      <c r="B928" t="s">
        <v>697</v>
      </c>
      <c r="C928" t="s">
        <v>1732</v>
      </c>
      <c r="D928">
        <v>6.5</v>
      </c>
      <c r="E928" t="s">
        <v>329</v>
      </c>
    </row>
    <row r="929" spans="1:5">
      <c r="A929" s="8">
        <f>A888+1</f>
        <v>5</v>
      </c>
      <c r="B929" s="71" t="s">
        <v>3204</v>
      </c>
    </row>
    <row r="930" spans="1:5">
      <c r="A930" s="8">
        <f>A929+1</f>
        <v>6</v>
      </c>
      <c r="B930" s="7" t="s">
        <v>3205</v>
      </c>
      <c r="C930" t="s">
        <v>3282</v>
      </c>
    </row>
    <row r="931" spans="1:5">
      <c r="A931" s="8">
        <f>A930+1</f>
        <v>7</v>
      </c>
      <c r="B931" s="7" t="s">
        <v>573</v>
      </c>
      <c r="C931" t="s">
        <v>3283</v>
      </c>
    </row>
    <row r="932" spans="1:5">
      <c r="A932" t="s">
        <v>574</v>
      </c>
      <c r="B932" t="s">
        <v>1900</v>
      </c>
      <c r="C932" t="s">
        <v>1732</v>
      </c>
      <c r="D932"/>
      <c r="E932" t="s">
        <v>576</v>
      </c>
    </row>
    <row r="933" spans="1:5">
      <c r="A933" t="s">
        <v>725</v>
      </c>
      <c r="B933" t="s">
        <v>725</v>
      </c>
      <c r="C933" t="s">
        <v>1732</v>
      </c>
      <c r="D933"/>
      <c r="E933" t="s">
        <v>124</v>
      </c>
    </row>
    <row r="934" spans="1:5">
      <c r="A934" s="8">
        <f>A931+1</f>
        <v>8</v>
      </c>
      <c r="B934" s="71" t="s">
        <v>1732</v>
      </c>
    </row>
    <row r="935" spans="1:5">
      <c r="A935" s="8">
        <f>A934+1</f>
        <v>9</v>
      </c>
      <c r="B935" s="71" t="s">
        <v>3284</v>
      </c>
    </row>
    <row r="936" spans="1:5">
      <c r="B936" s="63" t="s">
        <v>3307</v>
      </c>
    </row>
    <row r="937" spans="1:5">
      <c r="A937" s="47" t="s">
        <v>578</v>
      </c>
      <c r="B937" t="s">
        <v>1522</v>
      </c>
      <c r="C937" t="s">
        <v>596</v>
      </c>
      <c r="D937">
        <v>325</v>
      </c>
      <c r="E937" t="s">
        <v>522</v>
      </c>
    </row>
    <row r="938" spans="1:5">
      <c r="A938" s="47" t="s">
        <v>579</v>
      </c>
      <c r="B938" t="s">
        <v>1523</v>
      </c>
      <c r="C938" t="s">
        <v>596</v>
      </c>
      <c r="D938">
        <v>325</v>
      </c>
      <c r="E938" t="s">
        <v>522</v>
      </c>
    </row>
    <row r="939" spans="1:5">
      <c r="A939" t="s">
        <v>580</v>
      </c>
      <c r="B939" t="s">
        <v>3228</v>
      </c>
      <c r="C939" t="s">
        <v>3227</v>
      </c>
      <c r="D939">
        <v>7.3</v>
      </c>
      <c r="E939" t="s">
        <v>124</v>
      </c>
    </row>
    <row r="940" spans="1:5">
      <c r="A940" t="s">
        <v>581</v>
      </c>
      <c r="B940" t="s">
        <v>2158</v>
      </c>
      <c r="D940">
        <v>16.7</v>
      </c>
      <c r="E940" t="s">
        <v>310</v>
      </c>
    </row>
    <row r="941" spans="1:5">
      <c r="A941" t="s">
        <v>582</v>
      </c>
      <c r="B941" t="s">
        <v>2159</v>
      </c>
      <c r="C941" t="s">
        <v>1732</v>
      </c>
      <c r="D941">
        <v>12</v>
      </c>
      <c r="E941" t="s">
        <v>310</v>
      </c>
    </row>
    <row r="942" spans="1:5">
      <c r="A942" t="s">
        <v>583</v>
      </c>
      <c r="D942">
        <v>12</v>
      </c>
      <c r="E942" t="s">
        <v>310</v>
      </c>
    </row>
    <row r="943" spans="1:5">
      <c r="A943" t="s">
        <v>584</v>
      </c>
      <c r="D943">
        <v>0.5</v>
      </c>
      <c r="E943" t="s">
        <v>399</v>
      </c>
    </row>
    <row r="944" spans="1:5">
      <c r="A944" t="s">
        <v>585</v>
      </c>
      <c r="B944" t="s">
        <v>585</v>
      </c>
      <c r="C944" t="s">
        <v>1732</v>
      </c>
      <c r="D944">
        <v>0.5</v>
      </c>
      <c r="E944" t="s">
        <v>399</v>
      </c>
    </row>
    <row r="945" spans="1:5">
      <c r="A945" t="s">
        <v>586</v>
      </c>
      <c r="B945" t="s">
        <v>586</v>
      </c>
      <c r="C945" t="s">
        <v>1732</v>
      </c>
      <c r="D945">
        <v>0.6</v>
      </c>
      <c r="E945" t="s">
        <v>399</v>
      </c>
    </row>
    <row r="946" spans="1:5">
      <c r="A946" t="s">
        <v>587</v>
      </c>
      <c r="B946" t="s">
        <v>587</v>
      </c>
      <c r="C946" t="s">
        <v>1732</v>
      </c>
      <c r="D946">
        <v>0.65</v>
      </c>
      <c r="E946" t="s">
        <v>399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65"/>
  <sheetViews>
    <sheetView tabSelected="1" topLeftCell="A754" workbookViewId="0">
      <selection activeCell="G791" sqref="G791"/>
    </sheetView>
  </sheetViews>
  <sheetFormatPr defaultColWidth="9" defaultRowHeight="15" outlineLevelCol="7"/>
  <cols>
    <col min="1" max="1" width="39.8571428571429" customWidth="1"/>
    <col min="2" max="2" width="80.8571428571429" customWidth="1"/>
    <col min="3" max="3" width="58.4285714285714" customWidth="1"/>
    <col min="4" max="4" width="9" style="4"/>
    <col min="5" max="5" width="10.5714285714286" style="5"/>
    <col min="6" max="6" width="18.5714285714286" customWidth="1"/>
    <col min="8" max="8" width="87.5714285714286" customWidth="1"/>
  </cols>
  <sheetData>
    <row r="1" spans="1:6">
      <c r="A1" s="6"/>
      <c r="B1" s="7" t="s">
        <v>0</v>
      </c>
      <c r="C1" s="8"/>
      <c r="D1" s="9"/>
      <c r="E1" s="10"/>
      <c r="F1" s="6"/>
    </row>
    <row r="2" s="1" customFormat="1" spans="1:6">
      <c r="A2" s="11" t="s">
        <v>1</v>
      </c>
      <c r="B2" s="12" t="s">
        <v>2</v>
      </c>
      <c r="C2" s="13" t="s">
        <v>3</v>
      </c>
      <c r="D2" s="14" t="s">
        <v>4</v>
      </c>
      <c r="E2" s="15" t="s">
        <v>5</v>
      </c>
      <c r="F2" s="11" t="s">
        <v>6</v>
      </c>
    </row>
    <row r="3" spans="1:6">
      <c r="A3" s="6" t="s">
        <v>0</v>
      </c>
      <c r="B3" s="6" t="s">
        <v>7</v>
      </c>
      <c r="C3" s="6" t="s">
        <v>8</v>
      </c>
      <c r="D3" s="9" t="s">
        <v>9</v>
      </c>
      <c r="E3" s="16">
        <f>11.7*220</f>
        <v>2574</v>
      </c>
      <c r="F3" s="6" t="s">
        <v>10</v>
      </c>
    </row>
    <row r="4" spans="1:6">
      <c r="A4" s="6" t="s">
        <v>0</v>
      </c>
      <c r="B4" s="6" t="s">
        <v>11</v>
      </c>
      <c r="C4" s="6" t="s">
        <v>8</v>
      </c>
      <c r="D4" s="9" t="s">
        <v>9</v>
      </c>
      <c r="E4" s="16">
        <f>11.7*250</f>
        <v>2925</v>
      </c>
      <c r="F4" s="6" t="s">
        <v>10</v>
      </c>
    </row>
    <row r="5" spans="1:6">
      <c r="A5" s="6" t="s">
        <v>0</v>
      </c>
      <c r="B5" s="6" t="s">
        <v>12</v>
      </c>
      <c r="C5" s="6" t="s">
        <v>13</v>
      </c>
      <c r="D5" s="9" t="s">
        <v>9</v>
      </c>
      <c r="E5" s="16">
        <f>12.5*250</f>
        <v>3125</v>
      </c>
      <c r="F5" s="6" t="s">
        <v>10</v>
      </c>
    </row>
    <row r="6" spans="1:6">
      <c r="A6" s="6" t="s">
        <v>0</v>
      </c>
      <c r="B6" s="6" t="s">
        <v>14</v>
      </c>
      <c r="C6" s="6" t="s">
        <v>13</v>
      </c>
      <c r="D6" s="9" t="s">
        <v>9</v>
      </c>
      <c r="E6" s="16">
        <f>12.5*220</f>
        <v>2750</v>
      </c>
      <c r="F6" s="6" t="s">
        <v>10</v>
      </c>
    </row>
    <row r="7" spans="1:6">
      <c r="A7" s="6" t="s">
        <v>0</v>
      </c>
      <c r="B7" s="6" t="s">
        <v>15</v>
      </c>
      <c r="C7" s="6" t="s">
        <v>13</v>
      </c>
      <c r="D7" s="9" t="s">
        <v>9</v>
      </c>
      <c r="E7" s="16">
        <f>220*12.5</f>
        <v>2750</v>
      </c>
      <c r="F7" s="6" t="s">
        <v>10</v>
      </c>
    </row>
    <row r="8" spans="1:6">
      <c r="A8" s="6" t="s">
        <v>0</v>
      </c>
      <c r="B8" s="6" t="s">
        <v>16</v>
      </c>
      <c r="C8" s="6" t="s">
        <v>13</v>
      </c>
      <c r="D8" s="9" t="s">
        <v>9</v>
      </c>
      <c r="E8" s="16">
        <f>220*12.5</f>
        <v>2750</v>
      </c>
      <c r="F8" s="6" t="s">
        <v>10</v>
      </c>
    </row>
    <row r="9" spans="1:6">
      <c r="A9" s="6" t="s">
        <v>0</v>
      </c>
      <c r="B9" s="6" t="s">
        <v>17</v>
      </c>
      <c r="C9" s="6" t="s">
        <v>18</v>
      </c>
      <c r="D9" s="9" t="s">
        <v>9</v>
      </c>
      <c r="E9" s="16">
        <v>2200</v>
      </c>
      <c r="F9" s="6" t="s">
        <v>10</v>
      </c>
    </row>
    <row r="10" spans="1:6">
      <c r="A10" s="6" t="s">
        <v>0</v>
      </c>
      <c r="B10" s="6" t="s">
        <v>19</v>
      </c>
      <c r="C10" s="6" t="s">
        <v>18</v>
      </c>
      <c r="D10" s="9" t="s">
        <v>9</v>
      </c>
      <c r="E10" s="16">
        <v>2500</v>
      </c>
      <c r="F10" s="6" t="s">
        <v>10</v>
      </c>
    </row>
    <row r="11" spans="1:6">
      <c r="A11" s="6" t="s">
        <v>0</v>
      </c>
      <c r="B11" s="6" t="s">
        <v>20</v>
      </c>
      <c r="C11" s="6" t="s">
        <v>21</v>
      </c>
      <c r="D11" s="9" t="s">
        <v>9</v>
      </c>
      <c r="E11" s="16">
        <f>250*11.7</f>
        <v>2925</v>
      </c>
      <c r="F11" s="6" t="s">
        <v>10</v>
      </c>
    </row>
    <row r="12" spans="1:6">
      <c r="A12" s="6" t="s">
        <v>0</v>
      </c>
      <c r="B12" s="6" t="s">
        <v>22</v>
      </c>
      <c r="C12" s="6" t="s">
        <v>21</v>
      </c>
      <c r="D12" s="9" t="s">
        <v>9</v>
      </c>
      <c r="E12" s="16">
        <f>220*11.7</f>
        <v>2574</v>
      </c>
      <c r="F12" s="6" t="s">
        <v>10</v>
      </c>
    </row>
    <row r="13" s="2" customFormat="1" spans="1:6">
      <c r="A13" s="17" t="s">
        <v>0</v>
      </c>
      <c r="B13" s="17" t="s">
        <v>23</v>
      </c>
      <c r="C13" s="17" t="s">
        <v>24</v>
      </c>
      <c r="D13" s="18" t="s">
        <v>9</v>
      </c>
      <c r="E13" s="19">
        <f>220*11.7</f>
        <v>2574</v>
      </c>
      <c r="F13" s="6" t="s">
        <v>10</v>
      </c>
    </row>
    <row r="14" spans="1:6">
      <c r="A14" s="6" t="s">
        <v>0</v>
      </c>
      <c r="B14" s="6" t="s">
        <v>25</v>
      </c>
      <c r="C14" s="6" t="s">
        <v>24</v>
      </c>
      <c r="D14" s="9" t="s">
        <v>9</v>
      </c>
      <c r="E14" s="16">
        <f>220*12.1</f>
        <v>2662</v>
      </c>
      <c r="F14" s="6" t="s">
        <v>10</v>
      </c>
    </row>
    <row r="15" spans="1:6">
      <c r="A15" s="6" t="s">
        <v>0</v>
      </c>
      <c r="B15" s="6" t="s">
        <v>26</v>
      </c>
      <c r="C15" s="6" t="s">
        <v>24</v>
      </c>
      <c r="D15" s="9" t="s">
        <v>9</v>
      </c>
      <c r="E15" s="16">
        <f>220*12.1</f>
        <v>2662</v>
      </c>
      <c r="F15" s="6" t="s">
        <v>10</v>
      </c>
    </row>
    <row r="16" spans="1:6">
      <c r="A16" s="6" t="s">
        <v>0</v>
      </c>
      <c r="B16" s="6" t="s">
        <v>27</v>
      </c>
      <c r="C16" s="6" t="s">
        <v>24</v>
      </c>
      <c r="D16" s="9" t="s">
        <v>9</v>
      </c>
      <c r="E16" s="16">
        <f>220*11.8</f>
        <v>2596</v>
      </c>
      <c r="F16" s="6" t="s">
        <v>10</v>
      </c>
    </row>
    <row r="17" spans="1:6">
      <c r="A17" s="6" t="s">
        <v>0</v>
      </c>
      <c r="B17" s="6" t="s">
        <v>28</v>
      </c>
      <c r="C17" s="6" t="s">
        <v>29</v>
      </c>
      <c r="D17" s="9" t="s">
        <v>9</v>
      </c>
      <c r="E17" s="16">
        <f>250*12.25</f>
        <v>3062.5</v>
      </c>
      <c r="F17" s="6" t="s">
        <v>10</v>
      </c>
    </row>
    <row r="18" spans="1:6">
      <c r="A18" s="6" t="s">
        <v>0</v>
      </c>
      <c r="B18" s="6" t="s">
        <v>30</v>
      </c>
      <c r="C18" s="6" t="s">
        <v>29</v>
      </c>
      <c r="D18" s="9" t="s">
        <v>9</v>
      </c>
      <c r="E18" s="16">
        <f>250*12.25</f>
        <v>3062.5</v>
      </c>
      <c r="F18" s="6" t="s">
        <v>10</v>
      </c>
    </row>
    <row r="19" spans="1:6">
      <c r="A19" s="6" t="s">
        <v>0</v>
      </c>
      <c r="B19" s="6" t="s">
        <v>31</v>
      </c>
      <c r="C19" s="6" t="s">
        <v>32</v>
      </c>
      <c r="D19" s="9" t="s">
        <v>9</v>
      </c>
      <c r="E19" s="16">
        <f>250*11.8</f>
        <v>2950</v>
      </c>
      <c r="F19" s="6" t="s">
        <v>10</v>
      </c>
    </row>
    <row r="20" spans="1:6">
      <c r="A20" s="6" t="s">
        <v>0</v>
      </c>
      <c r="B20" s="6" t="s">
        <v>33</v>
      </c>
      <c r="C20" s="6" t="s">
        <v>32</v>
      </c>
      <c r="D20" s="9" t="s">
        <v>9</v>
      </c>
      <c r="E20" s="16">
        <f>220*11.8</f>
        <v>2596</v>
      </c>
      <c r="F20" s="6" t="s">
        <v>10</v>
      </c>
    </row>
    <row r="21" spans="1:6">
      <c r="A21" s="6" t="s">
        <v>0</v>
      </c>
      <c r="B21" s="6" t="s">
        <v>34</v>
      </c>
      <c r="C21" s="6" t="s">
        <v>32</v>
      </c>
      <c r="D21" s="9" t="s">
        <v>9</v>
      </c>
      <c r="E21" s="16">
        <f>220*11.8</f>
        <v>2596</v>
      </c>
      <c r="F21" s="6" t="s">
        <v>10</v>
      </c>
    </row>
    <row r="22" spans="1:6">
      <c r="A22" s="6" t="s">
        <v>0</v>
      </c>
      <c r="B22" s="6" t="s">
        <v>35</v>
      </c>
      <c r="C22" s="6" t="s">
        <v>36</v>
      </c>
      <c r="D22" s="9" t="s">
        <v>9</v>
      </c>
      <c r="E22" s="16">
        <f>250*13.9</f>
        <v>3475</v>
      </c>
      <c r="F22" s="6" t="s">
        <v>10</v>
      </c>
    </row>
    <row r="23" spans="1:6">
      <c r="A23" s="6" t="s">
        <v>0</v>
      </c>
      <c r="B23" s="6" t="s">
        <v>37</v>
      </c>
      <c r="C23" s="6" t="s">
        <v>36</v>
      </c>
      <c r="D23" s="9" t="s">
        <v>9</v>
      </c>
      <c r="E23" s="16">
        <f>220*13.9</f>
        <v>3058</v>
      </c>
      <c r="F23" s="6" t="s">
        <v>10</v>
      </c>
    </row>
    <row r="24" spans="1:6">
      <c r="A24" s="6" t="s">
        <v>0</v>
      </c>
      <c r="B24" s="6" t="s">
        <v>38</v>
      </c>
      <c r="C24" s="6" t="s">
        <v>39</v>
      </c>
      <c r="D24" s="9" t="s">
        <v>9</v>
      </c>
      <c r="E24" s="16">
        <f>250*12.4</f>
        <v>3100</v>
      </c>
      <c r="F24" s="6" t="s">
        <v>10</v>
      </c>
    </row>
    <row r="25" spans="1:6">
      <c r="A25" s="6" t="s">
        <v>0</v>
      </c>
      <c r="B25" s="6" t="s">
        <v>40</v>
      </c>
      <c r="C25" s="6" t="s">
        <v>39</v>
      </c>
      <c r="D25" s="9" t="s">
        <v>9</v>
      </c>
      <c r="E25" s="16">
        <f>220*12.4</f>
        <v>2728</v>
      </c>
      <c r="F25" s="6" t="s">
        <v>10</v>
      </c>
    </row>
    <row r="26" spans="1:6">
      <c r="A26" s="6" t="s">
        <v>0</v>
      </c>
      <c r="B26" s="6" t="s">
        <v>41</v>
      </c>
      <c r="C26" s="6" t="s">
        <v>39</v>
      </c>
      <c r="D26" s="9" t="s">
        <v>9</v>
      </c>
      <c r="E26" s="16">
        <f>250*12.4</f>
        <v>3100</v>
      </c>
      <c r="F26" s="6" t="s">
        <v>10</v>
      </c>
    </row>
    <row r="27" spans="1:6">
      <c r="A27" s="6" t="s">
        <v>0</v>
      </c>
      <c r="B27" s="6" t="s">
        <v>42</v>
      </c>
      <c r="C27" s="6" t="s">
        <v>39</v>
      </c>
      <c r="D27" s="9" t="s">
        <v>9</v>
      </c>
      <c r="E27" s="16">
        <f>220*12.4</f>
        <v>2728</v>
      </c>
      <c r="F27" s="6" t="s">
        <v>10</v>
      </c>
    </row>
    <row r="28" spans="1:6">
      <c r="A28" s="11"/>
      <c r="B28" s="20" t="s">
        <v>43</v>
      </c>
      <c r="C28" s="21"/>
      <c r="D28" s="9"/>
      <c r="E28" s="10"/>
      <c r="F28" s="6"/>
    </row>
    <row r="29" spans="1:6">
      <c r="A29" s="11" t="s">
        <v>1</v>
      </c>
      <c r="B29" s="12" t="s">
        <v>2</v>
      </c>
      <c r="C29" s="13" t="s">
        <v>3</v>
      </c>
      <c r="D29" s="14" t="s">
        <v>4</v>
      </c>
      <c r="E29" s="15" t="s">
        <v>5</v>
      </c>
      <c r="F29" s="6"/>
    </row>
    <row r="30" spans="1:6">
      <c r="A30" s="6" t="s">
        <v>44</v>
      </c>
      <c r="B30" s="6" t="s">
        <v>45</v>
      </c>
      <c r="C30" s="6" t="s">
        <v>13</v>
      </c>
      <c r="D30" s="9" t="s">
        <v>9</v>
      </c>
      <c r="E30" s="16">
        <v>406</v>
      </c>
      <c r="F30" s="6" t="s">
        <v>10</v>
      </c>
    </row>
    <row r="31" spans="1:6">
      <c r="A31" s="6" t="s">
        <v>44</v>
      </c>
      <c r="B31" s="6" t="s">
        <v>46</v>
      </c>
      <c r="C31" s="6" t="s">
        <v>13</v>
      </c>
      <c r="D31" s="9" t="s">
        <v>9</v>
      </c>
      <c r="E31" s="16">
        <v>464</v>
      </c>
      <c r="F31" s="6" t="s">
        <v>10</v>
      </c>
    </row>
    <row r="32" s="2" customFormat="1" spans="1:6">
      <c r="A32" s="17" t="s">
        <v>44</v>
      </c>
      <c r="B32" s="17" t="s">
        <v>47</v>
      </c>
      <c r="C32" s="6" t="s">
        <v>13</v>
      </c>
      <c r="D32" s="18" t="s">
        <v>9</v>
      </c>
      <c r="E32" s="19">
        <v>450</v>
      </c>
      <c r="F32" s="6" t="s">
        <v>10</v>
      </c>
    </row>
    <row r="33" spans="1:6">
      <c r="A33" s="6" t="s">
        <v>44</v>
      </c>
      <c r="B33" s="6" t="s">
        <v>48</v>
      </c>
      <c r="C33" s="6" t="s">
        <v>21</v>
      </c>
      <c r="D33" s="9" t="s">
        <v>9</v>
      </c>
      <c r="E33" s="16">
        <v>340</v>
      </c>
      <c r="F33" s="6" t="s">
        <v>10</v>
      </c>
    </row>
    <row r="34" spans="1:6">
      <c r="A34" s="6" t="s">
        <v>44</v>
      </c>
      <c r="B34" s="6" t="s">
        <v>49</v>
      </c>
      <c r="C34" s="6" t="s">
        <v>21</v>
      </c>
      <c r="D34" s="9" t="s">
        <v>9</v>
      </c>
      <c r="E34" s="16">
        <v>360</v>
      </c>
      <c r="F34" s="6" t="s">
        <v>10</v>
      </c>
    </row>
    <row r="35" spans="1:6">
      <c r="A35" s="6" t="s">
        <v>44</v>
      </c>
      <c r="B35" s="6" t="s">
        <v>50</v>
      </c>
      <c r="C35" s="6" t="s">
        <v>32</v>
      </c>
      <c r="D35" s="9" t="s">
        <v>9</v>
      </c>
      <c r="E35" s="16">
        <v>340</v>
      </c>
      <c r="F35" s="6" t="s">
        <v>10</v>
      </c>
    </row>
    <row r="36" spans="1:6">
      <c r="A36" s="6" t="s">
        <v>44</v>
      </c>
      <c r="B36" s="6" t="s">
        <v>51</v>
      </c>
      <c r="C36" s="6" t="s">
        <v>32</v>
      </c>
      <c r="D36" s="9" t="s">
        <v>9</v>
      </c>
      <c r="E36" s="16">
        <v>360</v>
      </c>
      <c r="F36" s="6" t="s">
        <v>10</v>
      </c>
    </row>
    <row r="37" spans="1:6">
      <c r="A37" s="6" t="s">
        <v>44</v>
      </c>
      <c r="B37" s="6" t="s">
        <v>52</v>
      </c>
      <c r="C37" s="6" t="s">
        <v>32</v>
      </c>
      <c r="D37" s="9" t="s">
        <v>9</v>
      </c>
      <c r="E37" s="16">
        <v>1500</v>
      </c>
      <c r="F37" s="6" t="s">
        <v>10</v>
      </c>
    </row>
    <row r="38" spans="1:6">
      <c r="A38" s="6" t="s">
        <v>44</v>
      </c>
      <c r="B38" s="6" t="s">
        <v>53</v>
      </c>
      <c r="C38" s="6" t="s">
        <v>39</v>
      </c>
      <c r="D38" s="9" t="s">
        <v>9</v>
      </c>
      <c r="E38" s="16">
        <v>580</v>
      </c>
      <c r="F38" s="6" t="s">
        <v>10</v>
      </c>
    </row>
    <row r="39" spans="1:6">
      <c r="A39" s="6" t="s">
        <v>44</v>
      </c>
      <c r="B39" s="6" t="s">
        <v>54</v>
      </c>
      <c r="C39" s="6" t="s">
        <v>55</v>
      </c>
      <c r="D39" s="9" t="s">
        <v>9</v>
      </c>
      <c r="E39" s="16">
        <v>295</v>
      </c>
      <c r="F39" s="6" t="s">
        <v>10</v>
      </c>
    </row>
    <row r="40" spans="1:6">
      <c r="A40" s="6" t="s">
        <v>44</v>
      </c>
      <c r="B40" s="6" t="s">
        <v>56</v>
      </c>
      <c r="C40" s="6" t="s">
        <v>55</v>
      </c>
      <c r="D40" s="9" t="s">
        <v>9</v>
      </c>
      <c r="E40" s="16">
        <v>355</v>
      </c>
      <c r="F40" s="6" t="s">
        <v>10</v>
      </c>
    </row>
    <row r="41" spans="1:6">
      <c r="A41" s="6" t="s">
        <v>44</v>
      </c>
      <c r="B41" s="6" t="s">
        <v>57</v>
      </c>
      <c r="C41" s="6" t="s">
        <v>55</v>
      </c>
      <c r="D41" s="9" t="s">
        <v>9</v>
      </c>
      <c r="E41" s="16">
        <v>745</v>
      </c>
      <c r="F41" s="6" t="s">
        <v>10</v>
      </c>
    </row>
    <row r="42" spans="1:6">
      <c r="A42" s="6" t="s">
        <v>44</v>
      </c>
      <c r="B42" s="6" t="s">
        <v>58</v>
      </c>
      <c r="C42" s="6" t="s">
        <v>59</v>
      </c>
      <c r="D42" s="9" t="s">
        <v>9</v>
      </c>
      <c r="E42" s="16">
        <v>388</v>
      </c>
      <c r="F42" s="6" t="s">
        <v>10</v>
      </c>
    </row>
    <row r="43" spans="1:6">
      <c r="A43" s="6"/>
      <c r="B43" s="20" t="s">
        <v>60</v>
      </c>
      <c r="C43" s="6"/>
      <c r="D43" s="9"/>
      <c r="E43" s="10"/>
      <c r="F43" s="6"/>
    </row>
    <row r="44" spans="1:6">
      <c r="A44" s="11" t="s">
        <v>1</v>
      </c>
      <c r="B44" s="12" t="s">
        <v>2</v>
      </c>
      <c r="C44" s="13" t="s">
        <v>3</v>
      </c>
      <c r="D44" s="14" t="s">
        <v>4</v>
      </c>
      <c r="E44" s="15" t="s">
        <v>5</v>
      </c>
      <c r="F44" s="6"/>
    </row>
    <row r="45" spans="1:6">
      <c r="A45" s="6" t="s">
        <v>61</v>
      </c>
      <c r="B45" s="6" t="s">
        <v>62</v>
      </c>
      <c r="C45" s="6" t="s">
        <v>32</v>
      </c>
      <c r="D45" s="9" t="s">
        <v>9</v>
      </c>
      <c r="E45" s="16">
        <v>109</v>
      </c>
      <c r="F45" s="6" t="s">
        <v>10</v>
      </c>
    </row>
    <row r="46" spans="1:6">
      <c r="A46" s="6" t="s">
        <v>61</v>
      </c>
      <c r="B46" s="6" t="s">
        <v>63</v>
      </c>
      <c r="C46" s="6" t="s">
        <v>13</v>
      </c>
      <c r="D46" s="9" t="s">
        <v>9</v>
      </c>
      <c r="E46" s="16">
        <v>132.5</v>
      </c>
      <c r="F46" s="6" t="s">
        <v>10</v>
      </c>
    </row>
    <row r="47" spans="1:6">
      <c r="A47" s="6" t="s">
        <v>61</v>
      </c>
      <c r="B47" s="6" t="s">
        <v>64</v>
      </c>
      <c r="C47" s="6" t="s">
        <v>13</v>
      </c>
      <c r="D47" s="9" t="s">
        <v>9</v>
      </c>
      <c r="E47" s="16">
        <v>135</v>
      </c>
      <c r="F47" s="6" t="s">
        <v>10</v>
      </c>
    </row>
    <row r="48" spans="1:6">
      <c r="A48" s="6" t="s">
        <v>61</v>
      </c>
      <c r="B48" s="6" t="s">
        <v>65</v>
      </c>
      <c r="C48" s="6" t="s">
        <v>13</v>
      </c>
      <c r="D48" s="9" t="s">
        <v>9</v>
      </c>
      <c r="E48" s="16">
        <v>280</v>
      </c>
      <c r="F48" s="6" t="s">
        <v>10</v>
      </c>
    </row>
    <row r="49" spans="1:6">
      <c r="A49" s="6" t="s">
        <v>61</v>
      </c>
      <c r="B49" s="6" t="s">
        <v>66</v>
      </c>
      <c r="C49" s="6" t="s">
        <v>18</v>
      </c>
      <c r="D49" s="9" t="s">
        <v>9</v>
      </c>
      <c r="E49" s="16">
        <v>110</v>
      </c>
      <c r="F49" s="6" t="s">
        <v>10</v>
      </c>
    </row>
    <row r="50" spans="1:6">
      <c r="A50" s="6" t="s">
        <v>61</v>
      </c>
      <c r="B50" s="6" t="s">
        <v>67</v>
      </c>
      <c r="C50" s="6" t="s">
        <v>39</v>
      </c>
      <c r="D50" s="9" t="s">
        <v>9</v>
      </c>
      <c r="E50" s="16">
        <v>134</v>
      </c>
      <c r="F50" s="6" t="s">
        <v>10</v>
      </c>
    </row>
    <row r="51" spans="1:6">
      <c r="A51" s="6" t="s">
        <v>61</v>
      </c>
      <c r="B51" s="6" t="s">
        <v>68</v>
      </c>
      <c r="C51" s="6" t="s">
        <v>39</v>
      </c>
      <c r="D51" s="9" t="s">
        <v>9</v>
      </c>
      <c r="E51" s="16">
        <v>135</v>
      </c>
      <c r="F51" s="6" t="s">
        <v>10</v>
      </c>
    </row>
    <row r="52" spans="1:6">
      <c r="A52" s="6" t="s">
        <v>61</v>
      </c>
      <c r="B52" s="6" t="s">
        <v>69</v>
      </c>
      <c r="C52" s="6" t="s">
        <v>70</v>
      </c>
      <c r="D52" s="9" t="s">
        <v>9</v>
      </c>
      <c r="E52" s="16">
        <v>240</v>
      </c>
      <c r="F52" s="6" t="s">
        <v>10</v>
      </c>
    </row>
    <row r="53" spans="1:6">
      <c r="A53" s="6" t="s">
        <v>61</v>
      </c>
      <c r="B53" s="6" t="s">
        <v>71</v>
      </c>
      <c r="C53" s="6" t="s">
        <v>13</v>
      </c>
      <c r="D53" s="9" t="s">
        <v>9</v>
      </c>
      <c r="E53" s="16">
        <v>165</v>
      </c>
      <c r="F53" s="6" t="s">
        <v>10</v>
      </c>
    </row>
    <row r="54" spans="1:6">
      <c r="A54" s="6" t="s">
        <v>61</v>
      </c>
      <c r="B54" s="6" t="s">
        <v>72</v>
      </c>
      <c r="C54" s="6" t="s">
        <v>13</v>
      </c>
      <c r="D54" s="9" t="s">
        <v>9</v>
      </c>
      <c r="E54" s="16">
        <v>160</v>
      </c>
      <c r="F54" s="6" t="s">
        <v>10</v>
      </c>
    </row>
    <row r="55" s="2" customFormat="1" spans="1:6">
      <c r="A55" s="17" t="s">
        <v>61</v>
      </c>
      <c r="B55" s="17" t="s">
        <v>73</v>
      </c>
      <c r="C55" s="17" t="s">
        <v>74</v>
      </c>
      <c r="D55" s="18" t="s">
        <v>9</v>
      </c>
      <c r="E55" s="19">
        <v>122</v>
      </c>
      <c r="F55" s="6" t="s">
        <v>10</v>
      </c>
    </row>
    <row r="56" s="2" customFormat="1" spans="1:6">
      <c r="A56" s="17" t="s">
        <v>61</v>
      </c>
      <c r="B56" s="17" t="s">
        <v>75</v>
      </c>
      <c r="C56" s="17" t="s">
        <v>74</v>
      </c>
      <c r="D56" s="18" t="s">
        <v>9</v>
      </c>
      <c r="E56" s="19">
        <v>148</v>
      </c>
      <c r="F56" s="6" t="s">
        <v>10</v>
      </c>
    </row>
    <row r="57" s="2" customFormat="1" spans="1:6">
      <c r="A57" s="17" t="s">
        <v>61</v>
      </c>
      <c r="B57" s="17" t="s">
        <v>76</v>
      </c>
      <c r="C57" s="17" t="s">
        <v>74</v>
      </c>
      <c r="D57" s="18" t="s">
        <v>9</v>
      </c>
      <c r="E57" s="19">
        <v>124</v>
      </c>
      <c r="F57" s="6" t="s">
        <v>10</v>
      </c>
    </row>
    <row r="58" s="2" customFormat="1" spans="1:6">
      <c r="A58" s="17" t="s">
        <v>61</v>
      </c>
      <c r="B58" s="17" t="s">
        <v>77</v>
      </c>
      <c r="C58" s="17" t="s">
        <v>74</v>
      </c>
      <c r="D58" s="18" t="s">
        <v>9</v>
      </c>
      <c r="E58" s="19">
        <v>150</v>
      </c>
      <c r="F58" s="6" t="s">
        <v>10</v>
      </c>
    </row>
    <row r="59" spans="1:6">
      <c r="A59" s="6" t="s">
        <v>61</v>
      </c>
      <c r="B59" s="6" t="s">
        <v>78</v>
      </c>
      <c r="C59" s="17" t="s">
        <v>74</v>
      </c>
      <c r="D59" s="9" t="s">
        <v>9</v>
      </c>
      <c r="E59" s="16">
        <v>148</v>
      </c>
      <c r="F59" s="6" t="s">
        <v>10</v>
      </c>
    </row>
    <row r="60" spans="1:6">
      <c r="A60" s="6" t="s">
        <v>61</v>
      </c>
      <c r="B60" s="6" t="s">
        <v>79</v>
      </c>
      <c r="C60" s="17" t="s">
        <v>74</v>
      </c>
      <c r="D60" s="9" t="s">
        <v>9</v>
      </c>
      <c r="E60" s="16">
        <v>144</v>
      </c>
      <c r="F60" s="6" t="s">
        <v>10</v>
      </c>
    </row>
    <row r="61" spans="1:6">
      <c r="A61" s="6" t="s">
        <v>61</v>
      </c>
      <c r="B61" s="6" t="s">
        <v>80</v>
      </c>
      <c r="C61" s="6" t="s">
        <v>59</v>
      </c>
      <c r="D61" s="9" t="s">
        <v>9</v>
      </c>
      <c r="E61" s="16">
        <v>128</v>
      </c>
      <c r="F61" s="6" t="s">
        <v>10</v>
      </c>
    </row>
    <row r="62" spans="1:6">
      <c r="A62" s="6" t="s">
        <v>61</v>
      </c>
      <c r="B62" s="6" t="s">
        <v>81</v>
      </c>
      <c r="C62" s="6" t="s">
        <v>13</v>
      </c>
      <c r="D62" s="9" t="s">
        <v>9</v>
      </c>
      <c r="E62" s="16">
        <v>250</v>
      </c>
      <c r="F62" s="6" t="s">
        <v>10</v>
      </c>
    </row>
    <row r="63" spans="1:6">
      <c r="A63" s="6" t="s">
        <v>61</v>
      </c>
      <c r="B63" s="6" t="s">
        <v>82</v>
      </c>
      <c r="C63" s="6" t="s">
        <v>70</v>
      </c>
      <c r="D63" s="9" t="s">
        <v>9</v>
      </c>
      <c r="E63" s="16">
        <v>145</v>
      </c>
      <c r="F63" s="6" t="s">
        <v>10</v>
      </c>
    </row>
    <row r="64" spans="1:6">
      <c r="A64" s="6" t="s">
        <v>61</v>
      </c>
      <c r="B64" s="6" t="s">
        <v>83</v>
      </c>
      <c r="C64" s="6" t="s">
        <v>32</v>
      </c>
      <c r="D64" s="9" t="s">
        <v>9</v>
      </c>
      <c r="E64" s="16">
        <v>125</v>
      </c>
      <c r="F64" s="6" t="s">
        <v>10</v>
      </c>
    </row>
    <row r="65" spans="1:6">
      <c r="A65" s="6" t="s">
        <v>61</v>
      </c>
      <c r="B65" s="6" t="s">
        <v>84</v>
      </c>
      <c r="C65" s="6" t="s">
        <v>32</v>
      </c>
      <c r="D65" s="9" t="s">
        <v>9</v>
      </c>
      <c r="E65" s="16">
        <v>125</v>
      </c>
      <c r="F65" s="6" t="s">
        <v>10</v>
      </c>
    </row>
    <row r="66" spans="1:6">
      <c r="A66" s="6" t="s">
        <v>61</v>
      </c>
      <c r="B66" s="6" t="s">
        <v>85</v>
      </c>
      <c r="C66" s="6" t="s">
        <v>70</v>
      </c>
      <c r="D66" s="9" t="s">
        <v>9</v>
      </c>
      <c r="E66" s="16">
        <v>150</v>
      </c>
      <c r="F66" s="6" t="s">
        <v>10</v>
      </c>
    </row>
    <row r="67" spans="1:6">
      <c r="A67" s="6" t="s">
        <v>61</v>
      </c>
      <c r="B67" s="6" t="s">
        <v>86</v>
      </c>
      <c r="C67" s="6" t="s">
        <v>87</v>
      </c>
      <c r="D67" s="9" t="s">
        <v>9</v>
      </c>
      <c r="E67" s="16">
        <v>145</v>
      </c>
      <c r="F67" s="6" t="s">
        <v>10</v>
      </c>
    </row>
    <row r="68" spans="1:6">
      <c r="A68" s="6" t="s">
        <v>61</v>
      </c>
      <c r="B68" s="6" t="s">
        <v>88</v>
      </c>
      <c r="C68" s="6" t="s">
        <v>87</v>
      </c>
      <c r="D68" s="9" t="s">
        <v>9</v>
      </c>
      <c r="E68" s="16">
        <v>142</v>
      </c>
      <c r="F68" s="6" t="s">
        <v>10</v>
      </c>
    </row>
    <row r="69" spans="1:6">
      <c r="A69" s="6" t="s">
        <v>61</v>
      </c>
      <c r="B69" s="6" t="s">
        <v>89</v>
      </c>
      <c r="C69" s="6" t="s">
        <v>13</v>
      </c>
      <c r="D69" s="9" t="s">
        <v>9</v>
      </c>
      <c r="E69" s="16">
        <v>167.5</v>
      </c>
      <c r="F69" s="6" t="s">
        <v>10</v>
      </c>
    </row>
    <row r="70" spans="1:6">
      <c r="A70" s="6" t="s">
        <v>61</v>
      </c>
      <c r="B70" s="6" t="s">
        <v>90</v>
      </c>
      <c r="C70" s="6" t="s">
        <v>13</v>
      </c>
      <c r="D70" s="9" t="s">
        <v>9</v>
      </c>
      <c r="E70" s="16">
        <v>172.5</v>
      </c>
      <c r="F70" s="6" t="s">
        <v>10</v>
      </c>
    </row>
    <row r="71" spans="1:6">
      <c r="A71" s="6" t="s">
        <v>61</v>
      </c>
      <c r="B71" s="6" t="s">
        <v>91</v>
      </c>
      <c r="C71" s="6" t="s">
        <v>13</v>
      </c>
      <c r="D71" s="9" t="s">
        <v>9</v>
      </c>
      <c r="E71" s="16">
        <v>165</v>
      </c>
      <c r="F71" s="6" t="s">
        <v>10</v>
      </c>
    </row>
    <row r="72" spans="1:6">
      <c r="A72" s="6" t="s">
        <v>61</v>
      </c>
      <c r="B72" s="6" t="s">
        <v>92</v>
      </c>
      <c r="C72" s="6" t="s">
        <v>13</v>
      </c>
      <c r="D72" s="9" t="s">
        <v>9</v>
      </c>
      <c r="E72" s="16">
        <v>138</v>
      </c>
      <c r="F72" s="6" t="s">
        <v>10</v>
      </c>
    </row>
    <row r="73" spans="1:6">
      <c r="A73" s="6" t="s">
        <v>61</v>
      </c>
      <c r="B73" s="6" t="s">
        <v>93</v>
      </c>
      <c r="C73" s="6" t="s">
        <v>13</v>
      </c>
      <c r="D73" s="9" t="s">
        <v>9</v>
      </c>
      <c r="E73" s="16">
        <v>124</v>
      </c>
      <c r="F73" s="6" t="s">
        <v>10</v>
      </c>
    </row>
    <row r="74" spans="1:6">
      <c r="A74" s="6" t="s">
        <v>61</v>
      </c>
      <c r="B74" s="6" t="s">
        <v>94</v>
      </c>
      <c r="C74" s="6" t="s">
        <v>59</v>
      </c>
      <c r="D74" s="9" t="s">
        <v>9</v>
      </c>
      <c r="E74" s="16">
        <v>126</v>
      </c>
      <c r="F74" s="6" t="s">
        <v>10</v>
      </c>
    </row>
    <row r="75" spans="1:6">
      <c r="A75" s="6" t="s">
        <v>61</v>
      </c>
      <c r="B75" s="6" t="s">
        <v>95</v>
      </c>
      <c r="C75" s="6" t="s">
        <v>59</v>
      </c>
      <c r="D75" s="9" t="s">
        <v>9</v>
      </c>
      <c r="E75" s="16">
        <v>128</v>
      </c>
      <c r="F75" s="6" t="s">
        <v>10</v>
      </c>
    </row>
    <row r="76" spans="1:6">
      <c r="A76" s="6" t="s">
        <v>61</v>
      </c>
      <c r="B76" s="6" t="s">
        <v>96</v>
      </c>
      <c r="C76" s="6" t="s">
        <v>59</v>
      </c>
      <c r="D76" s="9" t="s">
        <v>9</v>
      </c>
      <c r="E76" s="16">
        <v>124</v>
      </c>
      <c r="F76" s="6" t="s">
        <v>10</v>
      </c>
    </row>
    <row r="77" spans="1:6">
      <c r="A77" s="6" t="s">
        <v>61</v>
      </c>
      <c r="B77" s="6" t="s">
        <v>97</v>
      </c>
      <c r="C77" s="6" t="s">
        <v>70</v>
      </c>
      <c r="D77" s="9" t="s">
        <v>9</v>
      </c>
      <c r="E77" s="16">
        <v>150</v>
      </c>
      <c r="F77" s="6" t="s">
        <v>10</v>
      </c>
    </row>
    <row r="78" spans="1:6">
      <c r="A78" s="6" t="s">
        <v>61</v>
      </c>
      <c r="B78" s="6" t="s">
        <v>98</v>
      </c>
      <c r="C78" s="6" t="s">
        <v>99</v>
      </c>
      <c r="D78" s="9" t="s">
        <v>9</v>
      </c>
      <c r="E78" s="16">
        <v>140</v>
      </c>
      <c r="F78" s="6" t="s">
        <v>10</v>
      </c>
    </row>
    <row r="79" spans="1:6">
      <c r="A79" s="6" t="s">
        <v>61</v>
      </c>
      <c r="B79" s="6" t="s">
        <v>100</v>
      </c>
      <c r="C79" s="6" t="s">
        <v>99</v>
      </c>
      <c r="D79" s="9" t="s">
        <v>9</v>
      </c>
      <c r="E79" s="16">
        <v>128</v>
      </c>
      <c r="F79" s="6" t="s">
        <v>10</v>
      </c>
    </row>
    <row r="80" spans="1:6">
      <c r="A80" s="6" t="s">
        <v>61</v>
      </c>
      <c r="B80" s="6" t="s">
        <v>101</v>
      </c>
      <c r="C80" s="6" t="s">
        <v>70</v>
      </c>
      <c r="D80" s="9" t="s">
        <v>9</v>
      </c>
      <c r="E80" s="16">
        <v>140</v>
      </c>
      <c r="F80" s="6" t="s">
        <v>10</v>
      </c>
    </row>
    <row r="81" spans="1:6">
      <c r="A81" s="6" t="s">
        <v>61</v>
      </c>
      <c r="B81" s="6" t="s">
        <v>102</v>
      </c>
      <c r="C81" s="6" t="s">
        <v>70</v>
      </c>
      <c r="D81" s="9" t="s">
        <v>9</v>
      </c>
      <c r="E81" s="16">
        <v>155</v>
      </c>
      <c r="F81" s="6" t="s">
        <v>10</v>
      </c>
    </row>
    <row r="82" spans="1:6">
      <c r="A82" s="6" t="s">
        <v>61</v>
      </c>
      <c r="B82" s="6" t="s">
        <v>103</v>
      </c>
      <c r="C82" s="6" t="s">
        <v>70</v>
      </c>
      <c r="D82" s="9" t="s">
        <v>9</v>
      </c>
      <c r="E82" s="16">
        <v>165</v>
      </c>
      <c r="F82" s="6" t="s">
        <v>10</v>
      </c>
    </row>
    <row r="83" spans="1:6">
      <c r="A83" s="6" t="s">
        <v>61</v>
      </c>
      <c r="B83" s="6" t="s">
        <v>104</v>
      </c>
      <c r="C83" s="6" t="s">
        <v>70</v>
      </c>
      <c r="D83" s="9" t="s">
        <v>9</v>
      </c>
      <c r="E83" s="16">
        <v>120</v>
      </c>
      <c r="F83" s="6" t="s">
        <v>10</v>
      </c>
    </row>
    <row r="84" spans="1:6">
      <c r="A84" s="6" t="s">
        <v>61</v>
      </c>
      <c r="B84" s="6" t="s">
        <v>105</v>
      </c>
      <c r="C84" s="6" t="s">
        <v>99</v>
      </c>
      <c r="D84" s="9" t="s">
        <v>9</v>
      </c>
      <c r="E84" s="16">
        <v>110</v>
      </c>
      <c r="F84" s="6" t="s">
        <v>10</v>
      </c>
    </row>
    <row r="85" spans="1:6">
      <c r="A85" s="6" t="s">
        <v>61</v>
      </c>
      <c r="B85" s="6" t="s">
        <v>106</v>
      </c>
      <c r="C85" s="6" t="s">
        <v>99</v>
      </c>
      <c r="D85" s="9" t="s">
        <v>9</v>
      </c>
      <c r="E85" s="16">
        <v>130</v>
      </c>
      <c r="F85" s="6" t="s">
        <v>10</v>
      </c>
    </row>
    <row r="86" spans="1:6">
      <c r="A86" s="6" t="s">
        <v>61</v>
      </c>
      <c r="B86" s="6" t="s">
        <v>107</v>
      </c>
      <c r="C86" s="6" t="s">
        <v>70</v>
      </c>
      <c r="D86" s="9" t="s">
        <v>9</v>
      </c>
      <c r="E86" s="16">
        <v>100</v>
      </c>
      <c r="F86" s="6" t="s">
        <v>10</v>
      </c>
    </row>
    <row r="87" spans="1:6">
      <c r="A87" s="6" t="s">
        <v>61</v>
      </c>
      <c r="B87" s="6" t="s">
        <v>108</v>
      </c>
      <c r="C87" s="6" t="s">
        <v>109</v>
      </c>
      <c r="D87" s="9" t="s">
        <v>9</v>
      </c>
      <c r="E87" s="10">
        <v>112</v>
      </c>
      <c r="F87" s="6" t="s">
        <v>10</v>
      </c>
    </row>
    <row r="88" spans="1:6">
      <c r="A88" s="6" t="s">
        <v>61</v>
      </c>
      <c r="B88" s="6" t="s">
        <v>110</v>
      </c>
      <c r="C88" s="6" t="s">
        <v>111</v>
      </c>
      <c r="D88" s="9" t="s">
        <v>9</v>
      </c>
      <c r="E88" s="10">
        <v>135</v>
      </c>
      <c r="F88" s="6" t="s">
        <v>10</v>
      </c>
    </row>
    <row r="89" spans="1:6">
      <c r="A89" s="6" t="s">
        <v>61</v>
      </c>
      <c r="B89" s="6" t="s">
        <v>112</v>
      </c>
      <c r="C89" s="6" t="s">
        <v>111</v>
      </c>
      <c r="D89" s="9" t="s">
        <v>9</v>
      </c>
      <c r="E89" s="10">
        <v>145</v>
      </c>
      <c r="F89" s="6" t="s">
        <v>10</v>
      </c>
    </row>
    <row r="90" spans="1:6">
      <c r="A90" s="6" t="s">
        <v>61</v>
      </c>
      <c r="B90" s="6" t="s">
        <v>113</v>
      </c>
      <c r="C90" s="6" t="s">
        <v>111</v>
      </c>
      <c r="D90" s="9" t="s">
        <v>9</v>
      </c>
      <c r="E90" s="10">
        <v>128</v>
      </c>
      <c r="F90" s="6" t="s">
        <v>10</v>
      </c>
    </row>
    <row r="91" spans="1:6">
      <c r="A91" s="6" t="s">
        <v>61</v>
      </c>
      <c r="B91" s="6" t="s">
        <v>114</v>
      </c>
      <c r="C91" s="6" t="s">
        <v>111</v>
      </c>
      <c r="D91" s="9" t="s">
        <v>9</v>
      </c>
      <c r="E91" s="10">
        <v>155</v>
      </c>
      <c r="F91" s="6" t="s">
        <v>10</v>
      </c>
    </row>
    <row r="92" spans="1:6">
      <c r="A92" s="6" t="s">
        <v>61</v>
      </c>
      <c r="B92" s="6" t="s">
        <v>115</v>
      </c>
      <c r="C92" s="6" t="s">
        <v>111</v>
      </c>
      <c r="D92" s="9" t="s">
        <v>9</v>
      </c>
      <c r="E92" s="10">
        <v>158</v>
      </c>
      <c r="F92" s="6" t="s">
        <v>10</v>
      </c>
    </row>
    <row r="93" spans="1:6">
      <c r="A93" s="6" t="s">
        <v>61</v>
      </c>
      <c r="B93" s="6" t="s">
        <v>116</v>
      </c>
      <c r="C93" s="6" t="s">
        <v>111</v>
      </c>
      <c r="D93" s="9" t="s">
        <v>9</v>
      </c>
      <c r="E93" s="10">
        <v>165</v>
      </c>
      <c r="F93" s="6" t="s">
        <v>10</v>
      </c>
    </row>
    <row r="94" spans="1:6">
      <c r="A94" s="6" t="s">
        <v>61</v>
      </c>
      <c r="B94" s="6" t="s">
        <v>117</v>
      </c>
      <c r="C94" s="6" t="s">
        <v>111</v>
      </c>
      <c r="D94" s="9" t="s">
        <v>9</v>
      </c>
      <c r="E94" s="10">
        <v>155</v>
      </c>
      <c r="F94" s="6" t="s">
        <v>10</v>
      </c>
    </row>
    <row r="95" spans="1:6">
      <c r="A95" s="6" t="s">
        <v>61</v>
      </c>
      <c r="B95" s="6" t="s">
        <v>118</v>
      </c>
      <c r="C95" s="6" t="s">
        <v>70</v>
      </c>
      <c r="D95" s="9" t="s">
        <v>9</v>
      </c>
      <c r="E95" s="10">
        <v>124</v>
      </c>
      <c r="F95" s="6" t="s">
        <v>10</v>
      </c>
    </row>
    <row r="96" spans="1:6">
      <c r="A96" s="6" t="s">
        <v>61</v>
      </c>
      <c r="B96" s="6" t="s">
        <v>119</v>
      </c>
      <c r="C96" s="6" t="s">
        <v>36</v>
      </c>
      <c r="D96" s="9" t="s">
        <v>9</v>
      </c>
      <c r="E96" s="10">
        <v>158</v>
      </c>
      <c r="F96" s="6" t="s">
        <v>10</v>
      </c>
    </row>
    <row r="97" spans="1:6">
      <c r="A97" s="6" t="s">
        <v>61</v>
      </c>
      <c r="B97" s="6" t="s">
        <v>120</v>
      </c>
      <c r="C97" s="6" t="s">
        <v>36</v>
      </c>
      <c r="D97" s="9" t="s">
        <v>9</v>
      </c>
      <c r="E97" s="10">
        <v>152</v>
      </c>
      <c r="F97" s="6" t="s">
        <v>10</v>
      </c>
    </row>
    <row r="98" spans="1:6">
      <c r="A98" s="6" t="s">
        <v>61</v>
      </c>
      <c r="B98" s="6" t="s">
        <v>121</v>
      </c>
      <c r="C98" s="6" t="s">
        <v>36</v>
      </c>
      <c r="D98" s="9" t="s">
        <v>9</v>
      </c>
      <c r="E98" s="10">
        <v>150</v>
      </c>
      <c r="F98" s="6" t="s">
        <v>10</v>
      </c>
    </row>
    <row r="99" spans="1:6">
      <c r="A99" s="6"/>
      <c r="B99" s="20" t="s">
        <v>122</v>
      </c>
      <c r="C99" s="6"/>
      <c r="D99" s="9"/>
      <c r="E99" s="10"/>
      <c r="F99" s="6"/>
    </row>
    <row r="100" spans="1:6">
      <c r="A100" s="11" t="s">
        <v>1</v>
      </c>
      <c r="B100" s="12" t="s">
        <v>2</v>
      </c>
      <c r="C100" s="13" t="s">
        <v>3</v>
      </c>
      <c r="D100" s="14" t="s">
        <v>4</v>
      </c>
      <c r="E100" s="15" t="s">
        <v>5</v>
      </c>
      <c r="F100" s="6"/>
    </row>
    <row r="101" spans="1:6">
      <c r="A101" s="6" t="s">
        <v>122</v>
      </c>
      <c r="B101" s="6" t="s">
        <v>123</v>
      </c>
      <c r="C101" s="6" t="s">
        <v>13</v>
      </c>
      <c r="D101" s="9" t="s">
        <v>124</v>
      </c>
      <c r="E101" s="16">
        <v>38</v>
      </c>
      <c r="F101" s="6" t="s">
        <v>10</v>
      </c>
    </row>
    <row r="102" spans="1:6">
      <c r="A102" s="6" t="s">
        <v>122</v>
      </c>
      <c r="B102" s="6" t="s">
        <v>125</v>
      </c>
      <c r="C102" s="6" t="s">
        <v>32</v>
      </c>
      <c r="D102" s="9" t="s">
        <v>124</v>
      </c>
      <c r="E102" s="16">
        <v>31</v>
      </c>
      <c r="F102" s="6" t="s">
        <v>10</v>
      </c>
    </row>
    <row r="103" spans="1:6">
      <c r="A103" s="6" t="s">
        <v>122</v>
      </c>
      <c r="B103" s="6" t="s">
        <v>126</v>
      </c>
      <c r="C103" s="6" t="s">
        <v>39</v>
      </c>
      <c r="D103" s="9" t="s">
        <v>124</v>
      </c>
      <c r="E103" s="16">
        <v>36</v>
      </c>
      <c r="F103" s="6" t="s">
        <v>10</v>
      </c>
    </row>
    <row r="104" spans="1:6">
      <c r="A104" s="6" t="s">
        <v>122</v>
      </c>
      <c r="B104" s="6" t="s">
        <v>127</v>
      </c>
      <c r="C104" s="6" t="s">
        <v>13</v>
      </c>
      <c r="D104" s="9" t="s">
        <v>124</v>
      </c>
      <c r="E104" s="16">
        <v>25</v>
      </c>
      <c r="F104" s="6" t="s">
        <v>10</v>
      </c>
    </row>
    <row r="105" spans="1:6">
      <c r="A105" s="6" t="s">
        <v>122</v>
      </c>
      <c r="B105" s="6" t="s">
        <v>128</v>
      </c>
      <c r="C105" s="6" t="s">
        <v>111</v>
      </c>
      <c r="D105" s="9" t="s">
        <v>124</v>
      </c>
      <c r="E105" s="16">
        <v>42</v>
      </c>
      <c r="F105" s="6" t="s">
        <v>10</v>
      </c>
    </row>
    <row r="106" spans="1:6">
      <c r="A106" s="6" t="s">
        <v>122</v>
      </c>
      <c r="B106" s="6" t="s">
        <v>129</v>
      </c>
      <c r="C106" s="6" t="s">
        <v>99</v>
      </c>
      <c r="D106" s="9" t="s">
        <v>9</v>
      </c>
      <c r="E106" s="16">
        <v>32</v>
      </c>
      <c r="F106" s="6" t="s">
        <v>10</v>
      </c>
    </row>
    <row r="107" spans="1:6">
      <c r="A107" s="6" t="s">
        <v>122</v>
      </c>
      <c r="B107" s="6" t="s">
        <v>130</v>
      </c>
      <c r="C107" s="6" t="s">
        <v>99</v>
      </c>
      <c r="D107" s="9" t="s">
        <v>9</v>
      </c>
      <c r="E107" s="16">
        <v>18</v>
      </c>
      <c r="F107" s="6" t="s">
        <v>10</v>
      </c>
    </row>
    <row r="108" spans="1:6">
      <c r="A108" s="6" t="s">
        <v>122</v>
      </c>
      <c r="B108" s="6" t="s">
        <v>131</v>
      </c>
      <c r="C108" s="6" t="s">
        <v>70</v>
      </c>
      <c r="D108" s="9" t="s">
        <v>9</v>
      </c>
      <c r="E108" s="16">
        <v>24</v>
      </c>
      <c r="F108" s="6" t="s">
        <v>10</v>
      </c>
    </row>
    <row r="109" spans="1:6">
      <c r="A109" s="6" t="s">
        <v>122</v>
      </c>
      <c r="B109" s="6" t="s">
        <v>132</v>
      </c>
      <c r="C109" s="6" t="s">
        <v>70</v>
      </c>
      <c r="D109" s="9" t="s">
        <v>9</v>
      </c>
      <c r="E109" s="16">
        <v>37</v>
      </c>
      <c r="F109" s="6" t="s">
        <v>10</v>
      </c>
    </row>
    <row r="110" spans="1:6">
      <c r="A110" s="6" t="s">
        <v>122</v>
      </c>
      <c r="B110" s="6" t="s">
        <v>133</v>
      </c>
      <c r="C110" s="6" t="s">
        <v>59</v>
      </c>
      <c r="D110" s="9" t="s">
        <v>9</v>
      </c>
      <c r="E110" s="16">
        <v>24</v>
      </c>
      <c r="F110" s="6" t="s">
        <v>10</v>
      </c>
    </row>
    <row r="111" spans="1:6">
      <c r="A111" s="6" t="s">
        <v>122</v>
      </c>
      <c r="B111" s="6" t="s">
        <v>134</v>
      </c>
      <c r="C111" s="6" t="s">
        <v>59</v>
      </c>
      <c r="D111" s="9" t="s">
        <v>9</v>
      </c>
      <c r="E111" s="16">
        <v>32</v>
      </c>
      <c r="F111" s="6" t="s">
        <v>10</v>
      </c>
    </row>
    <row r="112" spans="1:6">
      <c r="A112" s="6" t="s">
        <v>122</v>
      </c>
      <c r="B112" s="6" t="s">
        <v>135</v>
      </c>
      <c r="C112" s="6" t="s">
        <v>70</v>
      </c>
      <c r="D112" s="9" t="s">
        <v>9</v>
      </c>
      <c r="E112" s="16">
        <v>19</v>
      </c>
      <c r="F112" s="6" t="s">
        <v>10</v>
      </c>
    </row>
    <row r="113" spans="1:6">
      <c r="A113" s="6" t="s">
        <v>122</v>
      </c>
      <c r="B113" s="6" t="s">
        <v>136</v>
      </c>
      <c r="C113" s="6" t="s">
        <v>13</v>
      </c>
      <c r="D113" s="9" t="s">
        <v>9</v>
      </c>
      <c r="E113" s="16">
        <v>38</v>
      </c>
      <c r="F113" s="6" t="s">
        <v>10</v>
      </c>
    </row>
    <row r="114" spans="1:6">
      <c r="A114" s="6" t="s">
        <v>122</v>
      </c>
      <c r="B114" s="6" t="s">
        <v>137</v>
      </c>
      <c r="C114" s="6" t="s">
        <v>109</v>
      </c>
      <c r="D114" s="9" t="s">
        <v>9</v>
      </c>
      <c r="E114" s="16">
        <v>18.9</v>
      </c>
      <c r="F114" s="6" t="s">
        <v>10</v>
      </c>
    </row>
    <row r="115" spans="1:6">
      <c r="A115" s="6" t="s">
        <v>122</v>
      </c>
      <c r="B115" s="6" t="s">
        <v>138</v>
      </c>
      <c r="C115" s="6" t="s">
        <v>36</v>
      </c>
      <c r="D115" s="9" t="s">
        <v>9</v>
      </c>
      <c r="E115" s="16">
        <v>31.5</v>
      </c>
      <c r="F115" s="6" t="s">
        <v>10</v>
      </c>
    </row>
    <row r="116" spans="1:6">
      <c r="A116" s="6" t="s">
        <v>122</v>
      </c>
      <c r="B116" s="6" t="s">
        <v>139</v>
      </c>
      <c r="C116" s="6" t="s">
        <v>36</v>
      </c>
      <c r="D116" s="9" t="s">
        <v>124</v>
      </c>
      <c r="E116" s="16">
        <v>48</v>
      </c>
      <c r="F116" s="6" t="s">
        <v>10</v>
      </c>
    </row>
    <row r="117" spans="1:6">
      <c r="A117" s="6" t="s">
        <v>122</v>
      </c>
      <c r="B117" s="6" t="s">
        <v>140</v>
      </c>
      <c r="C117" s="6" t="s">
        <v>36</v>
      </c>
      <c r="D117" s="9" t="s">
        <v>124</v>
      </c>
      <c r="E117" s="16">
        <v>42</v>
      </c>
      <c r="F117" s="6" t="s">
        <v>10</v>
      </c>
    </row>
    <row r="118" spans="1:6">
      <c r="A118" s="6"/>
      <c r="B118" s="7" t="s">
        <v>141</v>
      </c>
      <c r="C118" s="6"/>
      <c r="D118" s="9"/>
      <c r="E118" s="10"/>
      <c r="F118" s="6"/>
    </row>
    <row r="119" spans="1:6">
      <c r="A119" s="11" t="s">
        <v>1</v>
      </c>
      <c r="B119" s="12" t="s">
        <v>2</v>
      </c>
      <c r="C119" s="13" t="s">
        <v>3</v>
      </c>
      <c r="D119" s="14" t="s">
        <v>4</v>
      </c>
      <c r="E119" s="15" t="s">
        <v>5</v>
      </c>
      <c r="F119" s="6"/>
    </row>
    <row r="120" spans="1:6">
      <c r="A120" s="6" t="s">
        <v>141</v>
      </c>
      <c r="B120" s="6" t="s">
        <v>142</v>
      </c>
      <c r="C120" s="6" t="s">
        <v>13</v>
      </c>
      <c r="D120" s="9" t="s">
        <v>9</v>
      </c>
      <c r="E120" s="16">
        <v>13.5</v>
      </c>
      <c r="F120" s="6" t="s">
        <v>10</v>
      </c>
    </row>
    <row r="121" spans="1:6">
      <c r="A121" s="6" t="s">
        <v>141</v>
      </c>
      <c r="B121" s="6" t="s">
        <v>143</v>
      </c>
      <c r="C121" s="6" t="s">
        <v>74</v>
      </c>
      <c r="D121" s="9" t="s">
        <v>9</v>
      </c>
      <c r="E121" s="16">
        <v>115</v>
      </c>
      <c r="F121" s="6" t="s">
        <v>10</v>
      </c>
    </row>
    <row r="122" spans="1:6">
      <c r="A122" s="6" t="s">
        <v>141</v>
      </c>
      <c r="B122" s="6" t="s">
        <v>144</v>
      </c>
      <c r="C122" s="6" t="s">
        <v>32</v>
      </c>
      <c r="D122" s="9" t="s">
        <v>9</v>
      </c>
      <c r="E122" s="16">
        <v>88</v>
      </c>
      <c r="F122" s="6" t="s">
        <v>10</v>
      </c>
    </row>
    <row r="123" spans="1:6">
      <c r="A123" s="6" t="s">
        <v>141</v>
      </c>
      <c r="B123" s="6" t="s">
        <v>145</v>
      </c>
      <c r="C123" s="6" t="s">
        <v>59</v>
      </c>
      <c r="D123" s="9" t="s">
        <v>9</v>
      </c>
      <c r="E123" s="16">
        <v>120</v>
      </c>
      <c r="F123" s="6" t="s">
        <v>10</v>
      </c>
    </row>
    <row r="124" spans="1:6">
      <c r="A124" s="6" t="s">
        <v>141</v>
      </c>
      <c r="B124" s="6" t="s">
        <v>146</v>
      </c>
      <c r="C124" s="6" t="s">
        <v>70</v>
      </c>
      <c r="D124" s="9" t="s">
        <v>9</v>
      </c>
      <c r="E124" s="16">
        <v>190</v>
      </c>
      <c r="F124" s="6" t="s">
        <v>10</v>
      </c>
    </row>
    <row r="125" spans="1:6">
      <c r="A125" s="6" t="s">
        <v>141</v>
      </c>
      <c r="B125" s="6" t="s">
        <v>147</v>
      </c>
      <c r="C125" s="6" t="s">
        <v>39</v>
      </c>
      <c r="D125" s="9" t="s">
        <v>9</v>
      </c>
      <c r="E125" s="16">
        <v>14</v>
      </c>
      <c r="F125" s="6" t="s">
        <v>10</v>
      </c>
    </row>
    <row r="126" spans="1:6">
      <c r="A126" s="6" t="s">
        <v>141</v>
      </c>
      <c r="B126" s="6" t="s">
        <v>148</v>
      </c>
      <c r="C126" s="6" t="s">
        <v>99</v>
      </c>
      <c r="D126" s="9" t="s">
        <v>9</v>
      </c>
      <c r="E126" s="10">
        <v>14.5</v>
      </c>
      <c r="F126" s="6" t="s">
        <v>10</v>
      </c>
    </row>
    <row r="127" spans="1:6">
      <c r="A127" s="6" t="s">
        <v>141</v>
      </c>
      <c r="B127" s="6" t="s">
        <v>149</v>
      </c>
      <c r="C127" s="6" t="s">
        <v>32</v>
      </c>
      <c r="D127" s="9" t="s">
        <v>9</v>
      </c>
      <c r="E127" s="10">
        <v>10.5</v>
      </c>
      <c r="F127" s="6" t="s">
        <v>10</v>
      </c>
    </row>
    <row r="128" spans="1:6">
      <c r="A128" s="6" t="s">
        <v>141</v>
      </c>
      <c r="B128" s="6" t="s">
        <v>150</v>
      </c>
      <c r="C128" s="6" t="s">
        <v>32</v>
      </c>
      <c r="D128" s="9" t="s">
        <v>9</v>
      </c>
      <c r="E128" s="10">
        <v>51</v>
      </c>
      <c r="F128" s="6" t="s">
        <v>10</v>
      </c>
    </row>
    <row r="129" spans="1:6">
      <c r="A129" s="6" t="s">
        <v>141</v>
      </c>
      <c r="B129" s="6" t="s">
        <v>151</v>
      </c>
      <c r="C129" s="6" t="s">
        <v>152</v>
      </c>
      <c r="D129" s="9" t="s">
        <v>9</v>
      </c>
      <c r="E129" s="10">
        <v>11</v>
      </c>
      <c r="F129" s="6" t="s">
        <v>10</v>
      </c>
    </row>
    <row r="130" spans="1:6">
      <c r="A130" s="6" t="s">
        <v>141</v>
      </c>
      <c r="B130" s="6" t="s">
        <v>153</v>
      </c>
      <c r="C130" s="6" t="s">
        <v>39</v>
      </c>
      <c r="D130" s="9" t="s">
        <v>9</v>
      </c>
      <c r="E130" s="10">
        <v>14.5</v>
      </c>
      <c r="F130" s="6" t="s">
        <v>10</v>
      </c>
    </row>
    <row r="131" spans="1:6">
      <c r="A131" s="6" t="s">
        <v>141</v>
      </c>
      <c r="B131" s="6" t="s">
        <v>154</v>
      </c>
      <c r="C131" s="6" t="s">
        <v>39</v>
      </c>
      <c r="D131" s="9" t="s">
        <v>9</v>
      </c>
      <c r="E131" s="10">
        <v>100</v>
      </c>
      <c r="F131" s="6" t="s">
        <v>10</v>
      </c>
    </row>
    <row r="132" spans="1:6">
      <c r="A132" s="6" t="s">
        <v>141</v>
      </c>
      <c r="B132" s="6" t="s">
        <v>155</v>
      </c>
      <c r="C132" s="6" t="s">
        <v>39</v>
      </c>
      <c r="D132" s="9" t="s">
        <v>9</v>
      </c>
      <c r="E132" s="10">
        <v>160</v>
      </c>
      <c r="F132" s="6" t="s">
        <v>10</v>
      </c>
    </row>
    <row r="133" spans="1:6">
      <c r="A133" s="6"/>
      <c r="B133" s="20" t="s">
        <v>156</v>
      </c>
      <c r="C133" s="6"/>
      <c r="D133" s="9"/>
      <c r="E133" s="10"/>
      <c r="F133" s="6"/>
    </row>
    <row r="134" spans="1:6">
      <c r="A134" s="11" t="s">
        <v>1</v>
      </c>
      <c r="B134" s="12" t="s">
        <v>2</v>
      </c>
      <c r="C134" s="13" t="s">
        <v>3</v>
      </c>
      <c r="D134" s="14" t="s">
        <v>4</v>
      </c>
      <c r="E134" s="15" t="s">
        <v>5</v>
      </c>
      <c r="F134" s="6"/>
    </row>
    <row r="135" spans="1:6">
      <c r="A135" s="6" t="s">
        <v>156</v>
      </c>
      <c r="B135" s="6" t="s">
        <v>157</v>
      </c>
      <c r="C135" s="6" t="s">
        <v>13</v>
      </c>
      <c r="D135" s="9" t="s">
        <v>9</v>
      </c>
      <c r="E135" s="16">
        <v>425</v>
      </c>
      <c r="F135" s="6" t="s">
        <v>10</v>
      </c>
    </row>
    <row r="136" spans="1:6">
      <c r="A136" s="6" t="s">
        <v>156</v>
      </c>
      <c r="B136" s="6" t="s">
        <v>158</v>
      </c>
      <c r="C136" s="6" t="s">
        <v>21</v>
      </c>
      <c r="D136" s="9" t="s">
        <v>9</v>
      </c>
      <c r="E136" s="16">
        <v>265</v>
      </c>
      <c r="F136" s="6" t="s">
        <v>10</v>
      </c>
    </row>
    <row r="137" spans="1:6">
      <c r="A137" s="6" t="s">
        <v>156</v>
      </c>
      <c r="B137" s="6" t="s">
        <v>159</v>
      </c>
      <c r="C137" s="6" t="s">
        <v>32</v>
      </c>
      <c r="D137" s="9" t="s">
        <v>9</v>
      </c>
      <c r="E137" s="16">
        <v>230</v>
      </c>
      <c r="F137" s="6" t="s">
        <v>10</v>
      </c>
    </row>
    <row r="138" spans="1:6">
      <c r="A138" s="6" t="s">
        <v>156</v>
      </c>
      <c r="B138" s="6" t="s">
        <v>160</v>
      </c>
      <c r="C138" s="6" t="s">
        <v>32</v>
      </c>
      <c r="D138" s="9" t="s">
        <v>9</v>
      </c>
      <c r="E138" s="16">
        <v>216</v>
      </c>
      <c r="F138" s="6" t="s">
        <v>10</v>
      </c>
    </row>
    <row r="139" spans="1:6">
      <c r="A139" s="6" t="s">
        <v>156</v>
      </c>
      <c r="B139" s="6" t="s">
        <v>161</v>
      </c>
      <c r="C139" s="6" t="s">
        <v>36</v>
      </c>
      <c r="D139" s="9" t="s">
        <v>9</v>
      </c>
      <c r="E139" s="16">
        <v>240</v>
      </c>
      <c r="F139" s="6" t="s">
        <v>10</v>
      </c>
    </row>
    <row r="140" spans="1:6">
      <c r="A140" s="6" t="s">
        <v>156</v>
      </c>
      <c r="B140" s="6" t="s">
        <v>162</v>
      </c>
      <c r="C140" s="22" t="s">
        <v>152</v>
      </c>
      <c r="D140" s="9" t="s">
        <v>9</v>
      </c>
      <c r="E140" s="23">
        <v>180</v>
      </c>
      <c r="F140" s="6" t="s">
        <v>10</v>
      </c>
    </row>
    <row r="141" spans="1:6">
      <c r="A141" s="6" t="s">
        <v>156</v>
      </c>
      <c r="B141" s="6" t="s">
        <v>163</v>
      </c>
      <c r="C141" s="22" t="s">
        <v>111</v>
      </c>
      <c r="D141" s="9" t="s">
        <v>9</v>
      </c>
      <c r="E141" s="23">
        <v>450</v>
      </c>
      <c r="F141" s="6" t="s">
        <v>10</v>
      </c>
    </row>
    <row r="142" s="3" customFormat="1" spans="1:6">
      <c r="A142" s="24" t="s">
        <v>156</v>
      </c>
      <c r="B142" s="24" t="s">
        <v>3308</v>
      </c>
      <c r="C142" s="24" t="s">
        <v>99</v>
      </c>
      <c r="D142" s="25" t="s">
        <v>9</v>
      </c>
      <c r="E142" s="26">
        <v>238</v>
      </c>
      <c r="F142" s="24" t="s">
        <v>10</v>
      </c>
    </row>
    <row r="143" spans="1:6">
      <c r="A143" s="6"/>
      <c r="B143" s="20" t="s">
        <v>164</v>
      </c>
      <c r="C143" s="13"/>
      <c r="D143" s="14"/>
      <c r="E143" s="15"/>
      <c r="F143" s="6"/>
    </row>
    <row r="144" spans="1:6">
      <c r="A144" s="11" t="s">
        <v>1</v>
      </c>
      <c r="B144" s="12" t="s">
        <v>2</v>
      </c>
      <c r="C144" s="13" t="s">
        <v>3</v>
      </c>
      <c r="D144" s="14" t="s">
        <v>4</v>
      </c>
      <c r="E144" s="15" t="s">
        <v>5</v>
      </c>
      <c r="F144" s="6"/>
    </row>
    <row r="145" spans="1:6">
      <c r="A145" s="6" t="s">
        <v>164</v>
      </c>
      <c r="B145" s="6" t="s">
        <v>165</v>
      </c>
      <c r="C145" s="6" t="s">
        <v>13</v>
      </c>
      <c r="D145" s="9" t="s">
        <v>9</v>
      </c>
      <c r="E145" s="16">
        <v>53</v>
      </c>
      <c r="F145" s="6" t="s">
        <v>10</v>
      </c>
    </row>
    <row r="146" spans="1:6">
      <c r="A146" s="6" t="s">
        <v>164</v>
      </c>
      <c r="B146" s="6" t="s">
        <v>166</v>
      </c>
      <c r="C146" s="6" t="s">
        <v>13</v>
      </c>
      <c r="D146" s="9" t="s">
        <v>9</v>
      </c>
      <c r="E146" s="16">
        <v>53</v>
      </c>
      <c r="F146" s="6" t="s">
        <v>10</v>
      </c>
    </row>
    <row r="147" spans="1:6">
      <c r="A147" s="6" t="s">
        <v>164</v>
      </c>
      <c r="B147" s="6" t="s">
        <v>167</v>
      </c>
      <c r="C147" s="6" t="s">
        <v>24</v>
      </c>
      <c r="D147" s="9" t="s">
        <v>9</v>
      </c>
      <c r="E147" s="16">
        <v>55</v>
      </c>
      <c r="F147" s="6" t="s">
        <v>10</v>
      </c>
    </row>
    <row r="148" spans="1:6">
      <c r="A148" s="6" t="s">
        <v>164</v>
      </c>
      <c r="B148" s="6" t="s">
        <v>168</v>
      </c>
      <c r="C148" s="6" t="s">
        <v>21</v>
      </c>
      <c r="D148" s="9" t="s">
        <v>9</v>
      </c>
      <c r="E148" s="16">
        <v>50</v>
      </c>
      <c r="F148" s="6" t="s">
        <v>10</v>
      </c>
    </row>
    <row r="149" spans="1:6">
      <c r="A149" s="6" t="s">
        <v>164</v>
      </c>
      <c r="B149" s="6" t="s">
        <v>169</v>
      </c>
      <c r="C149" s="6" t="s">
        <v>21</v>
      </c>
      <c r="D149" s="9" t="s">
        <v>9</v>
      </c>
      <c r="E149" s="16">
        <v>55</v>
      </c>
      <c r="F149" s="6" t="s">
        <v>10</v>
      </c>
    </row>
    <row r="150" spans="1:6">
      <c r="A150" s="6" t="s">
        <v>164</v>
      </c>
      <c r="B150" s="6" t="s">
        <v>170</v>
      </c>
      <c r="C150" s="6" t="s">
        <v>24</v>
      </c>
      <c r="D150" s="9" t="s">
        <v>9</v>
      </c>
      <c r="E150" s="16">
        <v>65</v>
      </c>
      <c r="F150" s="6" t="s">
        <v>10</v>
      </c>
    </row>
    <row r="151" spans="1:6">
      <c r="A151" s="6" t="s">
        <v>164</v>
      </c>
      <c r="B151" s="6" t="s">
        <v>171</v>
      </c>
      <c r="C151" s="27" t="s">
        <v>24</v>
      </c>
      <c r="D151" s="9" t="s">
        <v>9</v>
      </c>
      <c r="E151" s="16">
        <v>115</v>
      </c>
      <c r="F151" s="6" t="s">
        <v>10</v>
      </c>
    </row>
    <row r="152" spans="1:6">
      <c r="A152" s="6" t="s">
        <v>164</v>
      </c>
      <c r="B152" s="6" t="s">
        <v>172</v>
      </c>
      <c r="C152" s="6" t="s">
        <v>173</v>
      </c>
      <c r="D152" s="9" t="s">
        <v>9</v>
      </c>
      <c r="E152" s="16">
        <v>55</v>
      </c>
      <c r="F152" s="6" t="s">
        <v>10</v>
      </c>
    </row>
    <row r="153" spans="1:6">
      <c r="A153" s="6" t="s">
        <v>164</v>
      </c>
      <c r="B153" s="6" t="s">
        <v>174</v>
      </c>
      <c r="C153" s="6" t="s">
        <v>32</v>
      </c>
      <c r="D153" s="9" t="s">
        <v>9</v>
      </c>
      <c r="E153" s="16">
        <v>47</v>
      </c>
      <c r="F153" s="6" t="s">
        <v>10</v>
      </c>
    </row>
    <row r="154" spans="1:6">
      <c r="A154" s="6" t="s">
        <v>164</v>
      </c>
      <c r="B154" s="6" t="s">
        <v>175</v>
      </c>
      <c r="C154" s="6" t="s">
        <v>32</v>
      </c>
      <c r="D154" s="9" t="s">
        <v>9</v>
      </c>
      <c r="E154" s="16">
        <v>47</v>
      </c>
      <c r="F154" s="6" t="s">
        <v>10</v>
      </c>
    </row>
    <row r="155" spans="1:6">
      <c r="A155" s="6" t="s">
        <v>164</v>
      </c>
      <c r="B155" s="6" t="s">
        <v>176</v>
      </c>
      <c r="C155" s="6" t="s">
        <v>32</v>
      </c>
      <c r="D155" s="9" t="s">
        <v>9</v>
      </c>
      <c r="E155" s="16">
        <v>47</v>
      </c>
      <c r="F155" s="6" t="s">
        <v>10</v>
      </c>
    </row>
    <row r="156" spans="1:6">
      <c r="A156" s="6" t="s">
        <v>164</v>
      </c>
      <c r="B156" s="6" t="s">
        <v>177</v>
      </c>
      <c r="C156" s="6" t="s">
        <v>32</v>
      </c>
      <c r="D156" s="9" t="s">
        <v>9</v>
      </c>
      <c r="E156" s="16">
        <v>110</v>
      </c>
      <c r="F156" s="6" t="s">
        <v>10</v>
      </c>
    </row>
    <row r="157" spans="1:6">
      <c r="A157" s="6" t="s">
        <v>164</v>
      </c>
      <c r="B157" s="6" t="s">
        <v>178</v>
      </c>
      <c r="C157" s="6" t="s">
        <v>32</v>
      </c>
      <c r="D157" s="9" t="s">
        <v>9</v>
      </c>
      <c r="E157" s="16">
        <v>110</v>
      </c>
      <c r="F157" s="6" t="s">
        <v>10</v>
      </c>
    </row>
    <row r="158" spans="1:6">
      <c r="A158" s="6" t="s">
        <v>164</v>
      </c>
      <c r="B158" s="6" t="s">
        <v>179</v>
      </c>
      <c r="C158" s="6" t="s">
        <v>32</v>
      </c>
      <c r="D158" s="9" t="s">
        <v>9</v>
      </c>
      <c r="E158" s="16">
        <v>112</v>
      </c>
      <c r="F158" s="6" t="s">
        <v>10</v>
      </c>
    </row>
    <row r="159" spans="1:6">
      <c r="A159" s="6" t="s">
        <v>164</v>
      </c>
      <c r="B159" s="6" t="s">
        <v>180</v>
      </c>
      <c r="C159" s="6" t="s">
        <v>111</v>
      </c>
      <c r="D159" s="9" t="s">
        <v>9</v>
      </c>
      <c r="E159" s="16">
        <v>66</v>
      </c>
      <c r="F159" s="6" t="s">
        <v>10</v>
      </c>
    </row>
    <row r="160" spans="1:6">
      <c r="A160" s="6" t="s">
        <v>164</v>
      </c>
      <c r="B160" s="6" t="s">
        <v>181</v>
      </c>
      <c r="C160" s="6" t="s">
        <v>111</v>
      </c>
      <c r="D160" s="9" t="s">
        <v>9</v>
      </c>
      <c r="E160" s="16">
        <v>74</v>
      </c>
      <c r="F160" s="6" t="s">
        <v>10</v>
      </c>
    </row>
    <row r="161" spans="1:6">
      <c r="A161" s="6" t="s">
        <v>164</v>
      </c>
      <c r="B161" s="6" t="s">
        <v>182</v>
      </c>
      <c r="C161" s="6" t="s">
        <v>36</v>
      </c>
      <c r="D161" s="9" t="s">
        <v>9</v>
      </c>
      <c r="E161" s="16">
        <v>74</v>
      </c>
      <c r="F161" s="6" t="s">
        <v>10</v>
      </c>
    </row>
    <row r="162" spans="1:6">
      <c r="A162" s="6" t="s">
        <v>164</v>
      </c>
      <c r="B162" s="6" t="s">
        <v>183</v>
      </c>
      <c r="C162" s="6" t="s">
        <v>36</v>
      </c>
      <c r="D162" s="9" t="s">
        <v>9</v>
      </c>
      <c r="E162" s="16">
        <v>77</v>
      </c>
      <c r="F162" s="6" t="s">
        <v>10</v>
      </c>
    </row>
    <row r="163" spans="1:6">
      <c r="A163" s="6" t="s">
        <v>164</v>
      </c>
      <c r="B163" s="6" t="s">
        <v>184</v>
      </c>
      <c r="C163" s="6" t="s">
        <v>99</v>
      </c>
      <c r="D163" s="9" t="s">
        <v>9</v>
      </c>
      <c r="E163" s="16">
        <v>250</v>
      </c>
      <c r="F163" s="6" t="s">
        <v>10</v>
      </c>
    </row>
    <row r="164" spans="1:6">
      <c r="A164" s="6" t="s">
        <v>164</v>
      </c>
      <c r="B164" s="6" t="s">
        <v>185</v>
      </c>
      <c r="C164" s="6" t="s">
        <v>99</v>
      </c>
      <c r="D164" s="9" t="s">
        <v>9</v>
      </c>
      <c r="E164" s="16">
        <v>68</v>
      </c>
      <c r="F164" s="6" t="s">
        <v>10</v>
      </c>
    </row>
    <row r="165" spans="1:6">
      <c r="A165" s="6" t="s">
        <v>164</v>
      </c>
      <c r="B165" s="6" t="s">
        <v>186</v>
      </c>
      <c r="C165" s="6" t="s">
        <v>99</v>
      </c>
      <c r="D165" s="9" t="s">
        <v>9</v>
      </c>
      <c r="E165" s="16">
        <v>68</v>
      </c>
      <c r="F165" s="6" t="s">
        <v>10</v>
      </c>
    </row>
    <row r="166" spans="1:6">
      <c r="A166" s="6" t="s">
        <v>164</v>
      </c>
      <c r="B166" s="6" t="s">
        <v>187</v>
      </c>
      <c r="C166" s="6" t="s">
        <v>99</v>
      </c>
      <c r="D166" s="9" t="s">
        <v>9</v>
      </c>
      <c r="E166" s="16">
        <v>74</v>
      </c>
      <c r="F166" s="6" t="s">
        <v>10</v>
      </c>
    </row>
    <row r="167" spans="1:6">
      <c r="A167" s="6" t="s">
        <v>164</v>
      </c>
      <c r="B167" s="6" t="s">
        <v>188</v>
      </c>
      <c r="C167" s="6" t="s">
        <v>99</v>
      </c>
      <c r="D167" s="9" t="s">
        <v>9</v>
      </c>
      <c r="E167" s="16">
        <v>115</v>
      </c>
      <c r="F167" s="6" t="s">
        <v>10</v>
      </c>
    </row>
    <row r="168" spans="1:6">
      <c r="A168" s="6" t="s">
        <v>164</v>
      </c>
      <c r="B168" s="6" t="s">
        <v>189</v>
      </c>
      <c r="C168" s="6" t="s">
        <v>152</v>
      </c>
      <c r="D168" s="9" t="s">
        <v>9</v>
      </c>
      <c r="E168" s="16">
        <v>60</v>
      </c>
      <c r="F168" s="6" t="s">
        <v>10</v>
      </c>
    </row>
    <row r="169" spans="1:6">
      <c r="A169" s="6" t="s">
        <v>164</v>
      </c>
      <c r="B169" s="6" t="s">
        <v>190</v>
      </c>
      <c r="C169" s="6" t="s">
        <v>39</v>
      </c>
      <c r="D169" s="9" t="s">
        <v>9</v>
      </c>
      <c r="E169" s="10">
        <v>48</v>
      </c>
      <c r="F169" s="6" t="s">
        <v>10</v>
      </c>
    </row>
    <row r="170" spans="1:6">
      <c r="A170" s="6" t="s">
        <v>164</v>
      </c>
      <c r="B170" s="6" t="s">
        <v>191</v>
      </c>
      <c r="C170" s="6" t="s">
        <v>39</v>
      </c>
      <c r="D170" s="9" t="s">
        <v>9</v>
      </c>
      <c r="E170" s="10">
        <v>71</v>
      </c>
      <c r="F170" s="6" t="s">
        <v>10</v>
      </c>
    </row>
    <row r="171" spans="1:6">
      <c r="A171" s="6" t="s">
        <v>164</v>
      </c>
      <c r="B171" s="6" t="s">
        <v>192</v>
      </c>
      <c r="C171" s="6" t="s">
        <v>39</v>
      </c>
      <c r="D171" s="9" t="s">
        <v>9</v>
      </c>
      <c r="E171" s="10">
        <v>79</v>
      </c>
      <c r="F171" s="6" t="s">
        <v>10</v>
      </c>
    </row>
    <row r="172" spans="1:6">
      <c r="A172" s="6" t="s">
        <v>164</v>
      </c>
      <c r="B172" s="6" t="s">
        <v>193</v>
      </c>
      <c r="C172" s="6" t="s">
        <v>39</v>
      </c>
      <c r="D172" s="9" t="s">
        <v>9</v>
      </c>
      <c r="E172" s="10">
        <v>56</v>
      </c>
      <c r="F172" s="6" t="s">
        <v>10</v>
      </c>
    </row>
    <row r="173" spans="1:6">
      <c r="A173" s="6" t="s">
        <v>164</v>
      </c>
      <c r="B173" s="6" t="s">
        <v>194</v>
      </c>
      <c r="C173" s="6" t="s">
        <v>39</v>
      </c>
      <c r="D173" s="9" t="s">
        <v>9</v>
      </c>
      <c r="E173" s="10">
        <v>100</v>
      </c>
      <c r="F173" s="6" t="s">
        <v>10</v>
      </c>
    </row>
    <row r="174" spans="1:6">
      <c r="A174" s="6"/>
      <c r="B174" s="7" t="s">
        <v>195</v>
      </c>
      <c r="C174" s="6"/>
      <c r="D174" s="9"/>
      <c r="E174" s="10"/>
      <c r="F174" s="6"/>
    </row>
    <row r="175" spans="1:6">
      <c r="A175" s="11" t="s">
        <v>1</v>
      </c>
      <c r="B175" s="12" t="s">
        <v>2</v>
      </c>
      <c r="C175" s="13" t="s">
        <v>3</v>
      </c>
      <c r="D175" s="14" t="s">
        <v>4</v>
      </c>
      <c r="E175" s="15" t="s">
        <v>5</v>
      </c>
      <c r="F175" s="6"/>
    </row>
    <row r="176" spans="1:6">
      <c r="A176" s="28" t="s">
        <v>195</v>
      </c>
      <c r="B176" s="6" t="s">
        <v>196</v>
      </c>
      <c r="C176" s="6" t="s">
        <v>13</v>
      </c>
      <c r="D176" s="9" t="s">
        <v>9</v>
      </c>
      <c r="E176" s="16">
        <v>26.25</v>
      </c>
      <c r="F176" s="6" t="s">
        <v>10</v>
      </c>
    </row>
    <row r="177" spans="1:6">
      <c r="A177" s="28" t="s">
        <v>195</v>
      </c>
      <c r="B177" s="6" t="s">
        <v>197</v>
      </c>
      <c r="C177" s="6" t="s">
        <v>13</v>
      </c>
      <c r="D177" s="9" t="s">
        <v>9</v>
      </c>
      <c r="E177" s="16">
        <v>26.25</v>
      </c>
      <c r="F177" s="6" t="s">
        <v>10</v>
      </c>
    </row>
    <row r="178" spans="1:6">
      <c r="A178" s="28" t="s">
        <v>195</v>
      </c>
      <c r="B178" s="6" t="s">
        <v>198</v>
      </c>
      <c r="C178" s="6" t="s">
        <v>199</v>
      </c>
      <c r="D178" s="9" t="s">
        <v>9</v>
      </c>
      <c r="E178" s="16">
        <v>16.5</v>
      </c>
      <c r="F178" s="6" t="s">
        <v>10</v>
      </c>
    </row>
    <row r="179" spans="1:6">
      <c r="A179" s="28" t="s">
        <v>195</v>
      </c>
      <c r="B179" s="6" t="s">
        <v>200</v>
      </c>
      <c r="C179" s="6" t="s">
        <v>13</v>
      </c>
      <c r="D179" s="9" t="s">
        <v>124</v>
      </c>
      <c r="E179" s="16">
        <v>18</v>
      </c>
      <c r="F179" s="6" t="s">
        <v>10</v>
      </c>
    </row>
    <row r="180" spans="1:6">
      <c r="A180" s="28" t="s">
        <v>195</v>
      </c>
      <c r="B180" s="6" t="s">
        <v>201</v>
      </c>
      <c r="C180" s="6" t="s">
        <v>13</v>
      </c>
      <c r="D180" s="9" t="s">
        <v>9</v>
      </c>
      <c r="E180" s="16">
        <v>33.38</v>
      </c>
      <c r="F180" s="6" t="s">
        <v>10</v>
      </c>
    </row>
    <row r="181" spans="1:6">
      <c r="A181" s="28" t="s">
        <v>195</v>
      </c>
      <c r="B181" s="6" t="s">
        <v>202</v>
      </c>
      <c r="C181" s="6" t="s">
        <v>13</v>
      </c>
      <c r="D181" s="9" t="s">
        <v>9</v>
      </c>
      <c r="E181" s="16">
        <v>18</v>
      </c>
      <c r="F181" s="6" t="s">
        <v>10</v>
      </c>
    </row>
    <row r="182" spans="1:6">
      <c r="A182" s="28" t="s">
        <v>195</v>
      </c>
      <c r="B182" s="6" t="s">
        <v>203</v>
      </c>
      <c r="C182" s="6" t="s">
        <v>199</v>
      </c>
      <c r="D182" s="9" t="s">
        <v>9</v>
      </c>
      <c r="E182" s="10">
        <v>18</v>
      </c>
      <c r="F182" s="6" t="s">
        <v>10</v>
      </c>
    </row>
    <row r="183" spans="1:6">
      <c r="A183" s="28" t="s">
        <v>195</v>
      </c>
      <c r="B183" s="6" t="s">
        <v>204</v>
      </c>
      <c r="C183" s="6" t="s">
        <v>13</v>
      </c>
      <c r="D183" s="9" t="s">
        <v>9</v>
      </c>
      <c r="E183" s="10">
        <v>24</v>
      </c>
      <c r="F183" s="6" t="s">
        <v>10</v>
      </c>
    </row>
    <row r="184" spans="1:6">
      <c r="A184" s="28" t="s">
        <v>195</v>
      </c>
      <c r="B184" s="6" t="s">
        <v>205</v>
      </c>
      <c r="C184" s="6" t="s">
        <v>87</v>
      </c>
      <c r="D184" s="9" t="s">
        <v>9</v>
      </c>
      <c r="E184" s="10">
        <v>33</v>
      </c>
      <c r="F184" s="6" t="s">
        <v>10</v>
      </c>
    </row>
    <row r="185" spans="1:6">
      <c r="A185" s="28" t="s">
        <v>195</v>
      </c>
      <c r="B185" s="6" t="s">
        <v>206</v>
      </c>
      <c r="C185" s="6" t="s">
        <v>87</v>
      </c>
      <c r="D185" s="9" t="s">
        <v>9</v>
      </c>
      <c r="E185" s="10">
        <v>21.75</v>
      </c>
      <c r="F185" s="6" t="s">
        <v>10</v>
      </c>
    </row>
    <row r="186" spans="1:6">
      <c r="A186" s="28" t="s">
        <v>195</v>
      </c>
      <c r="B186" s="6" t="s">
        <v>207</v>
      </c>
      <c r="C186" s="6" t="s">
        <v>87</v>
      </c>
      <c r="D186" s="9" t="s">
        <v>9</v>
      </c>
      <c r="E186" s="10">
        <v>25.5</v>
      </c>
      <c r="F186" s="6" t="s">
        <v>10</v>
      </c>
    </row>
    <row r="187" spans="1:6">
      <c r="A187" s="6"/>
      <c r="B187" s="7" t="s">
        <v>208</v>
      </c>
      <c r="C187" s="6"/>
      <c r="D187" s="9"/>
      <c r="E187" s="10"/>
      <c r="F187" s="6"/>
    </row>
    <row r="188" spans="1:6">
      <c r="A188" s="11" t="s">
        <v>1</v>
      </c>
      <c r="B188" s="12" t="s">
        <v>2</v>
      </c>
      <c r="C188" s="13" t="s">
        <v>3</v>
      </c>
      <c r="D188" s="14" t="s">
        <v>4</v>
      </c>
      <c r="E188" s="15" t="s">
        <v>5</v>
      </c>
      <c r="F188" s="6"/>
    </row>
    <row r="189" spans="1:6">
      <c r="A189" s="28" t="s">
        <v>208</v>
      </c>
      <c r="B189" s="6" t="s">
        <v>209</v>
      </c>
      <c r="C189" s="6" t="s">
        <v>18</v>
      </c>
      <c r="D189" s="9" t="s">
        <v>9</v>
      </c>
      <c r="E189" s="16">
        <v>184</v>
      </c>
      <c r="F189" s="6" t="s">
        <v>10</v>
      </c>
    </row>
    <row r="190" spans="1:6">
      <c r="A190" s="28" t="s">
        <v>208</v>
      </c>
      <c r="B190" s="6" t="s">
        <v>210</v>
      </c>
      <c r="C190" s="6" t="s">
        <v>32</v>
      </c>
      <c r="D190" s="9" t="s">
        <v>9</v>
      </c>
      <c r="E190" s="16">
        <v>19.5</v>
      </c>
      <c r="F190" s="6" t="s">
        <v>10</v>
      </c>
    </row>
    <row r="191" spans="1:6">
      <c r="A191" s="28" t="s">
        <v>208</v>
      </c>
      <c r="B191" s="6" t="s">
        <v>211</v>
      </c>
      <c r="C191" s="6" t="s">
        <v>13</v>
      </c>
      <c r="D191" s="9" t="s">
        <v>9</v>
      </c>
      <c r="E191" s="16">
        <v>150</v>
      </c>
      <c r="F191" s="6" t="s">
        <v>10</v>
      </c>
    </row>
    <row r="192" spans="1:6">
      <c r="A192" s="6"/>
      <c r="B192" s="29" t="s">
        <v>212</v>
      </c>
      <c r="C192" s="6"/>
      <c r="D192" s="9"/>
      <c r="E192" s="10"/>
      <c r="F192" s="6"/>
    </row>
    <row r="193" spans="1:6">
      <c r="A193" s="11" t="s">
        <v>1</v>
      </c>
      <c r="B193" s="12" t="s">
        <v>2</v>
      </c>
      <c r="C193" s="13" t="s">
        <v>3</v>
      </c>
      <c r="D193" s="14" t="s">
        <v>4</v>
      </c>
      <c r="E193" s="15" t="s">
        <v>5</v>
      </c>
      <c r="F193" s="6"/>
    </row>
    <row r="194" spans="1:6">
      <c r="A194" s="6" t="s">
        <v>213</v>
      </c>
      <c r="B194" s="6" t="s">
        <v>214</v>
      </c>
      <c r="C194" s="6" t="s">
        <v>13</v>
      </c>
      <c r="D194" s="9" t="s">
        <v>9</v>
      </c>
      <c r="E194" s="10">
        <v>965</v>
      </c>
      <c r="F194" s="6" t="s">
        <v>10</v>
      </c>
    </row>
    <row r="195" ht="16.5" spans="1:6">
      <c r="A195" s="6" t="s">
        <v>213</v>
      </c>
      <c r="B195" s="30" t="s">
        <v>215</v>
      </c>
      <c r="C195" s="30" t="s">
        <v>216</v>
      </c>
      <c r="D195" s="9" t="s">
        <v>9</v>
      </c>
      <c r="E195" s="10">
        <v>997.5</v>
      </c>
      <c r="F195" s="6" t="s">
        <v>10</v>
      </c>
    </row>
    <row r="196" spans="1:6">
      <c r="A196" s="6"/>
      <c r="B196" s="7" t="s">
        <v>217</v>
      </c>
      <c r="C196" s="6"/>
      <c r="D196" s="9"/>
      <c r="E196" s="10"/>
      <c r="F196" s="6"/>
    </row>
    <row r="197" spans="1:6">
      <c r="A197" s="11" t="s">
        <v>1</v>
      </c>
      <c r="B197" s="12" t="s">
        <v>2</v>
      </c>
      <c r="C197" s="13" t="s">
        <v>3</v>
      </c>
      <c r="D197" s="14" t="s">
        <v>4</v>
      </c>
      <c r="E197" s="15" t="s">
        <v>5</v>
      </c>
      <c r="F197" s="6"/>
    </row>
    <row r="198" spans="1:6">
      <c r="A198" s="6" t="s">
        <v>217</v>
      </c>
      <c r="B198" s="6" t="s">
        <v>218</v>
      </c>
      <c r="C198" s="6" t="s">
        <v>70</v>
      </c>
      <c r="D198" s="9" t="s">
        <v>9</v>
      </c>
      <c r="E198" s="16">
        <v>1000</v>
      </c>
      <c r="F198" s="6" t="s">
        <v>10</v>
      </c>
    </row>
    <row r="199" spans="1:6">
      <c r="A199" s="6" t="s">
        <v>217</v>
      </c>
      <c r="B199" s="6" t="s">
        <v>219</v>
      </c>
      <c r="C199" s="6" t="s">
        <v>87</v>
      </c>
      <c r="D199" s="9" t="s">
        <v>9</v>
      </c>
      <c r="E199" s="16">
        <v>980</v>
      </c>
      <c r="F199" s="6" t="s">
        <v>10</v>
      </c>
    </row>
    <row r="200" spans="1:6">
      <c r="A200" s="6" t="s">
        <v>217</v>
      </c>
      <c r="B200" s="6" t="s">
        <v>220</v>
      </c>
      <c r="C200" s="6" t="s">
        <v>21</v>
      </c>
      <c r="D200" s="9" t="s">
        <v>9</v>
      </c>
      <c r="E200" s="16">
        <v>980</v>
      </c>
      <c r="F200" s="6" t="s">
        <v>10</v>
      </c>
    </row>
    <row r="201" spans="1:6">
      <c r="A201" s="6" t="s">
        <v>217</v>
      </c>
      <c r="B201" s="6" t="s">
        <v>221</v>
      </c>
      <c r="C201" s="6" t="s">
        <v>74</v>
      </c>
      <c r="D201" s="9" t="s">
        <v>9</v>
      </c>
      <c r="E201" s="16">
        <v>1300</v>
      </c>
      <c r="F201" s="6" t="s">
        <v>10</v>
      </c>
    </row>
    <row r="202" spans="1:6">
      <c r="A202" s="6" t="s">
        <v>217</v>
      </c>
      <c r="B202" s="6" t="s">
        <v>222</v>
      </c>
      <c r="C202" s="6" t="s">
        <v>36</v>
      </c>
      <c r="D202" s="9" t="s">
        <v>9</v>
      </c>
      <c r="E202" s="16">
        <v>1130</v>
      </c>
      <c r="F202" s="6" t="s">
        <v>10</v>
      </c>
    </row>
    <row r="203" spans="1:6">
      <c r="A203" s="6" t="s">
        <v>217</v>
      </c>
      <c r="B203" s="6" t="s">
        <v>223</v>
      </c>
      <c r="C203" s="6" t="s">
        <v>70</v>
      </c>
      <c r="D203" s="9" t="s">
        <v>9</v>
      </c>
      <c r="E203" s="16">
        <v>1000</v>
      </c>
      <c r="F203" s="6" t="s">
        <v>10</v>
      </c>
    </row>
    <row r="204" spans="1:6">
      <c r="A204" s="6" t="s">
        <v>217</v>
      </c>
      <c r="B204" s="6" t="s">
        <v>224</v>
      </c>
      <c r="C204" s="6" t="s">
        <v>13</v>
      </c>
      <c r="D204" s="9" t="s">
        <v>9</v>
      </c>
      <c r="E204" s="16">
        <v>1000</v>
      </c>
      <c r="F204" s="6" t="s">
        <v>10</v>
      </c>
    </row>
    <row r="205" spans="1:6">
      <c r="A205" s="6" t="s">
        <v>217</v>
      </c>
      <c r="B205" s="6" t="s">
        <v>225</v>
      </c>
      <c r="C205" s="6" t="s">
        <v>13</v>
      </c>
      <c r="D205" s="9" t="s">
        <v>9</v>
      </c>
      <c r="E205" s="16">
        <v>130</v>
      </c>
      <c r="F205" s="6" t="s">
        <v>10</v>
      </c>
    </row>
    <row r="206" spans="1:6">
      <c r="A206" s="6" t="s">
        <v>217</v>
      </c>
      <c r="B206" s="6" t="s">
        <v>226</v>
      </c>
      <c r="C206" s="6" t="s">
        <v>111</v>
      </c>
      <c r="D206" s="9" t="s">
        <v>9</v>
      </c>
      <c r="E206" s="16">
        <v>1100</v>
      </c>
      <c r="F206" s="6" t="s">
        <v>10</v>
      </c>
    </row>
    <row r="207" spans="1:6">
      <c r="A207" s="6" t="s">
        <v>217</v>
      </c>
      <c r="B207" s="6" t="s">
        <v>227</v>
      </c>
      <c r="C207" s="6" t="s">
        <v>59</v>
      </c>
      <c r="D207" s="9" t="s">
        <v>9</v>
      </c>
      <c r="E207" s="16">
        <v>890</v>
      </c>
      <c r="F207" s="6" t="s">
        <v>10</v>
      </c>
    </row>
    <row r="208" spans="1:6">
      <c r="A208" s="6" t="s">
        <v>217</v>
      </c>
      <c r="B208" s="6" t="s">
        <v>228</v>
      </c>
      <c r="C208" s="6" t="s">
        <v>99</v>
      </c>
      <c r="D208" s="9" t="s">
        <v>9</v>
      </c>
      <c r="E208" s="16">
        <v>680</v>
      </c>
      <c r="F208" s="6" t="s">
        <v>10</v>
      </c>
    </row>
    <row r="209" spans="1:6">
      <c r="A209" s="6" t="s">
        <v>217</v>
      </c>
      <c r="B209" s="6" t="s">
        <v>229</v>
      </c>
      <c r="C209" s="6" t="s">
        <v>99</v>
      </c>
      <c r="D209" s="9" t="s">
        <v>9</v>
      </c>
      <c r="E209" s="16">
        <v>950</v>
      </c>
      <c r="F209" s="6" t="s">
        <v>10</v>
      </c>
    </row>
    <row r="210" spans="1:6">
      <c r="A210" s="6" t="s">
        <v>217</v>
      </c>
      <c r="B210" s="6" t="s">
        <v>230</v>
      </c>
      <c r="C210" s="6" t="s">
        <v>70</v>
      </c>
      <c r="D210" s="9" t="s">
        <v>9</v>
      </c>
      <c r="E210" s="16">
        <v>144</v>
      </c>
      <c r="F210" s="6" t="s">
        <v>10</v>
      </c>
    </row>
    <row r="211" spans="1:6">
      <c r="A211" s="6" t="s">
        <v>217</v>
      </c>
      <c r="B211" s="6" t="s">
        <v>231</v>
      </c>
      <c r="C211" s="6" t="s">
        <v>39</v>
      </c>
      <c r="D211" s="9" t="s">
        <v>9</v>
      </c>
      <c r="E211" s="16">
        <v>1100</v>
      </c>
      <c r="F211" s="6" t="s">
        <v>10</v>
      </c>
    </row>
    <row r="212" spans="1:6">
      <c r="A212" s="6" t="s">
        <v>217</v>
      </c>
      <c r="B212" s="6" t="s">
        <v>232</v>
      </c>
      <c r="C212" s="6" t="s">
        <v>32</v>
      </c>
      <c r="D212" s="9" t="s">
        <v>9</v>
      </c>
      <c r="E212" s="16">
        <v>420</v>
      </c>
      <c r="F212" s="6" t="s">
        <v>10</v>
      </c>
    </row>
    <row r="213" spans="1:6">
      <c r="A213" s="6" t="s">
        <v>217</v>
      </c>
      <c r="B213" s="6" t="s">
        <v>233</v>
      </c>
      <c r="C213" s="6" t="s">
        <v>59</v>
      </c>
      <c r="D213" s="9" t="s">
        <v>9</v>
      </c>
      <c r="E213" s="16">
        <v>365</v>
      </c>
      <c r="F213" s="6" t="s">
        <v>10</v>
      </c>
    </row>
    <row r="214" spans="1:6">
      <c r="A214" s="6" t="s">
        <v>217</v>
      </c>
      <c r="B214" s="6" t="s">
        <v>234</v>
      </c>
      <c r="C214" s="6" t="s">
        <v>18</v>
      </c>
      <c r="D214" s="9" t="s">
        <v>9</v>
      </c>
      <c r="E214" s="16">
        <v>390</v>
      </c>
      <c r="F214" s="6" t="s">
        <v>10</v>
      </c>
    </row>
    <row r="215" spans="1:6">
      <c r="A215" s="6" t="s">
        <v>217</v>
      </c>
      <c r="B215" s="6" t="s">
        <v>235</v>
      </c>
      <c r="C215" s="6" t="s">
        <v>13</v>
      </c>
      <c r="D215" s="9" t="s">
        <v>9</v>
      </c>
      <c r="E215" s="16">
        <v>1000</v>
      </c>
      <c r="F215" s="6" t="s">
        <v>10</v>
      </c>
    </row>
    <row r="216" spans="1:6">
      <c r="A216" s="6" t="s">
        <v>217</v>
      </c>
      <c r="B216" s="6" t="s">
        <v>236</v>
      </c>
      <c r="C216" s="6" t="s">
        <v>21</v>
      </c>
      <c r="D216" s="9" t="s">
        <v>9</v>
      </c>
      <c r="E216" s="16">
        <v>420</v>
      </c>
      <c r="F216" s="6" t="s">
        <v>10</v>
      </c>
    </row>
    <row r="217" spans="1:6">
      <c r="A217" s="6" t="s">
        <v>217</v>
      </c>
      <c r="B217" s="6" t="s">
        <v>237</v>
      </c>
      <c r="C217" s="6" t="s">
        <v>32</v>
      </c>
      <c r="D217" s="9" t="s">
        <v>9</v>
      </c>
      <c r="E217" s="16">
        <v>560</v>
      </c>
      <c r="F217" s="6" t="s">
        <v>10</v>
      </c>
    </row>
    <row r="218" spans="1:6">
      <c r="A218" s="6" t="s">
        <v>217</v>
      </c>
      <c r="B218" s="6" t="s">
        <v>238</v>
      </c>
      <c r="C218" s="6" t="s">
        <v>32</v>
      </c>
      <c r="D218" s="9" t="s">
        <v>9</v>
      </c>
      <c r="E218" s="16">
        <v>600</v>
      </c>
      <c r="F218" s="6" t="s">
        <v>10</v>
      </c>
    </row>
    <row r="219" spans="1:6">
      <c r="A219" s="6" t="s">
        <v>217</v>
      </c>
      <c r="B219" s="6" t="s">
        <v>239</v>
      </c>
      <c r="C219" s="6" t="s">
        <v>39</v>
      </c>
      <c r="D219" s="9" t="s">
        <v>9</v>
      </c>
      <c r="E219" s="16">
        <v>480</v>
      </c>
      <c r="F219" s="6" t="s">
        <v>10</v>
      </c>
    </row>
    <row r="220" spans="1:6">
      <c r="A220" s="6" t="s">
        <v>217</v>
      </c>
      <c r="B220" s="6" t="s">
        <v>240</v>
      </c>
      <c r="C220" s="6" t="s">
        <v>109</v>
      </c>
      <c r="D220" s="9" t="s">
        <v>9</v>
      </c>
      <c r="E220" s="16">
        <v>1040</v>
      </c>
      <c r="F220" s="6" t="s">
        <v>10</v>
      </c>
    </row>
    <row r="221" spans="1:6">
      <c r="A221" s="6"/>
      <c r="B221" s="7" t="s">
        <v>241</v>
      </c>
      <c r="C221" s="6"/>
      <c r="D221" s="9"/>
      <c r="E221" s="10"/>
      <c r="F221" s="6"/>
    </row>
    <row r="222" spans="1:6">
      <c r="A222" s="11" t="s">
        <v>1</v>
      </c>
      <c r="B222" s="12" t="s">
        <v>2</v>
      </c>
      <c r="C222" s="13" t="s">
        <v>3</v>
      </c>
      <c r="D222" s="14" t="s">
        <v>4</v>
      </c>
      <c r="E222" s="15" t="s">
        <v>5</v>
      </c>
      <c r="F222" s="6"/>
    </row>
    <row r="223" spans="1:6">
      <c r="A223" s="6" t="s">
        <v>242</v>
      </c>
      <c r="B223" s="6" t="s">
        <v>243</v>
      </c>
      <c r="C223" s="6" t="s">
        <v>13</v>
      </c>
      <c r="D223" s="9" t="s">
        <v>9</v>
      </c>
      <c r="E223" s="16">
        <v>90</v>
      </c>
      <c r="F223" s="6" t="s">
        <v>10</v>
      </c>
    </row>
    <row r="224" spans="1:6">
      <c r="A224" s="6" t="s">
        <v>242</v>
      </c>
      <c r="B224" s="6" t="s">
        <v>244</v>
      </c>
      <c r="C224" s="6" t="s">
        <v>32</v>
      </c>
      <c r="D224" s="9" t="s">
        <v>9</v>
      </c>
      <c r="E224" s="16">
        <v>97</v>
      </c>
      <c r="F224" s="6" t="s">
        <v>10</v>
      </c>
    </row>
    <row r="225" spans="1:6">
      <c r="A225" s="6" t="s">
        <v>242</v>
      </c>
      <c r="B225" s="6" t="s">
        <v>245</v>
      </c>
      <c r="C225" s="6" t="s">
        <v>32</v>
      </c>
      <c r="D225" s="9" t="s">
        <v>9</v>
      </c>
      <c r="E225" s="16">
        <v>97</v>
      </c>
      <c r="F225" s="6" t="s">
        <v>10</v>
      </c>
    </row>
    <row r="226" spans="1:6">
      <c r="A226" s="6" t="s">
        <v>242</v>
      </c>
      <c r="B226" s="6" t="s">
        <v>246</v>
      </c>
      <c r="C226" s="6" t="s">
        <v>32</v>
      </c>
      <c r="D226" s="9" t="s">
        <v>9</v>
      </c>
      <c r="E226" s="16">
        <v>97</v>
      </c>
      <c r="F226" s="6" t="s">
        <v>10</v>
      </c>
    </row>
    <row r="227" spans="1:6">
      <c r="B227" s="7" t="s">
        <v>247</v>
      </c>
    </row>
    <row r="228" spans="1:6">
      <c r="A228" s="11" t="s">
        <v>1</v>
      </c>
      <c r="B228" s="12" t="s">
        <v>2</v>
      </c>
      <c r="C228" s="13" t="s">
        <v>3</v>
      </c>
      <c r="D228" s="14" t="s">
        <v>4</v>
      </c>
      <c r="E228" s="15" t="s">
        <v>5</v>
      </c>
      <c r="F228" s="6"/>
    </row>
    <row r="229" spans="1:6">
      <c r="A229" s="28" t="s">
        <v>247</v>
      </c>
      <c r="B229" s="6" t="s">
        <v>248</v>
      </c>
      <c r="C229" s="6" t="s">
        <v>249</v>
      </c>
      <c r="D229" s="9" t="s">
        <v>250</v>
      </c>
      <c r="E229" s="10">
        <v>120</v>
      </c>
      <c r="F229" s="6" t="s">
        <v>10</v>
      </c>
    </row>
    <row r="230" spans="1:6">
      <c r="A230" s="28" t="s">
        <v>247</v>
      </c>
      <c r="B230" s="17" t="s">
        <v>251</v>
      </c>
      <c r="C230" s="6" t="s">
        <v>249</v>
      </c>
      <c r="D230" s="9" t="s">
        <v>250</v>
      </c>
      <c r="E230" s="10">
        <v>120</v>
      </c>
      <c r="F230" s="6" t="s">
        <v>10</v>
      </c>
    </row>
    <row r="231" spans="1:6">
      <c r="A231" s="28" t="s">
        <v>247</v>
      </c>
      <c r="B231" s="6" t="s">
        <v>252</v>
      </c>
      <c r="C231" s="6" t="s">
        <v>249</v>
      </c>
      <c r="D231" s="9" t="s">
        <v>250</v>
      </c>
      <c r="E231" s="10">
        <v>8</v>
      </c>
      <c r="F231" s="6" t="s">
        <v>10</v>
      </c>
    </row>
    <row r="232" spans="1:6">
      <c r="A232" s="28" t="s">
        <v>247</v>
      </c>
      <c r="B232" s="6" t="s">
        <v>253</v>
      </c>
      <c r="C232" s="6" t="s">
        <v>249</v>
      </c>
      <c r="D232" s="9" t="s">
        <v>250</v>
      </c>
      <c r="E232" s="10">
        <v>1.91</v>
      </c>
      <c r="F232" s="6" t="s">
        <v>10</v>
      </c>
    </row>
    <row r="233" spans="1:6">
      <c r="A233" s="28" t="s">
        <v>247</v>
      </c>
      <c r="B233" s="22" t="s">
        <v>254</v>
      </c>
      <c r="C233" s="6" t="s">
        <v>13</v>
      </c>
      <c r="D233" s="31" t="s">
        <v>255</v>
      </c>
      <c r="E233" s="32">
        <v>1800</v>
      </c>
      <c r="F233" s="6" t="s">
        <v>10</v>
      </c>
    </row>
    <row r="234" spans="1:6">
      <c r="A234" s="28" t="s">
        <v>247</v>
      </c>
      <c r="B234" s="6" t="s">
        <v>256</v>
      </c>
      <c r="C234" s="6" t="s">
        <v>13</v>
      </c>
      <c r="D234" s="9" t="s">
        <v>250</v>
      </c>
      <c r="E234" s="10">
        <v>380</v>
      </c>
      <c r="F234" s="6" t="s">
        <v>10</v>
      </c>
    </row>
    <row r="235" spans="1:6">
      <c r="A235" s="28" t="s">
        <v>247</v>
      </c>
      <c r="B235" s="33" t="s">
        <v>257</v>
      </c>
      <c r="C235" s="33" t="s">
        <v>258</v>
      </c>
      <c r="D235" s="31" t="s">
        <v>124</v>
      </c>
      <c r="E235" s="34">
        <v>1850</v>
      </c>
      <c r="F235" s="22" t="s">
        <v>259</v>
      </c>
    </row>
    <row r="236" spans="1:6">
      <c r="B236" s="7" t="s">
        <v>260</v>
      </c>
    </row>
    <row r="237" spans="1:6">
      <c r="A237" s="11" t="s">
        <v>1</v>
      </c>
      <c r="B237" s="12" t="s">
        <v>2</v>
      </c>
      <c r="C237" s="13" t="s">
        <v>3</v>
      </c>
      <c r="D237" s="14" t="s">
        <v>4</v>
      </c>
      <c r="E237" s="15" t="s">
        <v>5</v>
      </c>
      <c r="F237" s="6"/>
    </row>
    <row r="238" spans="1:6">
      <c r="A238" s="28" t="s">
        <v>260</v>
      </c>
      <c r="B238" s="6" t="s">
        <v>261</v>
      </c>
      <c r="C238" s="6" t="s">
        <v>32</v>
      </c>
      <c r="D238" s="9" t="s">
        <v>124</v>
      </c>
      <c r="E238" s="10">
        <v>128</v>
      </c>
      <c r="F238" s="6" t="s">
        <v>10</v>
      </c>
    </row>
    <row r="239" spans="1:6">
      <c r="A239" s="28" t="s">
        <v>260</v>
      </c>
      <c r="B239" s="6" t="s">
        <v>262</v>
      </c>
      <c r="C239" s="6" t="s">
        <v>39</v>
      </c>
      <c r="D239" s="9" t="s">
        <v>124</v>
      </c>
      <c r="E239" s="10">
        <v>135</v>
      </c>
      <c r="F239" s="6" t="s">
        <v>10</v>
      </c>
    </row>
    <row r="240" spans="1:6">
      <c r="B240" s="7" t="s">
        <v>263</v>
      </c>
    </row>
    <row r="241" spans="1:6">
      <c r="A241" s="11" t="s">
        <v>1</v>
      </c>
      <c r="B241" s="12" t="s">
        <v>2</v>
      </c>
      <c r="C241" s="13" t="s">
        <v>3</v>
      </c>
      <c r="D241" s="14" t="s">
        <v>4</v>
      </c>
      <c r="E241" s="15" t="s">
        <v>5</v>
      </c>
      <c r="F241" s="6"/>
    </row>
    <row r="242" spans="1:6">
      <c r="A242" s="28" t="s">
        <v>263</v>
      </c>
      <c r="B242" s="6" t="s">
        <v>264</v>
      </c>
      <c r="C242" s="6" t="s">
        <v>32</v>
      </c>
      <c r="D242" s="9" t="s">
        <v>124</v>
      </c>
      <c r="E242" s="16">
        <v>90</v>
      </c>
      <c r="F242" s="22" t="s">
        <v>265</v>
      </c>
    </row>
    <row r="243" spans="1:6">
      <c r="A243" s="28" t="s">
        <v>263</v>
      </c>
      <c r="B243" s="6" t="s">
        <v>266</v>
      </c>
      <c r="C243" s="6" t="s">
        <v>32</v>
      </c>
      <c r="D243" s="9" t="s">
        <v>124</v>
      </c>
      <c r="E243" s="16">
        <v>95</v>
      </c>
      <c r="F243" s="22" t="s">
        <v>265</v>
      </c>
    </row>
    <row r="244" spans="1:6">
      <c r="A244" s="28" t="s">
        <v>263</v>
      </c>
      <c r="B244" s="6" t="s">
        <v>267</v>
      </c>
      <c r="C244" s="6" t="s">
        <v>21</v>
      </c>
      <c r="D244" s="9" t="s">
        <v>124</v>
      </c>
      <c r="E244" s="16">
        <v>68</v>
      </c>
      <c r="F244" s="22" t="s">
        <v>265</v>
      </c>
    </row>
    <row r="245" spans="1:6">
      <c r="A245" s="28" t="s">
        <v>263</v>
      </c>
      <c r="B245" s="6" t="s">
        <v>268</v>
      </c>
      <c r="C245" s="6" t="s">
        <v>21</v>
      </c>
      <c r="D245" s="9" t="s">
        <v>124</v>
      </c>
      <c r="E245" s="16">
        <v>68</v>
      </c>
      <c r="F245" s="22" t="s">
        <v>265</v>
      </c>
    </row>
    <row r="246" spans="1:6">
      <c r="A246" s="28" t="s">
        <v>263</v>
      </c>
      <c r="B246" s="6" t="s">
        <v>269</v>
      </c>
      <c r="C246" s="6" t="s">
        <v>270</v>
      </c>
      <c r="D246" s="9" t="s">
        <v>124</v>
      </c>
      <c r="E246" s="16">
        <v>68</v>
      </c>
      <c r="F246" s="22" t="s">
        <v>265</v>
      </c>
    </row>
    <row r="247" spans="1:6">
      <c r="A247" s="28" t="s">
        <v>263</v>
      </c>
      <c r="B247" s="6" t="s">
        <v>271</v>
      </c>
      <c r="C247" s="6" t="s">
        <v>270</v>
      </c>
      <c r="D247" s="9" t="s">
        <v>124</v>
      </c>
      <c r="E247" s="16">
        <v>68</v>
      </c>
      <c r="F247" s="22" t="s">
        <v>265</v>
      </c>
    </row>
    <row r="248" spans="1:6">
      <c r="B248" s="7" t="s">
        <v>272</v>
      </c>
    </row>
    <row r="249" spans="1:6">
      <c r="A249" s="11" t="s">
        <v>1</v>
      </c>
      <c r="B249" s="12" t="s">
        <v>2</v>
      </c>
      <c r="C249" s="13" t="s">
        <v>3</v>
      </c>
      <c r="D249" s="14" t="s">
        <v>4</v>
      </c>
      <c r="E249" s="15" t="s">
        <v>5</v>
      </c>
      <c r="F249" s="6"/>
    </row>
    <row r="250" spans="1:6">
      <c r="A250" s="28" t="s">
        <v>272</v>
      </c>
      <c r="B250" s="6" t="s">
        <v>273</v>
      </c>
      <c r="C250" s="6" t="s">
        <v>274</v>
      </c>
      <c r="D250" s="9" t="s">
        <v>275</v>
      </c>
      <c r="E250" s="10">
        <v>3200</v>
      </c>
      <c r="F250" s="6" t="s">
        <v>10</v>
      </c>
    </row>
    <row r="251" spans="1:6">
      <c r="A251" s="28" t="s">
        <v>272</v>
      </c>
      <c r="B251" s="6" t="s">
        <v>276</v>
      </c>
      <c r="C251" s="6" t="s">
        <v>274</v>
      </c>
      <c r="D251" s="9" t="s">
        <v>275</v>
      </c>
      <c r="E251" s="10">
        <v>3200</v>
      </c>
      <c r="F251" s="6" t="s">
        <v>10</v>
      </c>
    </row>
    <row r="252" spans="1:6">
      <c r="A252" s="28" t="s">
        <v>272</v>
      </c>
      <c r="B252" s="6" t="s">
        <v>277</v>
      </c>
      <c r="C252" s="6" t="s">
        <v>274</v>
      </c>
      <c r="D252" s="9" t="s">
        <v>275</v>
      </c>
      <c r="E252" s="10">
        <v>3200</v>
      </c>
      <c r="F252" s="6" t="s">
        <v>10</v>
      </c>
    </row>
    <row r="253" spans="1:6">
      <c r="A253" s="28" t="s">
        <v>272</v>
      </c>
      <c r="B253" s="6" t="s">
        <v>278</v>
      </c>
      <c r="C253" s="6" t="s">
        <v>274</v>
      </c>
      <c r="D253" s="9" t="s">
        <v>275</v>
      </c>
      <c r="E253" s="10">
        <v>3200</v>
      </c>
      <c r="F253" s="6" t="s">
        <v>10</v>
      </c>
    </row>
    <row r="254" spans="1:6">
      <c r="A254" s="28" t="s">
        <v>272</v>
      </c>
      <c r="B254" s="6" t="s">
        <v>279</v>
      </c>
      <c r="C254" s="6" t="s">
        <v>274</v>
      </c>
      <c r="D254" s="9" t="s">
        <v>275</v>
      </c>
      <c r="E254" s="10">
        <v>3200</v>
      </c>
      <c r="F254" s="6" t="s">
        <v>10</v>
      </c>
    </row>
    <row r="255" spans="1:6">
      <c r="A255" s="28" t="s">
        <v>272</v>
      </c>
      <c r="B255" s="6" t="s">
        <v>280</v>
      </c>
      <c r="C255" s="6" t="s">
        <v>274</v>
      </c>
      <c r="D255" s="9" t="s">
        <v>275</v>
      </c>
      <c r="E255" s="10">
        <v>3200</v>
      </c>
      <c r="F255" s="6" t="s">
        <v>10</v>
      </c>
    </row>
    <row r="256" spans="1:6">
      <c r="A256" s="28" t="s">
        <v>272</v>
      </c>
      <c r="B256" s="6" t="s">
        <v>281</v>
      </c>
      <c r="C256" s="6" t="s">
        <v>274</v>
      </c>
      <c r="D256" s="9" t="s">
        <v>275</v>
      </c>
      <c r="E256" s="10">
        <v>3200</v>
      </c>
      <c r="F256" s="6" t="s">
        <v>10</v>
      </c>
    </row>
    <row r="257" spans="1:6">
      <c r="A257" s="28" t="s">
        <v>272</v>
      </c>
      <c r="B257" s="6" t="s">
        <v>282</v>
      </c>
      <c r="C257" s="6" t="s">
        <v>274</v>
      </c>
      <c r="D257" s="9" t="s">
        <v>124</v>
      </c>
      <c r="E257" s="10">
        <v>40</v>
      </c>
      <c r="F257" s="6" t="s">
        <v>10</v>
      </c>
    </row>
    <row r="258" spans="1:6">
      <c r="A258" s="28" t="s">
        <v>272</v>
      </c>
      <c r="B258" s="6" t="s">
        <v>283</v>
      </c>
      <c r="C258" s="6"/>
      <c r="D258" s="9" t="s">
        <v>275</v>
      </c>
      <c r="E258" s="10">
        <v>3450</v>
      </c>
      <c r="F258" s="6" t="s">
        <v>10</v>
      </c>
    </row>
    <row r="259" spans="1:6">
      <c r="B259" s="7" t="s">
        <v>284</v>
      </c>
    </row>
    <row r="260" spans="1:6">
      <c r="A260" s="11" t="s">
        <v>1</v>
      </c>
      <c r="B260" s="12" t="s">
        <v>2</v>
      </c>
      <c r="C260" s="13" t="s">
        <v>3</v>
      </c>
      <c r="D260" s="14" t="s">
        <v>4</v>
      </c>
      <c r="E260" s="15" t="s">
        <v>5</v>
      </c>
      <c r="F260" s="6"/>
    </row>
    <row r="261" spans="1:6">
      <c r="A261" s="28" t="s">
        <v>284</v>
      </c>
      <c r="B261" s="6" t="s">
        <v>285</v>
      </c>
      <c r="C261" s="6" t="s">
        <v>286</v>
      </c>
      <c r="D261" s="9" t="s">
        <v>287</v>
      </c>
      <c r="E261" s="10"/>
      <c r="F261" s="22" t="s">
        <v>288</v>
      </c>
    </row>
    <row r="262" spans="1:6">
      <c r="A262" s="28" t="s">
        <v>284</v>
      </c>
      <c r="B262" s="6" t="s">
        <v>289</v>
      </c>
      <c r="C262" s="6" t="s">
        <v>286</v>
      </c>
      <c r="D262" s="9" t="s">
        <v>287</v>
      </c>
      <c r="E262" s="10"/>
      <c r="F262" s="22" t="s">
        <v>288</v>
      </c>
    </row>
    <row r="263" spans="1:6">
      <c r="A263" s="28" t="s">
        <v>284</v>
      </c>
      <c r="B263" s="6" t="s">
        <v>290</v>
      </c>
      <c r="C263" s="6" t="s">
        <v>291</v>
      </c>
      <c r="D263" s="9" t="s">
        <v>292</v>
      </c>
      <c r="E263" s="10">
        <v>107</v>
      </c>
      <c r="F263" s="6" t="s">
        <v>10</v>
      </c>
    </row>
    <row r="264" spans="1:6">
      <c r="A264" s="28" t="s">
        <v>284</v>
      </c>
      <c r="B264" s="6" t="s">
        <v>293</v>
      </c>
      <c r="C264" s="6" t="s">
        <v>291</v>
      </c>
      <c r="D264" s="9" t="s">
        <v>292</v>
      </c>
      <c r="E264" s="10">
        <v>125</v>
      </c>
      <c r="F264" s="6" t="s">
        <v>10</v>
      </c>
    </row>
    <row r="265" spans="1:6">
      <c r="A265" s="28" t="s">
        <v>284</v>
      </c>
      <c r="B265" s="6" t="s">
        <v>294</v>
      </c>
      <c r="C265" s="6" t="s">
        <v>295</v>
      </c>
      <c r="D265" s="9" t="s">
        <v>250</v>
      </c>
      <c r="E265" s="10">
        <v>17</v>
      </c>
      <c r="F265" s="6" t="s">
        <v>10</v>
      </c>
    </row>
    <row r="266" spans="1:6">
      <c r="A266" s="28" t="s">
        <v>284</v>
      </c>
      <c r="B266" s="6" t="s">
        <v>296</v>
      </c>
      <c r="C266" s="6" t="s">
        <v>295</v>
      </c>
      <c r="D266" s="9" t="s">
        <v>250</v>
      </c>
      <c r="E266" s="10">
        <v>37</v>
      </c>
      <c r="F266" s="6" t="s">
        <v>10</v>
      </c>
    </row>
    <row r="267" spans="1:6">
      <c r="A267" s="28" t="s">
        <v>284</v>
      </c>
      <c r="B267" s="6" t="s">
        <v>297</v>
      </c>
      <c r="C267" s="6" t="s">
        <v>291</v>
      </c>
      <c r="D267" s="9" t="s">
        <v>292</v>
      </c>
      <c r="E267" s="10">
        <v>80</v>
      </c>
      <c r="F267" s="6" t="s">
        <v>10</v>
      </c>
    </row>
    <row r="268" spans="1:6">
      <c r="A268" s="28" t="s">
        <v>284</v>
      </c>
      <c r="B268" s="6" t="s">
        <v>298</v>
      </c>
      <c r="C268" s="6" t="s">
        <v>291</v>
      </c>
      <c r="D268" s="9" t="s">
        <v>292</v>
      </c>
      <c r="E268" s="10">
        <v>45</v>
      </c>
      <c r="F268" s="6" t="s">
        <v>10</v>
      </c>
    </row>
    <row r="269" spans="1:6">
      <c r="A269" s="28" t="s">
        <v>284</v>
      </c>
      <c r="B269" s="6" t="s">
        <v>299</v>
      </c>
      <c r="C269" s="6" t="s">
        <v>291</v>
      </c>
      <c r="D269" s="9" t="s">
        <v>292</v>
      </c>
      <c r="E269" s="10">
        <v>41</v>
      </c>
      <c r="F269" s="6" t="s">
        <v>10</v>
      </c>
    </row>
    <row r="270" spans="1:6">
      <c r="A270" s="28" t="s">
        <v>284</v>
      </c>
      <c r="B270" s="6" t="s">
        <v>300</v>
      </c>
      <c r="C270" s="6" t="s">
        <v>301</v>
      </c>
      <c r="D270" s="9" t="s">
        <v>124</v>
      </c>
      <c r="E270" s="10">
        <v>32</v>
      </c>
      <c r="F270" s="6" t="s">
        <v>10</v>
      </c>
    </row>
    <row r="271" spans="1:6">
      <c r="A271" s="28" t="s">
        <v>284</v>
      </c>
      <c r="B271" s="6" t="s">
        <v>302</v>
      </c>
      <c r="C271" s="6" t="s">
        <v>270</v>
      </c>
      <c r="D271" s="9" t="s">
        <v>124</v>
      </c>
      <c r="E271" s="10">
        <v>35.5</v>
      </c>
      <c r="F271" s="6" t="s">
        <v>10</v>
      </c>
    </row>
    <row r="272" spans="1:6">
      <c r="A272" s="28" t="s">
        <v>284</v>
      </c>
      <c r="B272" s="6" t="s">
        <v>303</v>
      </c>
      <c r="C272" s="6" t="s">
        <v>270</v>
      </c>
      <c r="D272" s="9" t="s">
        <v>124</v>
      </c>
      <c r="E272" s="10">
        <v>4</v>
      </c>
      <c r="F272" s="6" t="s">
        <v>10</v>
      </c>
    </row>
    <row r="273" spans="1:6">
      <c r="A273" s="28" t="s">
        <v>284</v>
      </c>
      <c r="B273" s="33" t="s">
        <v>304</v>
      </c>
      <c r="C273" s="6" t="s">
        <v>270</v>
      </c>
      <c r="D273" s="31" t="s">
        <v>124</v>
      </c>
      <c r="E273" s="34">
        <v>19</v>
      </c>
      <c r="F273" s="6" t="s">
        <v>259</v>
      </c>
    </row>
    <row r="274" spans="1:6">
      <c r="B274" s="7" t="s">
        <v>305</v>
      </c>
    </row>
    <row r="275" spans="1:6">
      <c r="A275" s="11" t="s">
        <v>1</v>
      </c>
      <c r="B275" s="12" t="s">
        <v>2</v>
      </c>
      <c r="C275" s="13" t="s">
        <v>3</v>
      </c>
      <c r="D275" s="14" t="s">
        <v>4</v>
      </c>
      <c r="E275" s="15" t="s">
        <v>5</v>
      </c>
      <c r="F275" s="6"/>
    </row>
    <row r="276" spans="1:6">
      <c r="A276" s="28" t="s">
        <v>305</v>
      </c>
      <c r="B276" s="6" t="s">
        <v>306</v>
      </c>
      <c r="C276" s="6" t="s">
        <v>307</v>
      </c>
      <c r="D276" s="9" t="s">
        <v>124</v>
      </c>
      <c r="E276" s="16">
        <v>9.75</v>
      </c>
      <c r="F276" s="6" t="s">
        <v>10</v>
      </c>
    </row>
    <row r="277" spans="1:6">
      <c r="A277" s="28" t="s">
        <v>305</v>
      </c>
      <c r="B277" s="6" t="s">
        <v>308</v>
      </c>
      <c r="C277" s="6" t="s">
        <v>309</v>
      </c>
      <c r="D277" s="9" t="s">
        <v>310</v>
      </c>
      <c r="E277" s="16">
        <v>16.25</v>
      </c>
      <c r="F277" s="6" t="s">
        <v>10</v>
      </c>
    </row>
    <row r="278" spans="1:6">
      <c r="A278" s="28" t="s">
        <v>305</v>
      </c>
      <c r="B278" s="6" t="s">
        <v>311</v>
      </c>
      <c r="C278" s="6" t="s">
        <v>312</v>
      </c>
      <c r="D278" s="9" t="s">
        <v>310</v>
      </c>
      <c r="E278" s="16">
        <v>32</v>
      </c>
      <c r="F278" s="6" t="s">
        <v>10</v>
      </c>
    </row>
    <row r="279" spans="1:6">
      <c r="A279" s="28" t="s">
        <v>305</v>
      </c>
      <c r="B279" s="6" t="s">
        <v>313</v>
      </c>
      <c r="C279" s="6" t="s">
        <v>314</v>
      </c>
      <c r="D279" s="9" t="s">
        <v>310</v>
      </c>
      <c r="E279" s="16">
        <v>13</v>
      </c>
      <c r="F279" s="6" t="s">
        <v>10</v>
      </c>
    </row>
    <row r="280" spans="1:6">
      <c r="A280" s="28" t="s">
        <v>305</v>
      </c>
      <c r="B280" s="6" t="s">
        <v>315</v>
      </c>
      <c r="C280" t="s">
        <v>314</v>
      </c>
      <c r="D280" s="9" t="s">
        <v>316</v>
      </c>
      <c r="E280" s="10">
        <v>55</v>
      </c>
      <c r="F280" s="6" t="s">
        <v>265</v>
      </c>
    </row>
    <row r="281" spans="1:6">
      <c r="A281" s="28" t="s">
        <v>305</v>
      </c>
      <c r="B281" s="6" t="s">
        <v>317</v>
      </c>
      <c r="C281" s="6" t="s">
        <v>307</v>
      </c>
      <c r="D281" s="9" t="s">
        <v>124</v>
      </c>
      <c r="E281" s="10">
        <v>1.45</v>
      </c>
      <c r="F281" s="6" t="s">
        <v>10</v>
      </c>
    </row>
    <row r="282" spans="1:6">
      <c r="A282" s="28" t="s">
        <v>305</v>
      </c>
      <c r="B282" s="6" t="s">
        <v>318</v>
      </c>
      <c r="C282" s="6" t="s">
        <v>295</v>
      </c>
      <c r="D282" s="9" t="s">
        <v>310</v>
      </c>
      <c r="E282" s="10">
        <v>14.5</v>
      </c>
      <c r="F282" s="6" t="s">
        <v>10</v>
      </c>
    </row>
    <row r="283" spans="1:6">
      <c r="A283" s="28" t="s">
        <v>305</v>
      </c>
      <c r="B283" s="6" t="s">
        <v>319</v>
      </c>
      <c r="C283" s="6" t="s">
        <v>29</v>
      </c>
      <c r="D283" s="9" t="s">
        <v>310</v>
      </c>
      <c r="E283" s="10">
        <v>14.5</v>
      </c>
      <c r="F283" s="6" t="s">
        <v>10</v>
      </c>
    </row>
    <row r="284" spans="1:6">
      <c r="A284" s="28" t="s">
        <v>305</v>
      </c>
      <c r="B284" s="6" t="s">
        <v>320</v>
      </c>
      <c r="C284" s="6" t="s">
        <v>29</v>
      </c>
      <c r="D284" s="9" t="s">
        <v>310</v>
      </c>
      <c r="E284" s="10">
        <v>32.5</v>
      </c>
      <c r="F284" s="6" t="s">
        <v>10</v>
      </c>
    </row>
    <row r="285" spans="1:6">
      <c r="A285" s="28" t="s">
        <v>305</v>
      </c>
      <c r="B285" s="6" t="s">
        <v>321</v>
      </c>
      <c r="C285" s="6" t="s">
        <v>29</v>
      </c>
      <c r="D285" s="9" t="s">
        <v>250</v>
      </c>
      <c r="E285" s="10">
        <v>800</v>
      </c>
      <c r="F285" s="6" t="s">
        <v>265</v>
      </c>
    </row>
    <row r="286" spans="1:6">
      <c r="A286" s="28" t="s">
        <v>305</v>
      </c>
      <c r="B286" s="6" t="s">
        <v>322</v>
      </c>
      <c r="C286" s="6" t="s">
        <v>307</v>
      </c>
      <c r="D286" s="9" t="s">
        <v>250</v>
      </c>
      <c r="E286" s="10">
        <v>7.5</v>
      </c>
      <c r="F286" s="6" t="s">
        <v>10</v>
      </c>
    </row>
    <row r="287" spans="1:6">
      <c r="A287" s="28" t="s">
        <v>305</v>
      </c>
      <c r="B287" s="6" t="s">
        <v>323</v>
      </c>
      <c r="C287" t="s">
        <v>324</v>
      </c>
      <c r="D287" s="9" t="s">
        <v>316</v>
      </c>
      <c r="E287" s="10">
        <v>9</v>
      </c>
      <c r="F287" s="6" t="s">
        <v>265</v>
      </c>
    </row>
    <row r="288" spans="1:6">
      <c r="A288" s="28" t="s">
        <v>305</v>
      </c>
      <c r="B288" s="6" t="s">
        <v>325</v>
      </c>
      <c r="C288" s="35" t="s">
        <v>314</v>
      </c>
      <c r="D288" s="9" t="s">
        <v>316</v>
      </c>
      <c r="E288" s="10">
        <v>67.5</v>
      </c>
      <c r="F288" s="6" t="s">
        <v>265</v>
      </c>
    </row>
    <row r="289" spans="1:6">
      <c r="A289" s="28" t="s">
        <v>305</v>
      </c>
      <c r="B289" s="6" t="s">
        <v>326</v>
      </c>
      <c r="C289" s="35" t="s">
        <v>314</v>
      </c>
      <c r="D289" s="9" t="s">
        <v>316</v>
      </c>
      <c r="E289" s="10">
        <v>62</v>
      </c>
      <c r="F289" s="6" t="s">
        <v>265</v>
      </c>
    </row>
    <row r="290" spans="1:6">
      <c r="B290" s="7" t="s">
        <v>327</v>
      </c>
      <c r="D290" s="9"/>
      <c r="E290" s="10"/>
      <c r="F290" s="6"/>
    </row>
    <row r="291" spans="1:6">
      <c r="A291" s="11" t="s">
        <v>1</v>
      </c>
      <c r="B291" s="12" t="s">
        <v>2</v>
      </c>
      <c r="C291" s="13" t="s">
        <v>3</v>
      </c>
      <c r="D291" s="14" t="s">
        <v>4</v>
      </c>
      <c r="E291" s="15" t="s">
        <v>5</v>
      </c>
      <c r="F291" s="6"/>
    </row>
    <row r="292" spans="1:6">
      <c r="A292" s="28" t="s">
        <v>327</v>
      </c>
      <c r="B292" s="6" t="s">
        <v>328</v>
      </c>
      <c r="C292" s="6" t="s">
        <v>307</v>
      </c>
      <c r="D292" s="9" t="s">
        <v>329</v>
      </c>
      <c r="E292" s="10">
        <v>28.75</v>
      </c>
      <c r="F292" s="6" t="s">
        <v>10</v>
      </c>
    </row>
    <row r="293" spans="1:6">
      <c r="A293" s="28" t="s">
        <v>327</v>
      </c>
      <c r="B293" s="6" t="s">
        <v>330</v>
      </c>
      <c r="C293" s="6" t="s">
        <v>307</v>
      </c>
      <c r="D293" s="9" t="s">
        <v>329</v>
      </c>
      <c r="E293" s="10">
        <v>13.5</v>
      </c>
      <c r="F293" s="6" t="s">
        <v>10</v>
      </c>
    </row>
    <row r="294" spans="1:6">
      <c r="A294" s="28" t="s">
        <v>327</v>
      </c>
      <c r="B294" s="6" t="s">
        <v>331</v>
      </c>
      <c r="C294" s="6" t="s">
        <v>307</v>
      </c>
      <c r="D294" s="9" t="s">
        <v>329</v>
      </c>
      <c r="E294" s="10">
        <v>34.5</v>
      </c>
      <c r="F294" s="6" t="s">
        <v>10</v>
      </c>
    </row>
    <row r="295" spans="1:6">
      <c r="A295" s="28" t="s">
        <v>327</v>
      </c>
      <c r="B295" s="6" t="s">
        <v>332</v>
      </c>
      <c r="C295" s="6" t="s">
        <v>39</v>
      </c>
      <c r="D295" s="9" t="s">
        <v>329</v>
      </c>
      <c r="E295" s="10">
        <v>19</v>
      </c>
      <c r="F295" s="6" t="s">
        <v>10</v>
      </c>
    </row>
    <row r="296" spans="1:6">
      <c r="A296" s="28" t="s">
        <v>327</v>
      </c>
      <c r="B296" s="6" t="s">
        <v>333</v>
      </c>
      <c r="C296" s="6" t="s">
        <v>39</v>
      </c>
      <c r="D296" s="9" t="s">
        <v>329</v>
      </c>
      <c r="E296" s="10">
        <v>43</v>
      </c>
      <c r="F296" s="6" t="s">
        <v>10</v>
      </c>
    </row>
    <row r="297" spans="1:6">
      <c r="A297" s="28" t="s">
        <v>327</v>
      </c>
      <c r="B297" s="6" t="s">
        <v>334</v>
      </c>
      <c r="C297" s="6" t="s">
        <v>307</v>
      </c>
      <c r="D297" s="9" t="s">
        <v>124</v>
      </c>
      <c r="E297" s="10">
        <v>0.75</v>
      </c>
      <c r="F297" s="6" t="s">
        <v>10</v>
      </c>
    </row>
    <row r="298" spans="1:6">
      <c r="A298" s="28" t="s">
        <v>327</v>
      </c>
      <c r="B298" s="6" t="s">
        <v>335</v>
      </c>
      <c r="C298" s="6" t="s">
        <v>336</v>
      </c>
      <c r="D298" s="9" t="s">
        <v>124</v>
      </c>
      <c r="E298" s="10">
        <v>4.45</v>
      </c>
      <c r="F298" s="6" t="s">
        <v>10</v>
      </c>
    </row>
    <row r="299" spans="1:6">
      <c r="A299" s="28" t="s">
        <v>327</v>
      </c>
      <c r="B299" s="6" t="s">
        <v>337</v>
      </c>
      <c r="C299" s="6" t="s">
        <v>336</v>
      </c>
      <c r="D299" s="9" t="s">
        <v>124</v>
      </c>
      <c r="E299" s="10">
        <v>4.65</v>
      </c>
      <c r="F299" s="6" t="s">
        <v>10</v>
      </c>
    </row>
    <row r="300" spans="1:6">
      <c r="A300" s="28" t="s">
        <v>327</v>
      </c>
      <c r="B300" s="6" t="s">
        <v>338</v>
      </c>
      <c r="C300" s="6" t="s">
        <v>336</v>
      </c>
      <c r="D300" s="9" t="s">
        <v>124</v>
      </c>
      <c r="E300" s="10">
        <v>4.85</v>
      </c>
      <c r="F300" s="6" t="s">
        <v>10</v>
      </c>
    </row>
    <row r="301" spans="1:6">
      <c r="A301" s="28" t="s">
        <v>327</v>
      </c>
      <c r="B301" s="6" t="s">
        <v>339</v>
      </c>
      <c r="C301" s="6" t="s">
        <v>336</v>
      </c>
      <c r="D301" s="9" t="s">
        <v>124</v>
      </c>
      <c r="E301" s="10">
        <v>7.55</v>
      </c>
      <c r="F301" s="6" t="s">
        <v>10</v>
      </c>
    </row>
    <row r="302" spans="1:6">
      <c r="A302" s="28" t="s">
        <v>327</v>
      </c>
      <c r="B302" s="6" t="s">
        <v>340</v>
      </c>
      <c r="C302" s="6" t="s">
        <v>336</v>
      </c>
      <c r="D302" s="9" t="s">
        <v>124</v>
      </c>
      <c r="E302" s="10">
        <v>5.65</v>
      </c>
      <c r="F302" s="6" t="s">
        <v>10</v>
      </c>
    </row>
    <row r="303" spans="1:6">
      <c r="A303" s="28" t="s">
        <v>327</v>
      </c>
      <c r="B303" s="6" t="s">
        <v>341</v>
      </c>
      <c r="C303" s="6" t="s">
        <v>336</v>
      </c>
      <c r="D303" s="9" t="s">
        <v>124</v>
      </c>
      <c r="E303" s="10">
        <v>5.85</v>
      </c>
      <c r="F303" s="6" t="s">
        <v>10</v>
      </c>
    </row>
    <row r="304" spans="1:6">
      <c r="A304" s="28" t="s">
        <v>327</v>
      </c>
      <c r="B304" s="6" t="s">
        <v>342</v>
      </c>
      <c r="C304" s="6" t="s">
        <v>336</v>
      </c>
      <c r="D304" s="9" t="s">
        <v>124</v>
      </c>
      <c r="E304" s="10">
        <v>6.85</v>
      </c>
      <c r="F304" s="6" t="s">
        <v>10</v>
      </c>
    </row>
    <row r="305" spans="1:6">
      <c r="A305" s="28" t="s">
        <v>327</v>
      </c>
      <c r="B305" s="6" t="s">
        <v>343</v>
      </c>
      <c r="C305" s="6" t="s">
        <v>336</v>
      </c>
      <c r="D305" s="9" t="s">
        <v>124</v>
      </c>
      <c r="E305" s="10">
        <v>9.6</v>
      </c>
      <c r="F305" s="6" t="s">
        <v>10</v>
      </c>
    </row>
    <row r="306" spans="1:6">
      <c r="A306" s="28" t="s">
        <v>327</v>
      </c>
      <c r="B306" s="6" t="s">
        <v>344</v>
      </c>
      <c r="C306" s="6" t="s">
        <v>336</v>
      </c>
      <c r="D306" s="9" t="s">
        <v>124</v>
      </c>
      <c r="E306" s="10">
        <v>11.45</v>
      </c>
      <c r="F306" s="6" t="s">
        <v>10</v>
      </c>
    </row>
    <row r="307" spans="1:6">
      <c r="A307" s="28" t="s">
        <v>327</v>
      </c>
      <c r="B307" s="6" t="s">
        <v>345</v>
      </c>
      <c r="C307" s="6" t="s">
        <v>336</v>
      </c>
      <c r="D307" s="9" t="s">
        <v>124</v>
      </c>
      <c r="E307" s="10">
        <v>9.45</v>
      </c>
      <c r="F307" s="6" t="s">
        <v>10</v>
      </c>
    </row>
    <row r="308" spans="1:6">
      <c r="A308" s="28" t="s">
        <v>327</v>
      </c>
      <c r="B308" s="6" t="s">
        <v>346</v>
      </c>
      <c r="C308" s="6" t="s">
        <v>307</v>
      </c>
      <c r="D308" s="9" t="s">
        <v>124</v>
      </c>
      <c r="E308" s="10">
        <v>0</v>
      </c>
      <c r="F308" s="6" t="s">
        <v>10</v>
      </c>
    </row>
    <row r="309" spans="1:6">
      <c r="A309" s="28" t="s">
        <v>327</v>
      </c>
      <c r="B309" s="6" t="s">
        <v>347</v>
      </c>
      <c r="C309" s="6" t="s">
        <v>307</v>
      </c>
      <c r="D309" s="9" t="s">
        <v>124</v>
      </c>
      <c r="E309" s="10">
        <v>0</v>
      </c>
      <c r="F309" s="6" t="s">
        <v>10</v>
      </c>
    </row>
    <row r="310" spans="1:6">
      <c r="B310" s="7" t="s">
        <v>348</v>
      </c>
    </row>
    <row r="311" spans="1:6">
      <c r="A311" s="11" t="s">
        <v>1</v>
      </c>
      <c r="B311" s="12" t="s">
        <v>2</v>
      </c>
      <c r="C311" s="13" t="s">
        <v>3</v>
      </c>
      <c r="D311" s="14" t="s">
        <v>4</v>
      </c>
      <c r="E311" s="15" t="s">
        <v>5</v>
      </c>
      <c r="F311" s="6"/>
    </row>
    <row r="312" spans="1:6">
      <c r="A312" s="28" t="s">
        <v>348</v>
      </c>
      <c r="B312" s="33" t="s">
        <v>349</v>
      </c>
      <c r="C312" s="6" t="s">
        <v>350</v>
      </c>
      <c r="D312" s="31" t="s">
        <v>316</v>
      </c>
      <c r="E312" s="34">
        <v>500</v>
      </c>
      <c r="F312" s="22" t="s">
        <v>265</v>
      </c>
    </row>
    <row r="313" spans="1:6">
      <c r="A313" s="28" t="s">
        <v>348</v>
      </c>
      <c r="B313" s="33" t="s">
        <v>351</v>
      </c>
      <c r="C313" s="6" t="s">
        <v>350</v>
      </c>
      <c r="D313" s="31" t="s">
        <v>316</v>
      </c>
      <c r="E313" s="34">
        <v>340</v>
      </c>
      <c r="F313" s="22" t="s">
        <v>265</v>
      </c>
    </row>
    <row r="314" spans="1:6">
      <c r="A314" s="28" t="s">
        <v>348</v>
      </c>
      <c r="B314" s="33" t="s">
        <v>352</v>
      </c>
      <c r="C314" s="6" t="s">
        <v>350</v>
      </c>
      <c r="D314" s="31" t="s">
        <v>316</v>
      </c>
      <c r="E314" s="34">
        <v>420</v>
      </c>
      <c r="F314" s="22" t="s">
        <v>265</v>
      </c>
    </row>
    <row r="315" spans="1:6">
      <c r="A315" s="28" t="s">
        <v>348</v>
      </c>
      <c r="B315" s="33" t="s">
        <v>353</v>
      </c>
      <c r="C315" s="6" t="s">
        <v>350</v>
      </c>
      <c r="D315" s="31" t="s">
        <v>316</v>
      </c>
      <c r="E315" s="34">
        <v>395</v>
      </c>
      <c r="F315" s="22" t="s">
        <v>265</v>
      </c>
    </row>
    <row r="316" spans="1:6">
      <c r="A316" s="28" t="s">
        <v>348</v>
      </c>
      <c r="B316" s="33" t="s">
        <v>354</v>
      </c>
      <c r="C316" s="6" t="s">
        <v>350</v>
      </c>
      <c r="D316" s="31" t="s">
        <v>316</v>
      </c>
      <c r="E316" s="34">
        <v>420</v>
      </c>
      <c r="F316" s="22" t="s">
        <v>265</v>
      </c>
    </row>
    <row r="317" spans="1:6">
      <c r="A317" s="28" t="s">
        <v>348</v>
      </c>
      <c r="B317" s="33" t="s">
        <v>355</v>
      </c>
      <c r="C317" s="6" t="s">
        <v>350</v>
      </c>
      <c r="D317" s="31" t="s">
        <v>316</v>
      </c>
      <c r="E317" s="34">
        <v>35</v>
      </c>
      <c r="F317" s="22" t="s">
        <v>265</v>
      </c>
    </row>
    <row r="318" spans="1:6">
      <c r="A318" s="28" t="s">
        <v>348</v>
      </c>
      <c r="B318" s="33" t="s">
        <v>356</v>
      </c>
      <c r="C318" s="6" t="s">
        <v>350</v>
      </c>
      <c r="D318" s="31" t="s">
        <v>316</v>
      </c>
      <c r="E318" s="34">
        <v>25</v>
      </c>
      <c r="F318" s="22" t="s">
        <v>265</v>
      </c>
    </row>
    <row r="319" spans="1:6">
      <c r="A319" s="28" t="s">
        <v>348</v>
      </c>
      <c r="B319" s="33" t="s">
        <v>357</v>
      </c>
      <c r="C319" s="6" t="s">
        <v>350</v>
      </c>
      <c r="D319" s="31" t="s">
        <v>316</v>
      </c>
      <c r="E319" s="34">
        <v>20</v>
      </c>
      <c r="F319" s="22" t="s">
        <v>265</v>
      </c>
    </row>
    <row r="320" spans="1:6">
      <c r="A320" s="28" t="s">
        <v>348</v>
      </c>
      <c r="B320" s="33" t="s">
        <v>358</v>
      </c>
      <c r="C320" s="6" t="s">
        <v>350</v>
      </c>
      <c r="D320" s="31" t="s">
        <v>316</v>
      </c>
      <c r="E320" s="34">
        <v>35</v>
      </c>
      <c r="F320" s="22" t="s">
        <v>265</v>
      </c>
    </row>
    <row r="321" spans="1:6">
      <c r="A321" s="28" t="s">
        <v>348</v>
      </c>
      <c r="B321" s="33" t="s">
        <v>356</v>
      </c>
      <c r="C321" s="6" t="s">
        <v>350</v>
      </c>
      <c r="D321" s="31" t="s">
        <v>316</v>
      </c>
      <c r="E321" s="34">
        <v>15</v>
      </c>
      <c r="F321" s="22" t="s">
        <v>265</v>
      </c>
    </row>
    <row r="322" spans="1:6">
      <c r="A322" s="28" t="s">
        <v>348</v>
      </c>
      <c r="B322" s="33" t="s">
        <v>359</v>
      </c>
      <c r="C322" s="6" t="s">
        <v>350</v>
      </c>
      <c r="D322" s="31" t="s">
        <v>287</v>
      </c>
      <c r="E322" s="34">
        <v>500</v>
      </c>
      <c r="F322" s="22" t="s">
        <v>265</v>
      </c>
    </row>
    <row r="323" spans="1:6">
      <c r="A323" s="28" t="s">
        <v>348</v>
      </c>
      <c r="B323" s="33" t="s">
        <v>360</v>
      </c>
      <c r="C323" s="6" t="s">
        <v>350</v>
      </c>
      <c r="D323" s="31" t="s">
        <v>124</v>
      </c>
      <c r="E323" s="34">
        <v>2500</v>
      </c>
      <c r="F323" s="22" t="s">
        <v>265</v>
      </c>
    </row>
    <row r="324" spans="1:6">
      <c r="A324" s="28" t="s">
        <v>348</v>
      </c>
      <c r="B324" s="33" t="s">
        <v>356</v>
      </c>
      <c r="C324" s="6" t="s">
        <v>350</v>
      </c>
      <c r="D324" s="31" t="s">
        <v>124</v>
      </c>
      <c r="E324" s="34">
        <v>1500</v>
      </c>
      <c r="F324" s="22" t="s">
        <v>265</v>
      </c>
    </row>
    <row r="325" spans="1:6">
      <c r="A325" s="28" t="s">
        <v>348</v>
      </c>
      <c r="B325" s="33" t="s">
        <v>361</v>
      </c>
      <c r="C325" s="6" t="s">
        <v>350</v>
      </c>
      <c r="D325" s="31" t="s">
        <v>124</v>
      </c>
      <c r="E325" s="34">
        <v>500</v>
      </c>
      <c r="F325" s="22" t="s">
        <v>265</v>
      </c>
    </row>
    <row r="326" spans="1:6">
      <c r="A326" s="28" t="s">
        <v>348</v>
      </c>
      <c r="B326" s="33" t="s">
        <v>362</v>
      </c>
      <c r="C326" s="6" t="s">
        <v>350</v>
      </c>
      <c r="D326" s="31" t="s">
        <v>363</v>
      </c>
      <c r="E326" s="34">
        <v>400</v>
      </c>
      <c r="F326" s="22" t="s">
        <v>265</v>
      </c>
    </row>
    <row r="327" spans="1:6">
      <c r="A327" s="28" t="s">
        <v>348</v>
      </c>
      <c r="B327" s="33" t="s">
        <v>364</v>
      </c>
      <c r="C327" s="6" t="s">
        <v>350</v>
      </c>
      <c r="D327" s="31" t="s">
        <v>124</v>
      </c>
      <c r="E327" s="34">
        <v>750</v>
      </c>
      <c r="F327" s="22" t="s">
        <v>265</v>
      </c>
    </row>
    <row r="328" spans="1:6">
      <c r="A328" s="28" t="s">
        <v>348</v>
      </c>
      <c r="B328" s="33" t="s">
        <v>365</v>
      </c>
      <c r="C328" s="6" t="s">
        <v>350</v>
      </c>
      <c r="D328" s="31" t="s">
        <v>124</v>
      </c>
      <c r="E328" s="34">
        <v>1000</v>
      </c>
      <c r="F328" s="22" t="s">
        <v>265</v>
      </c>
    </row>
    <row r="329" spans="1:6">
      <c r="A329" s="28" t="s">
        <v>348</v>
      </c>
      <c r="B329" s="33" t="s">
        <v>366</v>
      </c>
      <c r="C329" s="6" t="s">
        <v>350</v>
      </c>
      <c r="D329" s="31" t="s">
        <v>124</v>
      </c>
      <c r="E329" s="34">
        <v>2500</v>
      </c>
      <c r="F329" s="22" t="s">
        <v>265</v>
      </c>
    </row>
    <row r="330" spans="1:6">
      <c r="A330" s="28" t="s">
        <v>348</v>
      </c>
      <c r="B330" s="33" t="s">
        <v>367</v>
      </c>
      <c r="C330" s="6" t="s">
        <v>350</v>
      </c>
      <c r="D330" s="31" t="s">
        <v>316</v>
      </c>
      <c r="E330" s="34">
        <v>500</v>
      </c>
      <c r="F330" s="22" t="s">
        <v>265</v>
      </c>
    </row>
    <row r="331" spans="1:6">
      <c r="A331" s="28" t="s">
        <v>348</v>
      </c>
      <c r="B331" s="33" t="s">
        <v>368</v>
      </c>
      <c r="C331" s="6" t="s">
        <v>350</v>
      </c>
      <c r="D331" s="31" t="s">
        <v>124</v>
      </c>
      <c r="E331" s="34">
        <v>250</v>
      </c>
      <c r="F331" s="22" t="s">
        <v>265</v>
      </c>
    </row>
    <row r="332" spans="1:6">
      <c r="A332" s="28" t="s">
        <v>348</v>
      </c>
      <c r="B332" s="33" t="s">
        <v>369</v>
      </c>
      <c r="C332" s="6" t="s">
        <v>350</v>
      </c>
      <c r="D332" s="31" t="s">
        <v>316</v>
      </c>
      <c r="E332" s="34">
        <v>500</v>
      </c>
      <c r="F332" s="22" t="s">
        <v>265</v>
      </c>
    </row>
    <row r="333" spans="1:6">
      <c r="A333" s="28" t="s">
        <v>348</v>
      </c>
      <c r="B333" s="33" t="s">
        <v>370</v>
      </c>
      <c r="C333" s="6" t="s">
        <v>350</v>
      </c>
      <c r="D333" s="31" t="s">
        <v>316</v>
      </c>
      <c r="E333" s="34">
        <v>25</v>
      </c>
      <c r="F333" s="22" t="s">
        <v>265</v>
      </c>
    </row>
    <row r="334" spans="1:6">
      <c r="A334" s="28" t="s">
        <v>348</v>
      </c>
      <c r="B334" s="33" t="s">
        <v>371</v>
      </c>
      <c r="C334" s="6" t="s">
        <v>350</v>
      </c>
      <c r="D334" s="31" t="s">
        <v>316</v>
      </c>
      <c r="E334" s="34">
        <v>15</v>
      </c>
      <c r="F334" s="22" t="s">
        <v>265</v>
      </c>
    </row>
    <row r="335" spans="1:6">
      <c r="A335" s="28" t="s">
        <v>348</v>
      </c>
      <c r="B335" s="33" t="s">
        <v>372</v>
      </c>
      <c r="C335" s="6" t="s">
        <v>350</v>
      </c>
      <c r="D335" s="31" t="s">
        <v>316</v>
      </c>
      <c r="E335" s="34">
        <v>10</v>
      </c>
      <c r="F335" s="22" t="s">
        <v>265</v>
      </c>
    </row>
    <row r="336" spans="1:6">
      <c r="A336" s="28" t="s">
        <v>348</v>
      </c>
      <c r="B336" s="33" t="s">
        <v>373</v>
      </c>
      <c r="C336" s="6" t="s">
        <v>350</v>
      </c>
      <c r="D336" s="31" t="s">
        <v>316</v>
      </c>
      <c r="E336" s="34">
        <v>12</v>
      </c>
      <c r="F336" s="22" t="s">
        <v>265</v>
      </c>
    </row>
    <row r="337" spans="1:6">
      <c r="A337" s="28" t="s">
        <v>348</v>
      </c>
      <c r="B337" s="33" t="s">
        <v>374</v>
      </c>
      <c r="C337" s="6" t="s">
        <v>350</v>
      </c>
      <c r="D337" s="31" t="s">
        <v>316</v>
      </c>
      <c r="E337" s="34">
        <v>25</v>
      </c>
      <c r="F337" s="22" t="s">
        <v>265</v>
      </c>
    </row>
    <row r="338" spans="1:6">
      <c r="A338" s="28" t="s">
        <v>348</v>
      </c>
      <c r="B338" s="33" t="s">
        <v>375</v>
      </c>
      <c r="C338" s="6" t="s">
        <v>350</v>
      </c>
      <c r="D338" s="31" t="s">
        <v>316</v>
      </c>
      <c r="E338" s="34">
        <v>18</v>
      </c>
      <c r="F338" s="22" t="s">
        <v>265</v>
      </c>
    </row>
    <row r="339" spans="1:6">
      <c r="A339" s="28" t="s">
        <v>348</v>
      </c>
      <c r="B339" s="33" t="s">
        <v>376</v>
      </c>
      <c r="C339" s="6" t="s">
        <v>350</v>
      </c>
      <c r="D339" s="31" t="s">
        <v>377</v>
      </c>
      <c r="E339" s="34">
        <v>23000</v>
      </c>
      <c r="F339" s="22" t="s">
        <v>265</v>
      </c>
    </row>
    <row r="340" spans="1:6">
      <c r="A340" s="28" t="s">
        <v>348</v>
      </c>
      <c r="B340" s="33" t="s">
        <v>378</v>
      </c>
      <c r="C340" s="6" t="s">
        <v>350</v>
      </c>
      <c r="D340" s="31" t="s">
        <v>287</v>
      </c>
      <c r="E340" s="34">
        <v>2500</v>
      </c>
      <c r="F340" s="22" t="s">
        <v>265</v>
      </c>
    </row>
    <row r="341" spans="1:6">
      <c r="A341" s="28" t="s">
        <v>348</v>
      </c>
      <c r="B341" s="33" t="s">
        <v>379</v>
      </c>
      <c r="C341" s="6" t="s">
        <v>350</v>
      </c>
      <c r="D341" s="31" t="s">
        <v>287</v>
      </c>
      <c r="E341" s="34">
        <v>3500</v>
      </c>
      <c r="F341" s="22" t="s">
        <v>265</v>
      </c>
    </row>
    <row r="342" spans="1:6">
      <c r="A342" s="28" t="s">
        <v>348</v>
      </c>
      <c r="B342" s="33" t="s">
        <v>380</v>
      </c>
      <c r="C342" s="6" t="s">
        <v>270</v>
      </c>
      <c r="D342" s="36" t="s">
        <v>124</v>
      </c>
      <c r="E342" s="34">
        <v>0.12</v>
      </c>
      <c r="F342" s="22" t="s">
        <v>265</v>
      </c>
    </row>
    <row r="343" spans="1:6">
      <c r="A343" s="28" t="s">
        <v>348</v>
      </c>
      <c r="B343" s="33" t="s">
        <v>381</v>
      </c>
      <c r="C343" s="6" t="s">
        <v>270</v>
      </c>
      <c r="D343" s="36" t="s">
        <v>124</v>
      </c>
      <c r="E343" s="34">
        <v>0.24</v>
      </c>
      <c r="F343" s="22" t="s">
        <v>265</v>
      </c>
    </row>
    <row r="344" spans="1:6">
      <c r="B344" s="37" t="s">
        <v>382</v>
      </c>
    </row>
    <row r="345" spans="1:6">
      <c r="A345" s="11" t="s">
        <v>1</v>
      </c>
      <c r="B345" s="12" t="s">
        <v>2</v>
      </c>
      <c r="C345" s="13" t="s">
        <v>3</v>
      </c>
      <c r="D345" s="14" t="s">
        <v>4</v>
      </c>
      <c r="E345" s="15" t="s">
        <v>5</v>
      </c>
      <c r="F345" s="6"/>
    </row>
    <row r="346" spans="1:6">
      <c r="A346" s="28" t="s">
        <v>382</v>
      </c>
      <c r="B346" s="33" t="s">
        <v>383</v>
      </c>
      <c r="C346" s="6" t="s">
        <v>384</v>
      </c>
      <c r="D346" s="31" t="s">
        <v>124</v>
      </c>
      <c r="E346" s="34">
        <v>0.65</v>
      </c>
      <c r="F346" s="22" t="s">
        <v>265</v>
      </c>
    </row>
    <row r="347" spans="1:6">
      <c r="A347" s="28" t="s">
        <v>382</v>
      </c>
      <c r="B347" s="33" t="s">
        <v>385</v>
      </c>
      <c r="C347" s="6" t="s">
        <v>384</v>
      </c>
      <c r="D347" s="31" t="s">
        <v>124</v>
      </c>
      <c r="E347" s="34">
        <v>1.5</v>
      </c>
      <c r="F347" s="22" t="s">
        <v>265</v>
      </c>
    </row>
    <row r="348" spans="1:6">
      <c r="A348" s="28" t="s">
        <v>382</v>
      </c>
      <c r="B348" s="33" t="s">
        <v>386</v>
      </c>
      <c r="C348" s="6" t="s">
        <v>384</v>
      </c>
      <c r="D348" s="31" t="s">
        <v>124</v>
      </c>
      <c r="E348" s="34">
        <v>0.2</v>
      </c>
      <c r="F348" s="22" t="s">
        <v>265</v>
      </c>
    </row>
    <row r="349" spans="1:6">
      <c r="A349" s="28" t="s">
        <v>382</v>
      </c>
      <c r="B349" s="33" t="s">
        <v>387</v>
      </c>
      <c r="C349" s="6" t="s">
        <v>384</v>
      </c>
      <c r="D349" s="31" t="s">
        <v>329</v>
      </c>
      <c r="E349" s="34">
        <v>125</v>
      </c>
      <c r="F349" s="22" t="s">
        <v>265</v>
      </c>
    </row>
    <row r="350" spans="1:6">
      <c r="A350" s="28" t="s">
        <v>382</v>
      </c>
      <c r="B350" s="33" t="s">
        <v>388</v>
      </c>
      <c r="C350" s="6" t="s">
        <v>384</v>
      </c>
      <c r="D350" s="31" t="s">
        <v>124</v>
      </c>
      <c r="E350" s="34">
        <v>9</v>
      </c>
      <c r="F350" s="22" t="s">
        <v>265</v>
      </c>
    </row>
    <row r="351" spans="1:6">
      <c r="A351" s="28" t="s">
        <v>382</v>
      </c>
      <c r="B351" s="33" t="s">
        <v>390</v>
      </c>
      <c r="C351" s="6" t="s">
        <v>384</v>
      </c>
      <c r="D351" s="31" t="s">
        <v>124</v>
      </c>
      <c r="E351" s="34">
        <v>5</v>
      </c>
      <c r="F351" s="22" t="s">
        <v>265</v>
      </c>
    </row>
    <row r="352" spans="1:6">
      <c r="A352" s="28" t="s">
        <v>382</v>
      </c>
      <c r="B352" s="33" t="s">
        <v>391</v>
      </c>
      <c r="C352" s="6" t="s">
        <v>384</v>
      </c>
      <c r="D352" s="31" t="s">
        <v>124</v>
      </c>
      <c r="E352" s="34">
        <v>6</v>
      </c>
      <c r="F352" s="22" t="s">
        <v>265</v>
      </c>
    </row>
    <row r="353" spans="1:6">
      <c r="A353" s="28" t="s">
        <v>382</v>
      </c>
      <c r="B353" s="33" t="s">
        <v>392</v>
      </c>
      <c r="C353" s="6" t="s">
        <v>384</v>
      </c>
      <c r="D353" s="31" t="s">
        <v>124</v>
      </c>
      <c r="E353" s="34">
        <v>2.5</v>
      </c>
      <c r="F353" s="22" t="s">
        <v>265</v>
      </c>
    </row>
    <row r="354" spans="1:6">
      <c r="A354" s="28" t="s">
        <v>382</v>
      </c>
      <c r="B354" s="33" t="s">
        <v>394</v>
      </c>
      <c r="C354" s="6" t="s">
        <v>384</v>
      </c>
      <c r="D354" s="31" t="s">
        <v>124</v>
      </c>
      <c r="E354" s="34">
        <v>22</v>
      </c>
      <c r="F354" s="22" t="s">
        <v>265</v>
      </c>
    </row>
    <row r="355" spans="1:6">
      <c r="A355" s="28" t="s">
        <v>382</v>
      </c>
      <c r="B355" s="33" t="s">
        <v>395</v>
      </c>
      <c r="C355" s="6" t="s">
        <v>384</v>
      </c>
      <c r="D355" s="31" t="s">
        <v>124</v>
      </c>
      <c r="E355" s="34">
        <v>4</v>
      </c>
      <c r="F355" s="22" t="s">
        <v>265</v>
      </c>
    </row>
    <row r="356" spans="1:6">
      <c r="A356" s="28" t="s">
        <v>382</v>
      </c>
      <c r="B356" s="33" t="s">
        <v>396</v>
      </c>
      <c r="C356" s="6" t="s">
        <v>384</v>
      </c>
      <c r="D356" s="31" t="s">
        <v>124</v>
      </c>
      <c r="E356" s="34">
        <v>6</v>
      </c>
      <c r="F356" s="22" t="s">
        <v>265</v>
      </c>
    </row>
    <row r="357" spans="1:6">
      <c r="A357" s="28" t="s">
        <v>382</v>
      </c>
      <c r="B357" s="33" t="s">
        <v>397</v>
      </c>
      <c r="C357" s="6" t="s">
        <v>384</v>
      </c>
      <c r="D357" s="31" t="s">
        <v>124</v>
      </c>
      <c r="E357" s="34">
        <v>1</v>
      </c>
      <c r="F357" s="22" t="s">
        <v>265</v>
      </c>
    </row>
    <row r="358" spans="1:6">
      <c r="A358" s="28" t="s">
        <v>382</v>
      </c>
      <c r="B358" s="33" t="s">
        <v>398</v>
      </c>
      <c r="C358" s="6" t="s">
        <v>384</v>
      </c>
      <c r="D358" s="31" t="s">
        <v>399</v>
      </c>
      <c r="E358" s="34">
        <v>3.5</v>
      </c>
      <c r="F358" s="22" t="s">
        <v>265</v>
      </c>
    </row>
    <row r="359" spans="1:6">
      <c r="A359" s="28" t="s">
        <v>382</v>
      </c>
      <c r="B359" s="33" t="s">
        <v>400</v>
      </c>
      <c r="C359" s="6" t="s">
        <v>384</v>
      </c>
      <c r="D359" s="31" t="s">
        <v>399</v>
      </c>
      <c r="E359" s="34">
        <v>2.5</v>
      </c>
      <c r="F359" s="22" t="s">
        <v>265</v>
      </c>
    </row>
    <row r="360" spans="1:6">
      <c r="A360" s="28" t="s">
        <v>382</v>
      </c>
      <c r="B360" s="33" t="s">
        <v>401</v>
      </c>
      <c r="C360" s="6" t="s">
        <v>384</v>
      </c>
      <c r="D360" s="31" t="s">
        <v>124</v>
      </c>
      <c r="E360" s="34">
        <v>3</v>
      </c>
      <c r="F360" s="22" t="s">
        <v>265</v>
      </c>
    </row>
    <row r="361" spans="1:6">
      <c r="A361" s="28" t="s">
        <v>382</v>
      </c>
      <c r="B361" s="33" t="s">
        <v>402</v>
      </c>
      <c r="C361" s="6" t="s">
        <v>384</v>
      </c>
      <c r="D361" s="31" t="s">
        <v>124</v>
      </c>
      <c r="E361" s="34">
        <v>2.5</v>
      </c>
      <c r="F361" s="22" t="s">
        <v>265</v>
      </c>
    </row>
    <row r="362" spans="1:6">
      <c r="A362" s="28" t="s">
        <v>382</v>
      </c>
      <c r="B362" s="33" t="s">
        <v>403</v>
      </c>
      <c r="C362" s="6" t="s">
        <v>384</v>
      </c>
      <c r="D362" s="31" t="s">
        <v>124</v>
      </c>
      <c r="E362" s="34">
        <v>1.5</v>
      </c>
      <c r="F362" s="22" t="s">
        <v>265</v>
      </c>
    </row>
    <row r="363" s="3" customFormat="1" spans="1:6">
      <c r="A363" s="28" t="s">
        <v>382</v>
      </c>
      <c r="B363" s="38" t="s">
        <v>405</v>
      </c>
      <c r="C363" s="22" t="s">
        <v>384</v>
      </c>
      <c r="D363" s="39" t="s">
        <v>329</v>
      </c>
      <c r="E363" s="40">
        <v>170</v>
      </c>
      <c r="F363" s="22" t="s">
        <v>265</v>
      </c>
    </row>
    <row r="364" s="3" customFormat="1" spans="1:6">
      <c r="A364" s="28" t="s">
        <v>382</v>
      </c>
      <c r="B364" s="38" t="s">
        <v>3309</v>
      </c>
      <c r="C364" s="22" t="s">
        <v>384</v>
      </c>
      <c r="D364" s="39" t="s">
        <v>329</v>
      </c>
      <c r="E364" s="40">
        <v>520</v>
      </c>
      <c r="F364" s="22" t="s">
        <v>265</v>
      </c>
    </row>
    <row r="365" spans="1:6">
      <c r="A365" s="28" t="s">
        <v>382</v>
      </c>
      <c r="B365" s="33" t="s">
        <v>407</v>
      </c>
      <c r="C365" s="6" t="s">
        <v>384</v>
      </c>
      <c r="D365" s="31" t="s">
        <v>408</v>
      </c>
      <c r="E365" s="34">
        <v>400</v>
      </c>
      <c r="F365" s="22" t="s">
        <v>259</v>
      </c>
    </row>
    <row r="366" spans="1:6">
      <c r="A366" s="28" t="s">
        <v>382</v>
      </c>
      <c r="B366" s="33" t="s">
        <v>409</v>
      </c>
      <c r="C366" s="6" t="s">
        <v>384</v>
      </c>
      <c r="D366" s="31" t="s">
        <v>408</v>
      </c>
      <c r="E366" s="34">
        <v>61</v>
      </c>
      <c r="F366" s="22" t="s">
        <v>265</v>
      </c>
    </row>
    <row r="367" spans="1:6">
      <c r="A367" s="28" t="s">
        <v>382</v>
      </c>
      <c r="B367" s="33" t="s">
        <v>410</v>
      </c>
      <c r="C367" s="6" t="s">
        <v>384</v>
      </c>
      <c r="D367" s="31" t="s">
        <v>408</v>
      </c>
      <c r="E367" s="34">
        <v>19</v>
      </c>
      <c r="F367" s="22" t="s">
        <v>259</v>
      </c>
    </row>
    <row r="368" spans="1:6">
      <c r="A368" s="28" t="s">
        <v>382</v>
      </c>
      <c r="B368" s="33" t="s">
        <v>411</v>
      </c>
      <c r="C368" s="6" t="s">
        <v>384</v>
      </c>
      <c r="D368" s="31" t="s">
        <v>408</v>
      </c>
      <c r="E368" s="34">
        <v>7.5</v>
      </c>
      <c r="F368" s="22" t="s">
        <v>265</v>
      </c>
    </row>
    <row r="369" spans="1:6">
      <c r="A369" s="28" t="s">
        <v>382</v>
      </c>
      <c r="B369" s="33" t="s">
        <v>412</v>
      </c>
      <c r="C369" s="6" t="s">
        <v>384</v>
      </c>
      <c r="D369" s="31" t="s">
        <v>408</v>
      </c>
      <c r="E369" s="34">
        <v>76</v>
      </c>
      <c r="F369" s="22" t="s">
        <v>259</v>
      </c>
    </row>
    <row r="370" spans="1:6">
      <c r="A370" s="28" t="s">
        <v>382</v>
      </c>
      <c r="B370" s="33" t="s">
        <v>411</v>
      </c>
      <c r="C370" s="6" t="s">
        <v>384</v>
      </c>
      <c r="D370" s="31" t="s">
        <v>408</v>
      </c>
      <c r="E370" s="34">
        <v>12</v>
      </c>
      <c r="F370" s="22" t="s">
        <v>265</v>
      </c>
    </row>
    <row r="371" spans="1:6">
      <c r="A371" s="28" t="s">
        <v>382</v>
      </c>
      <c r="B371" s="33" t="s">
        <v>413</v>
      </c>
      <c r="C371" s="6" t="s">
        <v>384</v>
      </c>
      <c r="D371" s="31" t="s">
        <v>408</v>
      </c>
      <c r="E371" s="34">
        <v>100</v>
      </c>
      <c r="F371" s="22" t="s">
        <v>259</v>
      </c>
    </row>
    <row r="372" spans="1:6">
      <c r="A372" s="28" t="s">
        <v>382</v>
      </c>
      <c r="B372" s="33" t="s">
        <v>414</v>
      </c>
      <c r="C372" s="6" t="s">
        <v>384</v>
      </c>
      <c r="D372" s="31" t="s">
        <v>124</v>
      </c>
      <c r="E372" s="34">
        <v>25</v>
      </c>
      <c r="F372" s="22" t="s">
        <v>265</v>
      </c>
    </row>
    <row r="373" spans="1:6">
      <c r="A373" s="28" t="s">
        <v>382</v>
      </c>
      <c r="B373" s="33" t="s">
        <v>415</v>
      </c>
      <c r="C373" s="6" t="s">
        <v>384</v>
      </c>
      <c r="D373" s="31" t="s">
        <v>124</v>
      </c>
      <c r="E373" s="34">
        <v>7.5</v>
      </c>
      <c r="F373" s="22" t="s">
        <v>265</v>
      </c>
    </row>
    <row r="374" spans="1:6">
      <c r="A374" s="28" t="s">
        <v>382</v>
      </c>
      <c r="B374" s="33" t="s">
        <v>416</v>
      </c>
      <c r="C374" s="6" t="s">
        <v>384</v>
      </c>
      <c r="D374" s="31" t="s">
        <v>124</v>
      </c>
      <c r="E374" s="34">
        <v>11</v>
      </c>
      <c r="F374" s="22" t="s">
        <v>265</v>
      </c>
    </row>
    <row r="375" spans="1:6">
      <c r="A375" s="28" t="s">
        <v>382</v>
      </c>
      <c r="B375" s="33" t="s">
        <v>417</v>
      </c>
      <c r="C375" s="6" t="s">
        <v>384</v>
      </c>
      <c r="D375" s="31" t="s">
        <v>124</v>
      </c>
      <c r="E375" s="34">
        <v>8.1</v>
      </c>
      <c r="F375" s="22" t="s">
        <v>265</v>
      </c>
    </row>
    <row r="376" spans="1:6">
      <c r="A376" s="28" t="s">
        <v>382</v>
      </c>
      <c r="B376" s="33" t="s">
        <v>418</v>
      </c>
      <c r="C376" s="6" t="s">
        <v>384</v>
      </c>
      <c r="D376" s="31" t="s">
        <v>124</v>
      </c>
      <c r="E376" s="34">
        <v>3.5</v>
      </c>
      <c r="F376" s="22" t="s">
        <v>265</v>
      </c>
    </row>
    <row r="377" spans="1:6">
      <c r="A377" s="28" t="s">
        <v>382</v>
      </c>
      <c r="B377" s="33" t="s">
        <v>419</v>
      </c>
      <c r="C377" s="6" t="s">
        <v>384</v>
      </c>
      <c r="D377" s="31" t="s">
        <v>124</v>
      </c>
      <c r="E377" s="34">
        <v>0.4</v>
      </c>
      <c r="F377" s="22" t="s">
        <v>265</v>
      </c>
    </row>
    <row r="378" spans="1:6">
      <c r="A378" s="28" t="s">
        <v>382</v>
      </c>
      <c r="B378" s="33" t="s">
        <v>420</v>
      </c>
      <c r="C378" s="6" t="s">
        <v>384</v>
      </c>
      <c r="D378" s="31" t="s">
        <v>124</v>
      </c>
      <c r="E378" s="34">
        <v>0.65</v>
      </c>
      <c r="F378" s="22" t="s">
        <v>265</v>
      </c>
    </row>
    <row r="379" spans="1:6">
      <c r="A379" s="28" t="s">
        <v>382</v>
      </c>
      <c r="B379" s="33" t="s">
        <v>421</v>
      </c>
      <c r="C379" s="6" t="s">
        <v>384</v>
      </c>
      <c r="D379" s="31" t="s">
        <v>124</v>
      </c>
      <c r="E379" s="34">
        <v>0.5</v>
      </c>
      <c r="F379" s="22" t="s">
        <v>265</v>
      </c>
    </row>
    <row r="380" spans="1:6">
      <c r="A380" s="28" t="s">
        <v>382</v>
      </c>
      <c r="B380" s="33" t="s">
        <v>415</v>
      </c>
      <c r="C380" s="6" t="s">
        <v>384</v>
      </c>
      <c r="D380" s="31" t="s">
        <v>124</v>
      </c>
      <c r="E380" s="34">
        <v>11</v>
      </c>
      <c r="F380" s="22" t="s">
        <v>265</v>
      </c>
    </row>
    <row r="381" spans="1:6">
      <c r="A381" s="28" t="s">
        <v>382</v>
      </c>
      <c r="B381" s="33" t="s">
        <v>422</v>
      </c>
      <c r="C381" s="6" t="s">
        <v>384</v>
      </c>
      <c r="D381" s="31" t="s">
        <v>124</v>
      </c>
      <c r="E381" s="34">
        <v>14</v>
      </c>
      <c r="F381" s="22" t="s">
        <v>265</v>
      </c>
    </row>
    <row r="382" spans="1:6">
      <c r="A382" s="28" t="s">
        <v>382</v>
      </c>
      <c r="B382" s="33" t="s">
        <v>423</v>
      </c>
      <c r="C382" s="6" t="s">
        <v>384</v>
      </c>
      <c r="D382" s="31" t="s">
        <v>124</v>
      </c>
      <c r="E382" s="34">
        <v>1.2</v>
      </c>
      <c r="F382" s="22" t="s">
        <v>265</v>
      </c>
    </row>
    <row r="383" spans="1:6">
      <c r="A383" s="28" t="s">
        <v>382</v>
      </c>
      <c r="B383" s="33" t="s">
        <v>397</v>
      </c>
      <c r="C383" s="6" t="s">
        <v>384</v>
      </c>
      <c r="D383" s="31" t="s">
        <v>124</v>
      </c>
      <c r="E383" s="34">
        <v>1.5</v>
      </c>
      <c r="F383" s="22" t="s">
        <v>265</v>
      </c>
    </row>
    <row r="384" spans="1:6">
      <c r="A384" s="28" t="s">
        <v>382</v>
      </c>
      <c r="B384" s="33" t="s">
        <v>424</v>
      </c>
      <c r="C384" s="6" t="s">
        <v>384</v>
      </c>
      <c r="D384" s="31" t="s">
        <v>124</v>
      </c>
      <c r="E384" s="34">
        <v>475</v>
      </c>
      <c r="F384" s="22" t="s">
        <v>265</v>
      </c>
    </row>
    <row r="385" spans="1:6">
      <c r="A385" s="28" t="s">
        <v>382</v>
      </c>
      <c r="B385" s="33" t="s">
        <v>425</v>
      </c>
      <c r="C385" s="6" t="s">
        <v>384</v>
      </c>
      <c r="D385" s="31" t="s">
        <v>124</v>
      </c>
      <c r="E385" s="34">
        <v>130</v>
      </c>
      <c r="F385" s="22" t="s">
        <v>265</v>
      </c>
    </row>
    <row r="386" spans="1:6">
      <c r="A386" s="28" t="s">
        <v>382</v>
      </c>
      <c r="B386" s="33" t="s">
        <v>426</v>
      </c>
      <c r="C386" s="6" t="s">
        <v>384</v>
      </c>
      <c r="D386" s="31" t="s">
        <v>124</v>
      </c>
      <c r="E386" s="34">
        <v>11</v>
      </c>
      <c r="F386" s="22" t="s">
        <v>265</v>
      </c>
    </row>
    <row r="387" spans="1:6">
      <c r="A387" s="28" t="s">
        <v>382</v>
      </c>
      <c r="B387" s="33" t="s">
        <v>427</v>
      </c>
      <c r="C387" s="6" t="s">
        <v>384</v>
      </c>
      <c r="D387" s="31" t="s">
        <v>329</v>
      </c>
      <c r="E387" s="34">
        <v>165</v>
      </c>
      <c r="F387" s="22" t="s">
        <v>265</v>
      </c>
    </row>
    <row r="388" spans="1:6">
      <c r="A388" s="28" t="s">
        <v>382</v>
      </c>
      <c r="B388" s="33" t="s">
        <v>428</v>
      </c>
      <c r="C388" s="6" t="s">
        <v>384</v>
      </c>
      <c r="D388" s="31" t="s">
        <v>124</v>
      </c>
      <c r="E388" s="34">
        <v>50</v>
      </c>
      <c r="F388" s="22" t="s">
        <v>265</v>
      </c>
    </row>
    <row r="389" spans="1:6">
      <c r="A389" s="28" t="s">
        <v>382</v>
      </c>
      <c r="B389" s="33" t="s">
        <v>429</v>
      </c>
      <c r="C389" s="6" t="s">
        <v>384</v>
      </c>
      <c r="D389" s="31" t="s">
        <v>124</v>
      </c>
      <c r="E389" s="34">
        <v>2</v>
      </c>
      <c r="F389" s="22" t="s">
        <v>265</v>
      </c>
    </row>
    <row r="390" spans="1:6">
      <c r="A390" s="28" t="s">
        <v>382</v>
      </c>
      <c r="B390" s="33" t="s">
        <v>430</v>
      </c>
      <c r="C390" s="6" t="s">
        <v>384</v>
      </c>
      <c r="D390" s="31" t="s">
        <v>408</v>
      </c>
      <c r="E390" s="34">
        <v>17.5</v>
      </c>
      <c r="F390" s="22" t="s">
        <v>259</v>
      </c>
    </row>
    <row r="391" s="3" customFormat="1" spans="1:6">
      <c r="A391" s="28" t="s">
        <v>382</v>
      </c>
      <c r="B391" s="38" t="s">
        <v>431</v>
      </c>
      <c r="C391" s="22" t="s">
        <v>384</v>
      </c>
      <c r="D391" s="39" t="s">
        <v>329</v>
      </c>
      <c r="E391" s="41">
        <v>2130</v>
      </c>
      <c r="F391" s="22" t="s">
        <v>265</v>
      </c>
    </row>
    <row r="392" s="3" customFormat="1" spans="1:6">
      <c r="A392" s="28" t="s">
        <v>382</v>
      </c>
      <c r="B392" s="38" t="s">
        <v>432</v>
      </c>
      <c r="C392" s="22" t="s">
        <v>384</v>
      </c>
      <c r="D392" s="39" t="s">
        <v>329</v>
      </c>
      <c r="E392" s="41">
        <v>384</v>
      </c>
      <c r="F392" s="22" t="s">
        <v>265</v>
      </c>
    </row>
    <row r="393" spans="1:6">
      <c r="A393" s="28" t="s">
        <v>382</v>
      </c>
      <c r="B393" s="33" t="s">
        <v>419</v>
      </c>
      <c r="C393" s="6" t="s">
        <v>384</v>
      </c>
      <c r="D393" s="31" t="s">
        <v>124</v>
      </c>
      <c r="E393" s="34">
        <v>0.4</v>
      </c>
      <c r="F393" s="22" t="s">
        <v>265</v>
      </c>
    </row>
    <row r="394" spans="1:6">
      <c r="A394" s="28" t="s">
        <v>382</v>
      </c>
      <c r="B394" s="33" t="s">
        <v>433</v>
      </c>
      <c r="C394" s="6" t="s">
        <v>384</v>
      </c>
      <c r="D394" s="31" t="s">
        <v>124</v>
      </c>
      <c r="E394" s="34">
        <v>0.3</v>
      </c>
      <c r="F394" s="22" t="s">
        <v>265</v>
      </c>
    </row>
    <row r="395" spans="1:6">
      <c r="A395" s="28" t="s">
        <v>382</v>
      </c>
      <c r="B395" s="33" t="s">
        <v>434</v>
      </c>
      <c r="C395" s="6" t="s">
        <v>384</v>
      </c>
      <c r="D395" s="31" t="s">
        <v>124</v>
      </c>
      <c r="E395" s="34">
        <v>0.2</v>
      </c>
      <c r="F395" s="22" t="s">
        <v>265</v>
      </c>
    </row>
    <row r="396" spans="1:6">
      <c r="A396" s="28" t="s">
        <v>382</v>
      </c>
      <c r="B396" s="33" t="s">
        <v>435</v>
      </c>
      <c r="C396" s="6" t="s">
        <v>384</v>
      </c>
      <c r="D396" s="31" t="s">
        <v>124</v>
      </c>
      <c r="E396" s="34">
        <v>15</v>
      </c>
      <c r="F396" s="22" t="s">
        <v>265</v>
      </c>
    </row>
    <row r="397" spans="1:6">
      <c r="A397" s="28" t="s">
        <v>382</v>
      </c>
      <c r="B397" s="33" t="s">
        <v>436</v>
      </c>
      <c r="C397" s="6" t="s">
        <v>384</v>
      </c>
      <c r="D397" s="31" t="s">
        <v>408</v>
      </c>
      <c r="E397" s="34">
        <v>5</v>
      </c>
      <c r="F397" s="22" t="s">
        <v>265</v>
      </c>
    </row>
    <row r="398" spans="1:6">
      <c r="A398" s="28" t="s">
        <v>382</v>
      </c>
      <c r="B398" s="33" t="s">
        <v>437</v>
      </c>
      <c r="C398" s="6" t="s">
        <v>384</v>
      </c>
      <c r="D398" s="31" t="s">
        <v>124</v>
      </c>
      <c r="E398" s="34">
        <v>3</v>
      </c>
      <c r="F398" s="22" t="s">
        <v>265</v>
      </c>
    </row>
    <row r="399" spans="1:6">
      <c r="A399" s="28" t="s">
        <v>382</v>
      </c>
      <c r="B399" s="33" t="s">
        <v>438</v>
      </c>
      <c r="C399" s="6" t="s">
        <v>384</v>
      </c>
      <c r="D399" s="31" t="s">
        <v>124</v>
      </c>
      <c r="E399" s="34">
        <v>2</v>
      </c>
      <c r="F399" s="22" t="s">
        <v>265</v>
      </c>
    </row>
    <row r="400" spans="1:6">
      <c r="A400" s="28" t="s">
        <v>382</v>
      </c>
      <c r="B400" s="33" t="s">
        <v>439</v>
      </c>
      <c r="C400" s="6" t="s">
        <v>384</v>
      </c>
      <c r="D400" s="31" t="s">
        <v>124</v>
      </c>
      <c r="E400" s="34">
        <v>2</v>
      </c>
      <c r="F400" s="22" t="s">
        <v>265</v>
      </c>
    </row>
    <row r="401" spans="1:6">
      <c r="A401" s="28" t="s">
        <v>382</v>
      </c>
      <c r="B401" s="33" t="s">
        <v>440</v>
      </c>
      <c r="C401" s="6" t="s">
        <v>384</v>
      </c>
      <c r="D401" s="31" t="s">
        <v>124</v>
      </c>
      <c r="E401" s="34">
        <v>7.5</v>
      </c>
      <c r="F401" s="22" t="s">
        <v>265</v>
      </c>
    </row>
    <row r="402" spans="1:6">
      <c r="A402" s="28" t="s">
        <v>382</v>
      </c>
      <c r="B402" s="33" t="s">
        <v>398</v>
      </c>
      <c r="C402" s="6" t="s">
        <v>384</v>
      </c>
      <c r="D402" s="31" t="s">
        <v>124</v>
      </c>
      <c r="E402" s="34">
        <v>4</v>
      </c>
      <c r="F402" s="22" t="s">
        <v>265</v>
      </c>
    </row>
    <row r="403" spans="1:6">
      <c r="A403" s="28" t="s">
        <v>382</v>
      </c>
      <c r="B403" s="33" t="s">
        <v>441</v>
      </c>
      <c r="C403" s="6" t="s">
        <v>384</v>
      </c>
      <c r="D403" s="31" t="s">
        <v>124</v>
      </c>
      <c r="E403" s="34">
        <v>1</v>
      </c>
      <c r="F403" s="22" t="s">
        <v>265</v>
      </c>
    </row>
    <row r="404" spans="1:6">
      <c r="A404" s="28" t="s">
        <v>382</v>
      </c>
      <c r="B404" s="33" t="s">
        <v>442</v>
      </c>
      <c r="C404" s="6" t="s">
        <v>384</v>
      </c>
      <c r="D404" s="31" t="s">
        <v>124</v>
      </c>
      <c r="E404" s="34">
        <v>80</v>
      </c>
      <c r="F404" s="22" t="s">
        <v>265</v>
      </c>
    </row>
    <row r="405" spans="1:6">
      <c r="A405" s="28" t="s">
        <v>382</v>
      </c>
      <c r="B405" s="33" t="s">
        <v>425</v>
      </c>
      <c r="C405" s="6" t="s">
        <v>384</v>
      </c>
      <c r="D405" s="31" t="s">
        <v>124</v>
      </c>
      <c r="E405" s="34">
        <v>110</v>
      </c>
      <c r="F405" s="22" t="s">
        <v>265</v>
      </c>
    </row>
    <row r="406" spans="1:6">
      <c r="A406" s="28" t="s">
        <v>382</v>
      </c>
      <c r="B406" s="33" t="s">
        <v>443</v>
      </c>
      <c r="C406" s="6" t="s">
        <v>384</v>
      </c>
      <c r="D406" s="31" t="s">
        <v>124</v>
      </c>
      <c r="E406" s="34">
        <v>42</v>
      </c>
      <c r="F406" s="22" t="s">
        <v>265</v>
      </c>
    </row>
    <row r="407" spans="1:6">
      <c r="A407" s="28" t="s">
        <v>382</v>
      </c>
      <c r="B407" s="33" t="s">
        <v>444</v>
      </c>
      <c r="C407" s="6" t="s">
        <v>384</v>
      </c>
      <c r="D407" s="31" t="s">
        <v>124</v>
      </c>
      <c r="E407" s="34">
        <v>65</v>
      </c>
      <c r="F407" s="22" t="s">
        <v>265</v>
      </c>
    </row>
    <row r="408" spans="1:6">
      <c r="A408" s="28" t="s">
        <v>382</v>
      </c>
      <c r="B408" s="33" t="s">
        <v>397</v>
      </c>
      <c r="C408" s="6" t="s">
        <v>384</v>
      </c>
      <c r="D408" s="31" t="s">
        <v>124</v>
      </c>
      <c r="E408" s="34">
        <v>1.75</v>
      </c>
      <c r="F408" s="22" t="s">
        <v>265</v>
      </c>
    </row>
    <row r="409" spans="1:6">
      <c r="A409" s="28" t="s">
        <v>382</v>
      </c>
      <c r="B409" s="33" t="s">
        <v>446</v>
      </c>
      <c r="C409" s="6" t="s">
        <v>384</v>
      </c>
      <c r="D409" s="31" t="s">
        <v>124</v>
      </c>
      <c r="E409" s="34">
        <v>8.5</v>
      </c>
      <c r="F409" s="22" t="s">
        <v>265</v>
      </c>
    </row>
    <row r="410" spans="1:6">
      <c r="A410" s="28" t="s">
        <v>382</v>
      </c>
      <c r="B410" s="33" t="s">
        <v>447</v>
      </c>
      <c r="C410" s="6" t="s">
        <v>384</v>
      </c>
      <c r="D410" s="31" t="s">
        <v>124</v>
      </c>
      <c r="E410" s="34">
        <v>9.5</v>
      </c>
      <c r="F410" s="22" t="s">
        <v>265</v>
      </c>
    </row>
    <row r="411" spans="1:6">
      <c r="A411" s="28" t="s">
        <v>382</v>
      </c>
      <c r="B411" s="33" t="s">
        <v>448</v>
      </c>
      <c r="C411" s="6" t="s">
        <v>384</v>
      </c>
      <c r="D411" s="31" t="s">
        <v>124</v>
      </c>
      <c r="E411" s="34">
        <v>3.25</v>
      </c>
      <c r="F411" s="22" t="s">
        <v>265</v>
      </c>
    </row>
    <row r="412" spans="1:6">
      <c r="A412" s="28" t="s">
        <v>382</v>
      </c>
      <c r="B412" s="33" t="s">
        <v>449</v>
      </c>
      <c r="C412" s="6" t="s">
        <v>384</v>
      </c>
      <c r="D412" s="31" t="s">
        <v>124</v>
      </c>
      <c r="E412" s="34">
        <v>3.25</v>
      </c>
      <c r="F412" s="22" t="s">
        <v>265</v>
      </c>
    </row>
    <row r="413" spans="1:6">
      <c r="A413" s="28" t="s">
        <v>382</v>
      </c>
      <c r="B413" s="33" t="s">
        <v>450</v>
      </c>
      <c r="C413" s="6" t="s">
        <v>384</v>
      </c>
      <c r="D413" s="31" t="s">
        <v>124</v>
      </c>
      <c r="E413" s="34">
        <v>75</v>
      </c>
      <c r="F413" s="22" t="s">
        <v>265</v>
      </c>
    </row>
    <row r="414" spans="1:6">
      <c r="A414" s="28" t="s">
        <v>382</v>
      </c>
      <c r="B414" s="33" t="s">
        <v>451</v>
      </c>
      <c r="C414" s="6" t="s">
        <v>384</v>
      </c>
      <c r="D414" s="31" t="s">
        <v>124</v>
      </c>
      <c r="E414" s="34">
        <v>5</v>
      </c>
      <c r="F414" s="22" t="s">
        <v>265</v>
      </c>
    </row>
    <row r="415" spans="1:6">
      <c r="A415" s="28" t="s">
        <v>382</v>
      </c>
      <c r="B415" s="33" t="s">
        <v>442</v>
      </c>
      <c r="C415" s="6" t="s">
        <v>384</v>
      </c>
      <c r="D415" s="31" t="s">
        <v>124</v>
      </c>
      <c r="E415" s="34">
        <v>80</v>
      </c>
      <c r="F415" s="22" t="s">
        <v>265</v>
      </c>
    </row>
    <row r="416" spans="1:6">
      <c r="A416" s="28" t="s">
        <v>382</v>
      </c>
      <c r="B416" s="33" t="s">
        <v>425</v>
      </c>
      <c r="C416" s="6" t="s">
        <v>384</v>
      </c>
      <c r="D416" s="31" t="s">
        <v>124</v>
      </c>
      <c r="E416" s="34">
        <v>110</v>
      </c>
      <c r="F416" s="22" t="s">
        <v>265</v>
      </c>
    </row>
    <row r="417" spans="1:6">
      <c r="A417" s="28" t="s">
        <v>452</v>
      </c>
      <c r="B417" s="33" t="s">
        <v>403</v>
      </c>
      <c r="C417" s="6" t="s">
        <v>384</v>
      </c>
      <c r="D417" s="31" t="s">
        <v>124</v>
      </c>
      <c r="E417" s="34">
        <v>1</v>
      </c>
      <c r="F417" s="22" t="s">
        <v>265</v>
      </c>
    </row>
    <row r="418" spans="1:6">
      <c r="A418" s="28" t="s">
        <v>382</v>
      </c>
      <c r="B418" s="33" t="s">
        <v>444</v>
      </c>
      <c r="C418" s="6" t="s">
        <v>384</v>
      </c>
      <c r="D418" s="31" t="s">
        <v>124</v>
      </c>
      <c r="E418" s="34">
        <v>65</v>
      </c>
      <c r="F418" s="22" t="s">
        <v>265</v>
      </c>
    </row>
    <row r="419" spans="1:6">
      <c r="A419" s="28" t="s">
        <v>382</v>
      </c>
      <c r="B419" s="33" t="s">
        <v>397</v>
      </c>
      <c r="C419" s="6" t="s">
        <v>384</v>
      </c>
      <c r="D419" s="31" t="s">
        <v>124</v>
      </c>
      <c r="E419" s="34">
        <v>1.75</v>
      </c>
      <c r="F419" s="22" t="s">
        <v>265</v>
      </c>
    </row>
    <row r="420" spans="1:6">
      <c r="A420" s="28" t="s">
        <v>382</v>
      </c>
      <c r="B420" s="33" t="s">
        <v>445</v>
      </c>
      <c r="C420" s="6" t="s">
        <v>384</v>
      </c>
      <c r="D420" s="31" t="s">
        <v>124</v>
      </c>
      <c r="E420" s="34">
        <v>4</v>
      </c>
      <c r="F420" s="22" t="s">
        <v>265</v>
      </c>
    </row>
    <row r="421" ht="18" customHeight="1" spans="1:6">
      <c r="A421" s="28" t="s">
        <v>382</v>
      </c>
      <c r="B421" s="42" t="s">
        <v>453</v>
      </c>
      <c r="C421" s="6" t="s">
        <v>454</v>
      </c>
      <c r="D421" s="31" t="s">
        <v>124</v>
      </c>
      <c r="E421" s="43">
        <v>1300.52</v>
      </c>
      <c r="F421" s="22" t="s">
        <v>259</v>
      </c>
    </row>
    <row r="422" spans="1:6">
      <c r="A422" s="28" t="s">
        <v>382</v>
      </c>
      <c r="B422" s="33" t="s">
        <v>455</v>
      </c>
      <c r="C422" s="6" t="s">
        <v>454</v>
      </c>
      <c r="D422" s="31" t="s">
        <v>124</v>
      </c>
      <c r="E422" s="43">
        <v>3305.805</v>
      </c>
      <c r="F422" s="22" t="s">
        <v>259</v>
      </c>
    </row>
    <row r="423" ht="30" spans="1:6">
      <c r="A423" s="28" t="s">
        <v>382</v>
      </c>
      <c r="B423" s="42" t="s">
        <v>456</v>
      </c>
      <c r="C423" s="6" t="s">
        <v>454</v>
      </c>
      <c r="D423" s="31" t="s">
        <v>124</v>
      </c>
      <c r="E423" s="43">
        <v>2074.648</v>
      </c>
      <c r="F423" s="22" t="s">
        <v>259</v>
      </c>
    </row>
    <row r="424" spans="1:6">
      <c r="A424" s="28" t="s">
        <v>382</v>
      </c>
      <c r="B424" s="33" t="s">
        <v>457</v>
      </c>
      <c r="C424" s="6" t="s">
        <v>384</v>
      </c>
      <c r="D424" s="31" t="s">
        <v>124</v>
      </c>
      <c r="E424" s="34">
        <v>1600</v>
      </c>
      <c r="F424" s="22" t="s">
        <v>458</v>
      </c>
    </row>
    <row r="425" spans="1:6">
      <c r="A425" s="28" t="s">
        <v>382</v>
      </c>
      <c r="B425" s="33" t="s">
        <v>459</v>
      </c>
      <c r="C425" s="33" t="s">
        <v>460</v>
      </c>
      <c r="D425" s="9" t="s">
        <v>461</v>
      </c>
      <c r="E425" s="34">
        <v>2095.24</v>
      </c>
      <c r="F425" s="22" t="s">
        <v>259</v>
      </c>
    </row>
    <row r="426" spans="1:6">
      <c r="A426" s="28" t="s">
        <v>382</v>
      </c>
      <c r="B426" s="33" t="s">
        <v>462</v>
      </c>
      <c r="C426" s="33" t="s">
        <v>460</v>
      </c>
      <c r="D426" s="9" t="s">
        <v>461</v>
      </c>
      <c r="E426" s="34">
        <v>1619.05</v>
      </c>
      <c r="F426" s="22" t="s">
        <v>259</v>
      </c>
    </row>
    <row r="427" spans="1:6">
      <c r="A427" s="44"/>
      <c r="B427" s="37" t="s">
        <v>452</v>
      </c>
      <c r="D427" s="45"/>
      <c r="E427" s="46"/>
    </row>
    <row r="428" spans="1:6">
      <c r="A428" s="11" t="s">
        <v>1</v>
      </c>
      <c r="B428" s="12" t="s">
        <v>2</v>
      </c>
      <c r="C428" s="13" t="s">
        <v>3</v>
      </c>
      <c r="D428" s="14" t="s">
        <v>4</v>
      </c>
      <c r="E428" s="15" t="s">
        <v>5</v>
      </c>
      <c r="F428" s="6"/>
    </row>
    <row r="429" spans="1:6">
      <c r="A429" s="28" t="s">
        <v>452</v>
      </c>
      <c r="B429" s="33" t="s">
        <v>463</v>
      </c>
      <c r="C429" s="6" t="s">
        <v>384</v>
      </c>
      <c r="D429" s="31" t="s">
        <v>124</v>
      </c>
      <c r="E429" s="34">
        <v>18</v>
      </c>
      <c r="F429" s="22" t="s">
        <v>265</v>
      </c>
    </row>
    <row r="430" spans="1:6">
      <c r="A430" s="28" t="s">
        <v>452</v>
      </c>
      <c r="B430" s="33" t="s">
        <v>464</v>
      </c>
      <c r="C430" s="6" t="s">
        <v>384</v>
      </c>
      <c r="D430" s="31" t="s">
        <v>124</v>
      </c>
      <c r="E430" s="34">
        <v>5</v>
      </c>
      <c r="F430" s="22" t="s">
        <v>265</v>
      </c>
    </row>
    <row r="431" spans="1:6">
      <c r="A431" s="28" t="s">
        <v>452</v>
      </c>
      <c r="B431" s="33" t="s">
        <v>465</v>
      </c>
      <c r="C431" s="6" t="s">
        <v>384</v>
      </c>
      <c r="D431" s="31" t="s">
        <v>399</v>
      </c>
      <c r="E431" s="34">
        <v>10</v>
      </c>
      <c r="F431" s="22" t="s">
        <v>265</v>
      </c>
    </row>
    <row r="432" spans="1:6">
      <c r="A432" s="28" t="s">
        <v>452</v>
      </c>
      <c r="B432" s="33" t="s">
        <v>466</v>
      </c>
      <c r="C432" s="6" t="s">
        <v>384</v>
      </c>
      <c r="D432" s="31" t="s">
        <v>399</v>
      </c>
      <c r="E432" s="34">
        <v>12</v>
      </c>
      <c r="F432" s="22" t="s">
        <v>265</v>
      </c>
    </row>
    <row r="433" spans="1:6">
      <c r="A433" s="28" t="s">
        <v>452</v>
      </c>
      <c r="B433" s="33" t="s">
        <v>467</v>
      </c>
      <c r="C433" s="6" t="s">
        <v>384</v>
      </c>
      <c r="D433" s="31" t="s">
        <v>124</v>
      </c>
      <c r="E433" s="34">
        <v>2.5</v>
      </c>
      <c r="F433" s="22" t="s">
        <v>265</v>
      </c>
    </row>
    <row r="434" spans="1:6">
      <c r="A434" s="28" t="s">
        <v>452</v>
      </c>
      <c r="B434" s="33" t="s">
        <v>468</v>
      </c>
      <c r="C434" s="6" t="s">
        <v>384</v>
      </c>
      <c r="D434" s="31" t="s">
        <v>124</v>
      </c>
      <c r="E434" s="34">
        <v>10</v>
      </c>
      <c r="F434" s="22" t="s">
        <v>265</v>
      </c>
    </row>
    <row r="435" spans="1:6">
      <c r="A435" s="28" t="s">
        <v>452</v>
      </c>
      <c r="B435" s="33" t="s">
        <v>469</v>
      </c>
      <c r="C435" s="6" t="s">
        <v>384</v>
      </c>
      <c r="D435" s="31" t="s">
        <v>124</v>
      </c>
      <c r="E435" s="34">
        <v>12</v>
      </c>
      <c r="F435" s="22" t="s">
        <v>265</v>
      </c>
    </row>
    <row r="436" spans="1:6">
      <c r="A436" s="28" t="s">
        <v>452</v>
      </c>
      <c r="B436" s="33" t="s">
        <v>470</v>
      </c>
      <c r="C436" s="6" t="s">
        <v>384</v>
      </c>
      <c r="D436" s="31" t="s">
        <v>124</v>
      </c>
      <c r="E436" s="34">
        <v>8.5</v>
      </c>
      <c r="F436" s="22" t="s">
        <v>265</v>
      </c>
    </row>
    <row r="437" spans="1:6">
      <c r="A437" s="28" t="s">
        <v>452</v>
      </c>
      <c r="B437" s="33" t="s">
        <v>471</v>
      </c>
      <c r="C437" s="6" t="s">
        <v>384</v>
      </c>
      <c r="D437" s="31" t="s">
        <v>124</v>
      </c>
      <c r="E437" s="34">
        <v>1</v>
      </c>
      <c r="F437" s="22" t="s">
        <v>265</v>
      </c>
    </row>
    <row r="438" spans="1:6">
      <c r="A438" s="28" t="s">
        <v>452</v>
      </c>
      <c r="B438" s="33" t="s">
        <v>472</v>
      </c>
      <c r="C438" s="6" t="s">
        <v>384</v>
      </c>
      <c r="D438" s="31" t="s">
        <v>124</v>
      </c>
      <c r="E438" s="34">
        <v>2.1</v>
      </c>
      <c r="F438" s="22" t="s">
        <v>265</v>
      </c>
    </row>
    <row r="439" spans="1:6">
      <c r="A439" s="28" t="s">
        <v>452</v>
      </c>
      <c r="B439" s="33" t="s">
        <v>473</v>
      </c>
      <c r="C439" s="6" t="s">
        <v>384</v>
      </c>
      <c r="D439" s="31" t="s">
        <v>124</v>
      </c>
      <c r="E439" s="34">
        <v>0.75</v>
      </c>
      <c r="F439" s="22" t="s">
        <v>265</v>
      </c>
    </row>
    <row r="440" spans="1:6">
      <c r="A440" s="28" t="s">
        <v>452</v>
      </c>
      <c r="B440" s="33" t="s">
        <v>474</v>
      </c>
      <c r="C440" s="6" t="s">
        <v>384</v>
      </c>
      <c r="D440" s="31" t="s">
        <v>475</v>
      </c>
      <c r="E440" s="34">
        <v>190</v>
      </c>
      <c r="F440" s="22" t="s">
        <v>265</v>
      </c>
    </row>
    <row r="441" spans="1:6">
      <c r="A441" s="28" t="s">
        <v>452</v>
      </c>
      <c r="B441" s="33" t="s">
        <v>476</v>
      </c>
      <c r="C441" s="6" t="s">
        <v>384</v>
      </c>
      <c r="D441" s="31" t="s">
        <v>124</v>
      </c>
      <c r="E441" s="34">
        <v>90</v>
      </c>
      <c r="F441" s="22" t="s">
        <v>265</v>
      </c>
    </row>
    <row r="442" spans="1:6">
      <c r="A442" s="28" t="s">
        <v>452</v>
      </c>
      <c r="B442" s="33" t="s">
        <v>477</v>
      </c>
      <c r="C442" s="6" t="s">
        <v>384</v>
      </c>
      <c r="D442" s="31" t="s">
        <v>124</v>
      </c>
      <c r="E442" s="34">
        <v>6.5</v>
      </c>
      <c r="F442" s="22" t="s">
        <v>265</v>
      </c>
    </row>
    <row r="443" spans="1:6">
      <c r="A443" s="28" t="s">
        <v>452</v>
      </c>
      <c r="B443" s="33" t="s">
        <v>478</v>
      </c>
      <c r="C443" s="6" t="s">
        <v>384</v>
      </c>
      <c r="D443" s="31" t="s">
        <v>124</v>
      </c>
      <c r="E443" s="34">
        <v>5.5</v>
      </c>
      <c r="F443" s="22" t="s">
        <v>265</v>
      </c>
    </row>
    <row r="444" spans="1:6">
      <c r="A444" s="28" t="s">
        <v>452</v>
      </c>
      <c r="B444" s="33" t="s">
        <v>479</v>
      </c>
      <c r="C444" s="6" t="s">
        <v>384</v>
      </c>
      <c r="D444" s="31" t="s">
        <v>124</v>
      </c>
      <c r="E444" s="34">
        <v>16.25</v>
      </c>
      <c r="F444" s="22" t="s">
        <v>265</v>
      </c>
    </row>
    <row r="445" spans="1:6">
      <c r="A445" s="28" t="s">
        <v>452</v>
      </c>
      <c r="B445" s="33" t="s">
        <v>480</v>
      </c>
      <c r="C445" s="6" t="s">
        <v>384</v>
      </c>
      <c r="D445" s="31" t="s">
        <v>124</v>
      </c>
      <c r="E445" s="34">
        <v>0.3</v>
      </c>
      <c r="F445" s="22" t="s">
        <v>265</v>
      </c>
    </row>
    <row r="446" spans="1:6">
      <c r="A446" s="28" t="s">
        <v>452</v>
      </c>
      <c r="B446" s="33" t="s">
        <v>481</v>
      </c>
      <c r="C446" s="6" t="s">
        <v>384</v>
      </c>
      <c r="D446" s="31" t="s">
        <v>124</v>
      </c>
      <c r="E446" s="34">
        <v>1</v>
      </c>
      <c r="F446" s="22" t="s">
        <v>265</v>
      </c>
    </row>
    <row r="447" spans="1:6">
      <c r="A447" s="28" t="s">
        <v>452</v>
      </c>
      <c r="B447" s="33" t="s">
        <v>482</v>
      </c>
      <c r="C447" s="6" t="s">
        <v>384</v>
      </c>
      <c r="D447" s="31" t="s">
        <v>124</v>
      </c>
      <c r="E447" s="34">
        <v>4.5</v>
      </c>
      <c r="F447" s="22" t="s">
        <v>265</v>
      </c>
    </row>
    <row r="448" spans="1:6">
      <c r="A448" s="28" t="s">
        <v>452</v>
      </c>
      <c r="B448" s="33" t="s">
        <v>483</v>
      </c>
      <c r="C448" s="6" t="s">
        <v>384</v>
      </c>
      <c r="D448" s="31" t="s">
        <v>124</v>
      </c>
      <c r="E448" s="34">
        <v>11.5</v>
      </c>
      <c r="F448" s="22" t="s">
        <v>265</v>
      </c>
    </row>
    <row r="449" spans="1:6">
      <c r="A449" s="28" t="s">
        <v>452</v>
      </c>
      <c r="B449" s="33" t="s">
        <v>484</v>
      </c>
      <c r="C449" s="6" t="s">
        <v>384</v>
      </c>
      <c r="D449" s="31" t="s">
        <v>124</v>
      </c>
      <c r="E449" s="34">
        <v>8</v>
      </c>
      <c r="F449" s="22" t="s">
        <v>265</v>
      </c>
    </row>
    <row r="450" spans="1:6">
      <c r="A450" s="28" t="s">
        <v>452</v>
      </c>
      <c r="B450" s="33" t="s">
        <v>485</v>
      </c>
      <c r="C450" s="6" t="s">
        <v>384</v>
      </c>
      <c r="D450" s="31" t="s">
        <v>124</v>
      </c>
      <c r="E450" s="34">
        <v>15</v>
      </c>
      <c r="F450" s="22" t="s">
        <v>265</v>
      </c>
    </row>
    <row r="451" spans="1:6">
      <c r="A451" s="28" t="s">
        <v>452</v>
      </c>
      <c r="B451" s="33" t="s">
        <v>477</v>
      </c>
      <c r="C451" s="6" t="s">
        <v>384</v>
      </c>
      <c r="D451" s="31" t="s">
        <v>124</v>
      </c>
      <c r="E451" s="34">
        <v>2.5</v>
      </c>
      <c r="F451" s="22" t="s">
        <v>265</v>
      </c>
    </row>
    <row r="452" spans="1:6">
      <c r="A452" s="28" t="s">
        <v>452</v>
      </c>
      <c r="B452" s="33" t="s">
        <v>486</v>
      </c>
      <c r="C452" s="6" t="s">
        <v>384</v>
      </c>
      <c r="D452" s="31" t="s">
        <v>124</v>
      </c>
      <c r="E452" s="34">
        <v>2</v>
      </c>
      <c r="F452" s="22" t="s">
        <v>265</v>
      </c>
    </row>
    <row r="453" spans="1:6">
      <c r="A453" s="28" t="s">
        <v>452</v>
      </c>
      <c r="B453" s="33" t="s">
        <v>487</v>
      </c>
      <c r="C453" s="6" t="s">
        <v>384</v>
      </c>
      <c r="D453" s="31" t="s">
        <v>124</v>
      </c>
      <c r="E453" s="34">
        <v>3.5</v>
      </c>
      <c r="F453" s="22" t="s">
        <v>265</v>
      </c>
    </row>
    <row r="454" spans="1:6">
      <c r="A454" s="28" t="s">
        <v>452</v>
      </c>
      <c r="B454" s="33" t="s">
        <v>488</v>
      </c>
      <c r="C454" s="6" t="s">
        <v>384</v>
      </c>
      <c r="D454" s="31" t="s">
        <v>124</v>
      </c>
      <c r="E454" s="34">
        <v>9.5</v>
      </c>
      <c r="F454" s="22" t="s">
        <v>265</v>
      </c>
    </row>
    <row r="455" spans="1:6">
      <c r="A455" s="28" t="s">
        <v>452</v>
      </c>
      <c r="B455" s="33" t="s">
        <v>489</v>
      </c>
      <c r="C455" s="6" t="s">
        <v>384</v>
      </c>
      <c r="D455" s="31" t="s">
        <v>124</v>
      </c>
      <c r="E455" s="34">
        <v>0.6</v>
      </c>
      <c r="F455" s="22" t="s">
        <v>265</v>
      </c>
    </row>
    <row r="456" spans="1:6">
      <c r="A456" s="28" t="s">
        <v>452</v>
      </c>
      <c r="B456" s="33" t="s">
        <v>490</v>
      </c>
      <c r="C456" s="6" t="s">
        <v>384</v>
      </c>
      <c r="D456" s="31" t="s">
        <v>124</v>
      </c>
      <c r="E456" s="34">
        <v>32.5</v>
      </c>
      <c r="F456" s="22" t="s">
        <v>265</v>
      </c>
    </row>
    <row r="457" spans="1:6">
      <c r="A457" s="28" t="s">
        <v>452</v>
      </c>
      <c r="B457" s="33" t="s">
        <v>491</v>
      </c>
      <c r="C457" s="6" t="s">
        <v>384</v>
      </c>
      <c r="D457" s="31" t="s">
        <v>124</v>
      </c>
      <c r="E457" s="34">
        <v>3</v>
      </c>
      <c r="F457" s="22" t="s">
        <v>265</v>
      </c>
    </row>
    <row r="458" spans="1:6">
      <c r="A458" s="28" t="s">
        <v>452</v>
      </c>
      <c r="B458" s="33" t="s">
        <v>492</v>
      </c>
      <c r="C458" s="6" t="s">
        <v>384</v>
      </c>
      <c r="D458" s="31" t="s">
        <v>124</v>
      </c>
      <c r="E458" s="34">
        <v>3</v>
      </c>
      <c r="F458" s="22" t="s">
        <v>265</v>
      </c>
    </row>
    <row r="459" spans="1:6">
      <c r="A459" s="28" t="s">
        <v>452</v>
      </c>
      <c r="B459" s="33" t="s">
        <v>493</v>
      </c>
      <c r="C459" s="6" t="s">
        <v>384</v>
      </c>
      <c r="D459" s="31" t="s">
        <v>124</v>
      </c>
      <c r="E459" s="34">
        <v>9.5</v>
      </c>
      <c r="F459" s="22" t="s">
        <v>265</v>
      </c>
    </row>
    <row r="460" spans="1:6">
      <c r="A460" s="28" t="s">
        <v>452</v>
      </c>
      <c r="B460" s="33" t="s">
        <v>494</v>
      </c>
      <c r="C460" s="6" t="s">
        <v>384</v>
      </c>
      <c r="D460" s="31" t="s">
        <v>124</v>
      </c>
      <c r="E460" s="34">
        <v>24</v>
      </c>
      <c r="F460" s="22" t="s">
        <v>265</v>
      </c>
    </row>
    <row r="461" spans="1:6">
      <c r="A461" s="28" t="s">
        <v>452</v>
      </c>
      <c r="B461" s="33" t="s">
        <v>495</v>
      </c>
      <c r="C461" s="6" t="s">
        <v>384</v>
      </c>
      <c r="D461" s="31" t="s">
        <v>124</v>
      </c>
      <c r="E461" s="34">
        <v>6</v>
      </c>
      <c r="F461" s="22" t="s">
        <v>265</v>
      </c>
    </row>
    <row r="462" spans="1:6">
      <c r="A462" s="28" t="s">
        <v>452</v>
      </c>
      <c r="B462" s="33" t="s">
        <v>429</v>
      </c>
      <c r="C462" s="6" t="s">
        <v>384</v>
      </c>
      <c r="D462" s="31" t="s">
        <v>399</v>
      </c>
      <c r="E462" s="34">
        <v>1.5</v>
      </c>
      <c r="F462" s="22" t="s">
        <v>265</v>
      </c>
    </row>
    <row r="463" spans="1:6">
      <c r="A463" s="28" t="s">
        <v>452</v>
      </c>
      <c r="B463" s="33" t="s">
        <v>496</v>
      </c>
      <c r="C463" s="6" t="s">
        <v>384</v>
      </c>
      <c r="D463" s="31" t="s">
        <v>124</v>
      </c>
      <c r="E463" s="34">
        <v>7.5</v>
      </c>
      <c r="F463" s="22" t="s">
        <v>265</v>
      </c>
    </row>
    <row r="464" spans="1:6">
      <c r="A464" s="28" t="s">
        <v>452</v>
      </c>
      <c r="B464" s="33" t="s">
        <v>390</v>
      </c>
      <c r="C464" s="6" t="s">
        <v>384</v>
      </c>
      <c r="D464" s="31" t="s">
        <v>124</v>
      </c>
      <c r="E464" s="34">
        <v>5</v>
      </c>
      <c r="F464" s="22" t="s">
        <v>265</v>
      </c>
    </row>
    <row r="465" spans="1:6">
      <c r="A465" s="28" t="s">
        <v>452</v>
      </c>
      <c r="B465" s="33" t="s">
        <v>389</v>
      </c>
      <c r="C465" s="6" t="s">
        <v>384</v>
      </c>
      <c r="D465" s="31" t="s">
        <v>124</v>
      </c>
      <c r="E465" s="34">
        <v>8</v>
      </c>
      <c r="F465" s="22" t="s">
        <v>265</v>
      </c>
    </row>
    <row r="466" spans="1:6">
      <c r="A466" s="28" t="s">
        <v>452</v>
      </c>
      <c r="B466" s="33" t="s">
        <v>497</v>
      </c>
      <c r="C466" s="6" t="s">
        <v>384</v>
      </c>
      <c r="D466" s="31" t="s">
        <v>124</v>
      </c>
      <c r="E466" s="34">
        <v>6</v>
      </c>
      <c r="F466" s="22" t="s">
        <v>265</v>
      </c>
    </row>
    <row r="467" spans="1:6">
      <c r="A467" s="28" t="s">
        <v>452</v>
      </c>
      <c r="B467" s="33" t="s">
        <v>498</v>
      </c>
      <c r="C467" s="6" t="s">
        <v>384</v>
      </c>
      <c r="D467" s="31" t="s">
        <v>124</v>
      </c>
      <c r="E467" s="34">
        <v>105</v>
      </c>
      <c r="F467" s="22" t="s">
        <v>265</v>
      </c>
    </row>
    <row r="468" spans="1:6">
      <c r="A468" s="28" t="s">
        <v>452</v>
      </c>
      <c r="B468" s="33" t="s">
        <v>499</v>
      </c>
      <c r="C468" s="6" t="s">
        <v>384</v>
      </c>
      <c r="D468" s="31" t="s">
        <v>399</v>
      </c>
      <c r="E468" s="34">
        <v>6</v>
      </c>
      <c r="F468" s="22" t="s">
        <v>265</v>
      </c>
    </row>
    <row r="469" spans="1:6">
      <c r="A469" s="28" t="s">
        <v>452</v>
      </c>
      <c r="B469" s="33" t="s">
        <v>402</v>
      </c>
      <c r="C469" s="6" t="s">
        <v>384</v>
      </c>
      <c r="D469" s="31" t="s">
        <v>124</v>
      </c>
      <c r="E469" s="34">
        <v>1.5</v>
      </c>
      <c r="F469" s="22" t="s">
        <v>265</v>
      </c>
    </row>
    <row r="470" spans="1:6">
      <c r="A470" s="28" t="s">
        <v>452</v>
      </c>
      <c r="B470" s="33" t="s">
        <v>500</v>
      </c>
      <c r="C470" s="6" t="s">
        <v>384</v>
      </c>
      <c r="D470" s="31" t="s">
        <v>124</v>
      </c>
      <c r="E470" s="34">
        <v>10</v>
      </c>
      <c r="F470" s="22" t="s">
        <v>265</v>
      </c>
    </row>
    <row r="471" spans="1:6">
      <c r="A471" s="28" t="s">
        <v>452</v>
      </c>
      <c r="B471" s="33" t="s">
        <v>501</v>
      </c>
      <c r="C471" s="6" t="s">
        <v>384</v>
      </c>
      <c r="D471" s="31" t="s">
        <v>124</v>
      </c>
      <c r="E471" s="34">
        <v>10</v>
      </c>
      <c r="F471" s="22" t="s">
        <v>265</v>
      </c>
    </row>
    <row r="472" spans="1:6">
      <c r="A472" s="28" t="s">
        <v>452</v>
      </c>
      <c r="B472" s="33" t="s">
        <v>502</v>
      </c>
      <c r="C472" s="6" t="s">
        <v>384</v>
      </c>
      <c r="D472" s="31" t="s">
        <v>124</v>
      </c>
      <c r="E472" s="34">
        <v>10</v>
      </c>
      <c r="F472" s="22" t="s">
        <v>265</v>
      </c>
    </row>
    <row r="473" spans="1:6">
      <c r="A473" s="28" t="s">
        <v>452</v>
      </c>
      <c r="B473" s="33" t="s">
        <v>503</v>
      </c>
      <c r="C473" s="6" t="s">
        <v>384</v>
      </c>
      <c r="D473" s="31" t="s">
        <v>124</v>
      </c>
      <c r="E473" s="34">
        <v>395</v>
      </c>
      <c r="F473" s="22" t="s">
        <v>265</v>
      </c>
    </row>
    <row r="474" spans="1:6">
      <c r="A474" s="28" t="s">
        <v>452</v>
      </c>
      <c r="B474" s="33" t="s">
        <v>504</v>
      </c>
      <c r="C474" s="6" t="s">
        <v>384</v>
      </c>
      <c r="D474" s="31" t="s">
        <v>124</v>
      </c>
      <c r="E474" s="34">
        <v>75</v>
      </c>
      <c r="F474" s="22" t="s">
        <v>265</v>
      </c>
    </row>
    <row r="475" spans="1:6">
      <c r="A475" s="28" t="s">
        <v>452</v>
      </c>
      <c r="B475" s="33" t="s">
        <v>505</v>
      </c>
      <c r="C475" s="6" t="s">
        <v>384</v>
      </c>
      <c r="D475" s="31" t="s">
        <v>408</v>
      </c>
      <c r="E475" s="34">
        <v>2.75</v>
      </c>
      <c r="F475" s="22" t="s">
        <v>265</v>
      </c>
    </row>
    <row r="476" spans="1:6">
      <c r="A476" s="28" t="s">
        <v>452</v>
      </c>
      <c r="B476" s="33" t="s">
        <v>506</v>
      </c>
      <c r="C476" s="6" t="s">
        <v>384</v>
      </c>
      <c r="D476" s="31" t="s">
        <v>124</v>
      </c>
      <c r="E476" s="34">
        <v>0.5</v>
      </c>
      <c r="F476" s="22" t="s">
        <v>265</v>
      </c>
    </row>
    <row r="477" spans="1:6">
      <c r="A477" s="28" t="s">
        <v>452</v>
      </c>
      <c r="B477" s="33" t="s">
        <v>507</v>
      </c>
      <c r="C477" s="6" t="s">
        <v>384</v>
      </c>
      <c r="D477" s="31" t="s">
        <v>124</v>
      </c>
      <c r="E477" s="34">
        <v>11</v>
      </c>
      <c r="F477" s="22" t="s">
        <v>265</v>
      </c>
    </row>
    <row r="478" spans="1:6">
      <c r="A478" s="28" t="s">
        <v>452</v>
      </c>
      <c r="B478" s="33" t="s">
        <v>508</v>
      </c>
      <c r="C478" s="6" t="s">
        <v>384</v>
      </c>
      <c r="D478" s="31" t="s">
        <v>124</v>
      </c>
      <c r="E478" s="34">
        <v>3.5</v>
      </c>
      <c r="F478" s="22" t="s">
        <v>265</v>
      </c>
    </row>
    <row r="479" spans="1:6">
      <c r="A479" s="28" t="s">
        <v>452</v>
      </c>
      <c r="B479" s="33" t="s">
        <v>509</v>
      </c>
      <c r="C479" s="6" t="s">
        <v>384</v>
      </c>
      <c r="D479" s="31" t="s">
        <v>124</v>
      </c>
      <c r="E479" s="34">
        <v>42</v>
      </c>
      <c r="F479" s="22" t="s">
        <v>265</v>
      </c>
    </row>
    <row r="480" spans="1:6">
      <c r="A480" s="28" t="s">
        <v>452</v>
      </c>
      <c r="B480" s="33" t="s">
        <v>485</v>
      </c>
      <c r="C480" s="6" t="s">
        <v>384</v>
      </c>
      <c r="D480" s="31" t="s">
        <v>124</v>
      </c>
      <c r="E480" s="34">
        <v>15</v>
      </c>
      <c r="F480" s="22" t="s">
        <v>265</v>
      </c>
    </row>
    <row r="481" spans="1:6">
      <c r="A481" s="28" t="s">
        <v>452</v>
      </c>
      <c r="B481" s="33" t="s">
        <v>510</v>
      </c>
      <c r="C481" s="6" t="s">
        <v>384</v>
      </c>
      <c r="D481" s="31" t="s">
        <v>124</v>
      </c>
      <c r="E481" s="34">
        <v>3.75</v>
      </c>
      <c r="F481" s="22" t="s">
        <v>265</v>
      </c>
    </row>
    <row r="482" spans="1:6">
      <c r="A482" s="28" t="s">
        <v>452</v>
      </c>
      <c r="B482" s="33" t="s">
        <v>511</v>
      </c>
      <c r="C482" s="6" t="s">
        <v>384</v>
      </c>
      <c r="D482" s="31" t="s">
        <v>124</v>
      </c>
      <c r="E482" s="34">
        <v>36</v>
      </c>
      <c r="F482" s="22" t="s">
        <v>265</v>
      </c>
    </row>
    <row r="483" spans="1:6">
      <c r="A483" s="28" t="s">
        <v>452</v>
      </c>
      <c r="B483" s="33" t="s">
        <v>512</v>
      </c>
      <c r="C483" s="6" t="s">
        <v>384</v>
      </c>
      <c r="D483" s="31" t="s">
        <v>124</v>
      </c>
      <c r="E483" s="34">
        <v>26</v>
      </c>
      <c r="F483" s="22" t="s">
        <v>265</v>
      </c>
    </row>
    <row r="484" spans="1:6">
      <c r="A484" s="28" t="s">
        <v>452</v>
      </c>
      <c r="B484" s="33" t="s">
        <v>496</v>
      </c>
      <c r="C484" s="6" t="s">
        <v>384</v>
      </c>
      <c r="D484" s="31" t="s">
        <v>124</v>
      </c>
      <c r="E484" s="34">
        <v>1.25</v>
      </c>
      <c r="F484" s="22" t="s">
        <v>265</v>
      </c>
    </row>
    <row r="485" spans="1:6">
      <c r="A485" s="28" t="s">
        <v>452</v>
      </c>
      <c r="B485" s="33" t="s">
        <v>513</v>
      </c>
      <c r="C485" s="6" t="s">
        <v>384</v>
      </c>
      <c r="D485" s="31" t="s">
        <v>124</v>
      </c>
      <c r="E485" s="34">
        <v>10.5</v>
      </c>
      <c r="F485" s="22" t="s">
        <v>265</v>
      </c>
    </row>
    <row r="486" spans="1:6">
      <c r="A486" s="28" t="s">
        <v>452</v>
      </c>
      <c r="B486" s="33" t="s">
        <v>514</v>
      </c>
      <c r="C486" s="6" t="s">
        <v>384</v>
      </c>
      <c r="D486" s="31" t="s">
        <v>124</v>
      </c>
      <c r="E486" s="34">
        <v>25</v>
      </c>
      <c r="F486" s="22" t="s">
        <v>265</v>
      </c>
    </row>
    <row r="487" spans="1:6">
      <c r="B487" s="7" t="s">
        <v>515</v>
      </c>
    </row>
    <row r="488" spans="1:6">
      <c r="A488" s="11" t="s">
        <v>1</v>
      </c>
      <c r="B488" s="12" t="s">
        <v>2</v>
      </c>
      <c r="C488" s="13" t="s">
        <v>3</v>
      </c>
      <c r="D488" s="14" t="s">
        <v>4</v>
      </c>
      <c r="E488" s="15" t="s">
        <v>5</v>
      </c>
      <c r="F488" s="6"/>
    </row>
    <row r="489" spans="1:6">
      <c r="A489" s="28" t="s">
        <v>515</v>
      </c>
      <c r="B489" s="33" t="s">
        <v>516</v>
      </c>
      <c r="C489" s="6" t="s">
        <v>517</v>
      </c>
      <c r="D489" s="31" t="s">
        <v>124</v>
      </c>
      <c r="E489" s="34">
        <v>12</v>
      </c>
      <c r="F489" s="22" t="s">
        <v>265</v>
      </c>
    </row>
    <row r="490" spans="1:6">
      <c r="A490" s="28" t="s">
        <v>515</v>
      </c>
      <c r="B490" s="33" t="s">
        <v>518</v>
      </c>
      <c r="C490" s="6" t="s">
        <v>517</v>
      </c>
      <c r="D490" s="31" t="s">
        <v>399</v>
      </c>
      <c r="E490" s="34">
        <v>22</v>
      </c>
      <c r="F490" s="22" t="s">
        <v>265</v>
      </c>
    </row>
    <row r="491" spans="1:6">
      <c r="A491" s="28" t="s">
        <v>515</v>
      </c>
      <c r="B491" s="33" t="s">
        <v>519</v>
      </c>
      <c r="C491" s="6" t="s">
        <v>517</v>
      </c>
      <c r="D491" s="31" t="s">
        <v>399</v>
      </c>
      <c r="E491" s="34">
        <v>36</v>
      </c>
      <c r="F491" s="22" t="s">
        <v>265</v>
      </c>
    </row>
    <row r="492" spans="1:6">
      <c r="A492" s="28" t="s">
        <v>515</v>
      </c>
      <c r="B492" s="33" t="s">
        <v>520</v>
      </c>
      <c r="C492" s="6" t="s">
        <v>517</v>
      </c>
      <c r="D492" s="31" t="s">
        <v>399</v>
      </c>
      <c r="E492" s="34">
        <v>8.5</v>
      </c>
      <c r="F492" s="22" t="s">
        <v>265</v>
      </c>
    </row>
    <row r="493" spans="1:6">
      <c r="A493" s="28" t="s">
        <v>515</v>
      </c>
      <c r="B493" s="33" t="s">
        <v>521</v>
      </c>
      <c r="C493" s="6" t="s">
        <v>517</v>
      </c>
      <c r="D493" s="31" t="s">
        <v>522</v>
      </c>
      <c r="E493" s="34">
        <v>235</v>
      </c>
      <c r="F493" s="22" t="s">
        <v>265</v>
      </c>
    </row>
    <row r="494" spans="1:6">
      <c r="A494" s="28" t="s">
        <v>515</v>
      </c>
      <c r="B494" s="33" t="s">
        <v>523</v>
      </c>
      <c r="C494" s="6" t="s">
        <v>517</v>
      </c>
      <c r="D494" s="31" t="s">
        <v>524</v>
      </c>
      <c r="E494" s="34">
        <v>18</v>
      </c>
      <c r="F494" s="22" t="s">
        <v>265</v>
      </c>
    </row>
    <row r="495" spans="1:6">
      <c r="A495" s="28" t="s">
        <v>515</v>
      </c>
      <c r="B495" s="33" t="s">
        <v>525</v>
      </c>
      <c r="C495" s="6" t="s">
        <v>517</v>
      </c>
      <c r="D495" s="31" t="s">
        <v>124</v>
      </c>
      <c r="E495" s="34">
        <v>75</v>
      </c>
      <c r="F495" s="22" t="s">
        <v>265</v>
      </c>
    </row>
    <row r="496" spans="1:6">
      <c r="A496" s="28" t="s">
        <v>515</v>
      </c>
      <c r="B496" s="33" t="s">
        <v>526</v>
      </c>
      <c r="C496" s="6" t="s">
        <v>517</v>
      </c>
      <c r="D496" s="31" t="s">
        <v>524</v>
      </c>
      <c r="E496" s="34">
        <v>20</v>
      </c>
      <c r="F496" s="22" t="s">
        <v>265</v>
      </c>
    </row>
    <row r="497" spans="1:6">
      <c r="A497" s="28" t="s">
        <v>515</v>
      </c>
      <c r="B497" s="33" t="s">
        <v>527</v>
      </c>
      <c r="C497" s="6" t="s">
        <v>517</v>
      </c>
      <c r="D497" s="31" t="s">
        <v>124</v>
      </c>
      <c r="E497" s="34">
        <v>18</v>
      </c>
      <c r="F497" s="22" t="s">
        <v>265</v>
      </c>
    </row>
    <row r="498" spans="1:6">
      <c r="A498" s="28" t="s">
        <v>515</v>
      </c>
      <c r="B498" s="33" t="s">
        <v>528</v>
      </c>
      <c r="C498" s="6" t="s">
        <v>517</v>
      </c>
      <c r="D498" s="31" t="s">
        <v>399</v>
      </c>
      <c r="E498" s="34">
        <v>275</v>
      </c>
      <c r="F498" s="22" t="s">
        <v>265</v>
      </c>
    </row>
    <row r="499" spans="1:6">
      <c r="A499" s="28" t="s">
        <v>515</v>
      </c>
      <c r="B499" s="33" t="s">
        <v>529</v>
      </c>
      <c r="C499" s="6" t="s">
        <v>517</v>
      </c>
      <c r="D499" s="31" t="s">
        <v>124</v>
      </c>
      <c r="E499" s="34">
        <v>38</v>
      </c>
      <c r="F499" s="22" t="s">
        <v>265</v>
      </c>
    </row>
    <row r="500" spans="1:6">
      <c r="A500" s="28" t="s">
        <v>515</v>
      </c>
      <c r="B500" s="33" t="s">
        <v>530</v>
      </c>
      <c r="C500" s="6" t="s">
        <v>517</v>
      </c>
      <c r="D500" s="31" t="s">
        <v>124</v>
      </c>
      <c r="E500" s="34">
        <v>2</v>
      </c>
      <c r="F500" s="22" t="s">
        <v>265</v>
      </c>
    </row>
    <row r="501" spans="1:6">
      <c r="A501" s="28" t="s">
        <v>515</v>
      </c>
      <c r="B501" s="33" t="s">
        <v>531</v>
      </c>
      <c r="C501" s="6" t="s">
        <v>517</v>
      </c>
      <c r="D501" s="31" t="s">
        <v>532</v>
      </c>
      <c r="E501" s="34">
        <v>6.5</v>
      </c>
      <c r="F501" s="22" t="s">
        <v>265</v>
      </c>
    </row>
    <row r="502" spans="1:6">
      <c r="A502" s="28" t="s">
        <v>515</v>
      </c>
      <c r="B502" s="33" t="s">
        <v>3310</v>
      </c>
      <c r="C502" s="6" t="s">
        <v>517</v>
      </c>
      <c r="D502" s="31" t="s">
        <v>124</v>
      </c>
      <c r="E502" s="34">
        <v>1</v>
      </c>
      <c r="F502" s="22" t="s">
        <v>265</v>
      </c>
    </row>
    <row r="503" spans="1:6">
      <c r="A503" s="28" t="s">
        <v>515</v>
      </c>
      <c r="B503" s="33" t="s">
        <v>3311</v>
      </c>
      <c r="C503" s="6" t="s">
        <v>517</v>
      </c>
      <c r="D503" s="31" t="s">
        <v>524</v>
      </c>
      <c r="E503" s="34">
        <v>68</v>
      </c>
      <c r="F503" s="22" t="s">
        <v>265</v>
      </c>
    </row>
    <row r="504" spans="1:6">
      <c r="A504" s="28" t="s">
        <v>515</v>
      </c>
      <c r="B504" s="33" t="s">
        <v>530</v>
      </c>
      <c r="C504" s="6" t="s">
        <v>517</v>
      </c>
      <c r="D504" s="31" t="s">
        <v>399</v>
      </c>
      <c r="E504" s="34">
        <v>24</v>
      </c>
      <c r="F504" s="22" t="s">
        <v>265</v>
      </c>
    </row>
    <row r="505" spans="1:6">
      <c r="A505" s="28" t="s">
        <v>515</v>
      </c>
      <c r="B505" s="33" t="s">
        <v>535</v>
      </c>
      <c r="C505" s="6" t="s">
        <v>517</v>
      </c>
      <c r="D505" s="31" t="s">
        <v>124</v>
      </c>
      <c r="E505" s="34">
        <v>22</v>
      </c>
      <c r="F505" s="22" t="s">
        <v>265</v>
      </c>
    </row>
    <row r="506" spans="1:6">
      <c r="A506" s="28" t="s">
        <v>515</v>
      </c>
      <c r="B506" s="33" t="s">
        <v>536</v>
      </c>
      <c r="C506" s="6" t="s">
        <v>517</v>
      </c>
      <c r="D506" s="31" t="s">
        <v>399</v>
      </c>
      <c r="E506" s="34">
        <v>32</v>
      </c>
      <c r="F506" s="22" t="s">
        <v>265</v>
      </c>
    </row>
    <row r="507" spans="1:6">
      <c r="A507" s="28" t="s">
        <v>515</v>
      </c>
      <c r="B507" s="33" t="s">
        <v>537</v>
      </c>
      <c r="C507" s="6" t="s">
        <v>517</v>
      </c>
      <c r="D507" s="31" t="s">
        <v>399</v>
      </c>
      <c r="E507" s="34">
        <v>6</v>
      </c>
      <c r="F507" s="22" t="s">
        <v>265</v>
      </c>
    </row>
    <row r="508" spans="1:6">
      <c r="A508" s="28" t="s">
        <v>515</v>
      </c>
      <c r="B508" s="33" t="s">
        <v>3312</v>
      </c>
      <c r="C508" s="6" t="s">
        <v>517</v>
      </c>
      <c r="D508" s="31" t="s">
        <v>399</v>
      </c>
      <c r="E508" s="34">
        <v>18</v>
      </c>
      <c r="F508" s="22" t="s">
        <v>265</v>
      </c>
    </row>
    <row r="509" spans="1:6">
      <c r="A509" s="28" t="s">
        <v>515</v>
      </c>
      <c r="B509" s="33" t="s">
        <v>539</v>
      </c>
      <c r="C509" s="6" t="s">
        <v>517</v>
      </c>
      <c r="D509" s="31" t="s">
        <v>399</v>
      </c>
      <c r="E509" s="34">
        <v>2.5</v>
      </c>
      <c r="F509" s="22" t="s">
        <v>265</v>
      </c>
    </row>
    <row r="510" spans="1:6">
      <c r="A510" s="28" t="s">
        <v>515</v>
      </c>
      <c r="B510" s="33" t="s">
        <v>540</v>
      </c>
      <c r="C510" s="6" t="s">
        <v>517</v>
      </c>
      <c r="D510" s="31" t="s">
        <v>399</v>
      </c>
      <c r="E510" s="34">
        <v>6.5</v>
      </c>
      <c r="F510" s="22" t="s">
        <v>265</v>
      </c>
    </row>
    <row r="511" spans="1:6">
      <c r="A511" s="28" t="s">
        <v>515</v>
      </c>
      <c r="B511" s="33" t="s">
        <v>541</v>
      </c>
      <c r="C511" s="6" t="s">
        <v>517</v>
      </c>
      <c r="D511" s="31" t="s">
        <v>399</v>
      </c>
      <c r="E511" s="34">
        <v>13</v>
      </c>
      <c r="F511" s="22" t="s">
        <v>265</v>
      </c>
    </row>
    <row r="512" spans="1:6">
      <c r="A512" s="28" t="s">
        <v>515</v>
      </c>
      <c r="B512" s="33" t="s">
        <v>542</v>
      </c>
      <c r="C512" s="6" t="s">
        <v>517</v>
      </c>
      <c r="D512" s="31" t="s">
        <v>399</v>
      </c>
      <c r="E512" s="34">
        <v>3</v>
      </c>
      <c r="F512" s="22" t="s">
        <v>265</v>
      </c>
    </row>
    <row r="513" spans="1:6">
      <c r="A513" s="28" t="s">
        <v>515</v>
      </c>
      <c r="B513" s="33" t="s">
        <v>3313</v>
      </c>
      <c r="C513" s="6" t="s">
        <v>517</v>
      </c>
      <c r="D513" s="31" t="s">
        <v>399</v>
      </c>
      <c r="E513" s="34">
        <v>18</v>
      </c>
      <c r="F513" s="22" t="s">
        <v>265</v>
      </c>
    </row>
    <row r="514" spans="1:6">
      <c r="A514" s="28" t="s">
        <v>515</v>
      </c>
      <c r="B514" s="33" t="s">
        <v>537</v>
      </c>
      <c r="C514" s="6" t="s">
        <v>517</v>
      </c>
      <c r="D514" s="31" t="s">
        <v>399</v>
      </c>
      <c r="E514" s="34">
        <v>6</v>
      </c>
      <c r="F514" s="22" t="s">
        <v>265</v>
      </c>
    </row>
    <row r="515" spans="1:6">
      <c r="A515" s="28" t="s">
        <v>515</v>
      </c>
      <c r="B515" s="33" t="s">
        <v>544</v>
      </c>
      <c r="C515" s="6" t="s">
        <v>517</v>
      </c>
      <c r="D515" s="31" t="s">
        <v>124</v>
      </c>
      <c r="E515" s="34">
        <v>2</v>
      </c>
      <c r="F515" s="22" t="s">
        <v>265</v>
      </c>
    </row>
    <row r="516" spans="1:6">
      <c r="A516" s="28" t="s">
        <v>515</v>
      </c>
      <c r="B516" s="33" t="s">
        <v>545</v>
      </c>
      <c r="C516" s="6" t="s">
        <v>517</v>
      </c>
      <c r="D516" s="31" t="s">
        <v>124</v>
      </c>
      <c r="E516" s="34">
        <v>11</v>
      </c>
      <c r="F516" s="22" t="s">
        <v>265</v>
      </c>
    </row>
    <row r="517" spans="1:6">
      <c r="A517" s="28" t="s">
        <v>515</v>
      </c>
      <c r="B517" s="33" t="s">
        <v>546</v>
      </c>
      <c r="C517" s="6" t="s">
        <v>517</v>
      </c>
      <c r="D517" s="31" t="s">
        <v>124</v>
      </c>
      <c r="E517" s="34">
        <v>105</v>
      </c>
      <c r="F517" s="22" t="s">
        <v>265</v>
      </c>
    </row>
    <row r="518" spans="1:6">
      <c r="A518" s="28" t="s">
        <v>515</v>
      </c>
      <c r="B518" s="33" t="s">
        <v>3314</v>
      </c>
      <c r="C518" s="6" t="s">
        <v>517</v>
      </c>
      <c r="D518" s="31" t="s">
        <v>547</v>
      </c>
      <c r="E518" s="34">
        <v>3</v>
      </c>
      <c r="F518" s="22" t="s">
        <v>265</v>
      </c>
    </row>
    <row r="519" spans="1:6">
      <c r="A519" s="28" t="s">
        <v>515</v>
      </c>
      <c r="B519" s="33" t="s">
        <v>530</v>
      </c>
      <c r="C519" s="6" t="s">
        <v>517</v>
      </c>
      <c r="D519" s="31" t="s">
        <v>399</v>
      </c>
      <c r="E519" s="34">
        <v>24</v>
      </c>
      <c r="F519" s="22" t="s">
        <v>265</v>
      </c>
    </row>
    <row r="520" spans="1:6">
      <c r="A520" s="28" t="s">
        <v>515</v>
      </c>
      <c r="B520" s="33" t="s">
        <v>548</v>
      </c>
      <c r="C520" s="6" t="s">
        <v>517</v>
      </c>
      <c r="D520" s="31" t="s">
        <v>399</v>
      </c>
      <c r="E520" s="34">
        <v>3.75</v>
      </c>
      <c r="F520" s="22" t="s">
        <v>265</v>
      </c>
    </row>
    <row r="521" spans="1:6">
      <c r="A521" s="28" t="s">
        <v>515</v>
      </c>
      <c r="B521" s="33" t="s">
        <v>540</v>
      </c>
      <c r="C521" s="6" t="s">
        <v>517</v>
      </c>
      <c r="D521" s="31" t="s">
        <v>399</v>
      </c>
      <c r="E521" s="34">
        <v>5.75</v>
      </c>
      <c r="F521" s="22" t="s">
        <v>265</v>
      </c>
    </row>
    <row r="522" spans="1:6">
      <c r="A522" s="28" t="s">
        <v>515</v>
      </c>
      <c r="B522" s="33" t="s">
        <v>3311</v>
      </c>
      <c r="C522" s="6" t="s">
        <v>517</v>
      </c>
      <c r="D522" s="31" t="s">
        <v>524</v>
      </c>
      <c r="E522" s="34">
        <v>68</v>
      </c>
      <c r="F522" s="22" t="s">
        <v>265</v>
      </c>
    </row>
    <row r="523" spans="1:6">
      <c r="A523" s="28" t="s">
        <v>515</v>
      </c>
      <c r="B523" s="33" t="s">
        <v>3315</v>
      </c>
      <c r="C523" s="6" t="s">
        <v>517</v>
      </c>
      <c r="D523" s="31" t="s">
        <v>524</v>
      </c>
      <c r="E523" s="34">
        <v>165</v>
      </c>
      <c r="F523" s="22" t="s">
        <v>265</v>
      </c>
    </row>
    <row r="524" spans="1:6">
      <c r="A524" s="28" t="s">
        <v>515</v>
      </c>
      <c r="B524" s="33" t="s">
        <v>550</v>
      </c>
      <c r="C524" s="6" t="s">
        <v>517</v>
      </c>
      <c r="D524" s="31" t="s">
        <v>124</v>
      </c>
      <c r="E524" s="34">
        <v>3</v>
      </c>
      <c r="F524" s="22" t="s">
        <v>265</v>
      </c>
    </row>
    <row r="525" spans="1:6">
      <c r="A525" s="28" t="s">
        <v>515</v>
      </c>
      <c r="B525" s="33" t="s">
        <v>3311</v>
      </c>
      <c r="C525" s="6" t="s">
        <v>517</v>
      </c>
      <c r="D525" s="31" t="s">
        <v>524</v>
      </c>
      <c r="E525" s="34">
        <v>62</v>
      </c>
      <c r="F525" s="22" t="s">
        <v>265</v>
      </c>
    </row>
    <row r="526" spans="1:6">
      <c r="A526" s="28" t="s">
        <v>515</v>
      </c>
      <c r="B526" s="33" t="s">
        <v>3316</v>
      </c>
      <c r="C526" s="6" t="s">
        <v>517</v>
      </c>
      <c r="D526" s="31" t="s">
        <v>522</v>
      </c>
      <c r="E526" s="34">
        <v>204</v>
      </c>
      <c r="F526" s="22" t="s">
        <v>265</v>
      </c>
    </row>
    <row r="527" spans="1:6">
      <c r="A527" s="28" t="s">
        <v>515</v>
      </c>
      <c r="B527" s="33" t="s">
        <v>3314</v>
      </c>
      <c r="C527" s="6" t="s">
        <v>517</v>
      </c>
      <c r="D527" s="31" t="s">
        <v>399</v>
      </c>
      <c r="E527" s="34">
        <v>30</v>
      </c>
      <c r="F527" s="22" t="s">
        <v>265</v>
      </c>
    </row>
    <row r="528" spans="1:6">
      <c r="A528" s="28" t="s">
        <v>515</v>
      </c>
      <c r="B528" s="33" t="s">
        <v>551</v>
      </c>
      <c r="C528" s="6" t="s">
        <v>517</v>
      </c>
      <c r="D528" s="31" t="s">
        <v>124</v>
      </c>
      <c r="E528" s="34">
        <v>9</v>
      </c>
      <c r="F528" s="22" t="s">
        <v>265</v>
      </c>
    </row>
    <row r="529" spans="1:6">
      <c r="A529" s="28" t="s">
        <v>515</v>
      </c>
      <c r="B529" s="33" t="s">
        <v>552</v>
      </c>
      <c r="C529" s="6" t="s">
        <v>517</v>
      </c>
      <c r="D529" s="31" t="s">
        <v>124</v>
      </c>
      <c r="E529" s="34">
        <v>3.5</v>
      </c>
      <c r="F529" s="22" t="s">
        <v>265</v>
      </c>
    </row>
    <row r="530" spans="1:6">
      <c r="A530" s="28" t="s">
        <v>515</v>
      </c>
      <c r="B530" s="33" t="s">
        <v>3317</v>
      </c>
      <c r="C530" s="6" t="s">
        <v>517</v>
      </c>
      <c r="D530" s="31" t="s">
        <v>124</v>
      </c>
      <c r="E530" s="34">
        <v>13</v>
      </c>
      <c r="F530" s="22" t="s">
        <v>265</v>
      </c>
    </row>
    <row r="531" spans="1:6">
      <c r="A531" s="28" t="s">
        <v>515</v>
      </c>
      <c r="B531" s="33" t="s">
        <v>3318</v>
      </c>
      <c r="C531" s="6" t="s">
        <v>517</v>
      </c>
      <c r="D531" s="31" t="s">
        <v>124</v>
      </c>
      <c r="E531" s="34">
        <v>6.5</v>
      </c>
      <c r="F531" s="22" t="s">
        <v>265</v>
      </c>
    </row>
    <row r="532" spans="1:6">
      <c r="A532" s="28" t="s">
        <v>515</v>
      </c>
      <c r="B532" s="33" t="s">
        <v>3319</v>
      </c>
      <c r="C532" s="6" t="s">
        <v>517</v>
      </c>
      <c r="D532" s="31" t="s">
        <v>399</v>
      </c>
      <c r="E532" s="34">
        <v>38</v>
      </c>
      <c r="F532" s="22" t="s">
        <v>265</v>
      </c>
    </row>
    <row r="533" spans="1:6">
      <c r="A533" s="28" t="s">
        <v>515</v>
      </c>
      <c r="B533" s="33" t="s">
        <v>3320</v>
      </c>
      <c r="C533" s="6" t="s">
        <v>517</v>
      </c>
      <c r="D533" s="31" t="s">
        <v>399</v>
      </c>
      <c r="E533" s="34">
        <v>38</v>
      </c>
      <c r="F533" s="22" t="s">
        <v>265</v>
      </c>
    </row>
    <row r="534" spans="1:6">
      <c r="A534" s="28" t="s">
        <v>515</v>
      </c>
      <c r="B534" s="33" t="s">
        <v>535</v>
      </c>
      <c r="C534" s="6" t="s">
        <v>517</v>
      </c>
      <c r="D534" s="31" t="s">
        <v>124</v>
      </c>
      <c r="E534" s="34">
        <v>21</v>
      </c>
      <c r="F534" s="22" t="s">
        <v>265</v>
      </c>
    </row>
    <row r="535" spans="1:6">
      <c r="A535" s="28" t="s">
        <v>515</v>
      </c>
      <c r="B535" s="33" t="s">
        <v>557</v>
      </c>
      <c r="C535" s="6" t="s">
        <v>517</v>
      </c>
      <c r="D535" s="31" t="s">
        <v>399</v>
      </c>
      <c r="E535" s="34">
        <v>68</v>
      </c>
      <c r="F535" s="22" t="s">
        <v>265</v>
      </c>
    </row>
    <row r="536" spans="1:6">
      <c r="A536" s="28" t="s">
        <v>515</v>
      </c>
      <c r="B536" s="33" t="s">
        <v>558</v>
      </c>
      <c r="C536" s="6" t="s">
        <v>517</v>
      </c>
      <c r="D536" s="31" t="s">
        <v>399</v>
      </c>
      <c r="E536" s="34">
        <v>35</v>
      </c>
      <c r="F536" s="22" t="s">
        <v>265</v>
      </c>
    </row>
    <row r="537" spans="1:6">
      <c r="A537" s="28" t="s">
        <v>515</v>
      </c>
      <c r="B537" s="33" t="s">
        <v>559</v>
      </c>
      <c r="C537" s="6" t="s">
        <v>517</v>
      </c>
      <c r="D537" s="31" t="s">
        <v>399</v>
      </c>
      <c r="E537" s="34">
        <v>48</v>
      </c>
      <c r="F537" s="22" t="s">
        <v>265</v>
      </c>
    </row>
    <row r="538" spans="1:6">
      <c r="A538" s="28" t="s">
        <v>515</v>
      </c>
      <c r="B538" s="33" t="s">
        <v>3321</v>
      </c>
      <c r="C538" s="6" t="s">
        <v>517</v>
      </c>
      <c r="D538" s="31" t="s">
        <v>399</v>
      </c>
      <c r="E538" s="34">
        <v>22</v>
      </c>
      <c r="F538" s="22" t="s">
        <v>265</v>
      </c>
    </row>
    <row r="539" spans="1:6">
      <c r="A539" s="28" t="s">
        <v>515</v>
      </c>
      <c r="B539" s="33" t="s">
        <v>3322</v>
      </c>
      <c r="C539" s="6" t="s">
        <v>517</v>
      </c>
      <c r="D539" s="31" t="s">
        <v>399</v>
      </c>
      <c r="E539" s="34">
        <v>13</v>
      </c>
      <c r="F539" s="22" t="s">
        <v>265</v>
      </c>
    </row>
    <row r="540" spans="1:6">
      <c r="A540" s="28" t="s">
        <v>515</v>
      </c>
      <c r="B540" s="33" t="s">
        <v>561</v>
      </c>
      <c r="C540" s="33" t="s">
        <v>562</v>
      </c>
      <c r="D540" s="31" t="s">
        <v>124</v>
      </c>
      <c r="E540" s="34">
        <v>4</v>
      </c>
      <c r="F540" s="22" t="s">
        <v>265</v>
      </c>
    </row>
    <row r="541" spans="1:6">
      <c r="A541" s="28" t="s">
        <v>515</v>
      </c>
      <c r="B541" s="33" t="s">
        <v>563</v>
      </c>
      <c r="C541" s="33" t="s">
        <v>562</v>
      </c>
      <c r="D541" s="31" t="s">
        <v>124</v>
      </c>
      <c r="E541" s="34">
        <v>1.5</v>
      </c>
      <c r="F541" s="22" t="s">
        <v>265</v>
      </c>
    </row>
    <row r="542" spans="1:6">
      <c r="A542" s="28" t="s">
        <v>515</v>
      </c>
      <c r="B542" s="33" t="s">
        <v>564</v>
      </c>
      <c r="C542" s="33" t="s">
        <v>562</v>
      </c>
      <c r="D542" s="31" t="s">
        <v>124</v>
      </c>
      <c r="E542" s="34">
        <v>2</v>
      </c>
      <c r="F542" s="22" t="s">
        <v>265</v>
      </c>
    </row>
    <row r="543" spans="1:6">
      <c r="A543" s="28" t="s">
        <v>515</v>
      </c>
      <c r="B543" s="33" t="s">
        <v>563</v>
      </c>
      <c r="C543" s="33" t="s">
        <v>562</v>
      </c>
      <c r="D543" s="31" t="s">
        <v>124</v>
      </c>
      <c r="E543" s="34">
        <v>0.5</v>
      </c>
      <c r="F543" s="22" t="s">
        <v>265</v>
      </c>
    </row>
    <row r="544" spans="1:6">
      <c r="A544" s="28" t="s">
        <v>515</v>
      </c>
      <c r="B544" s="33" t="s">
        <v>565</v>
      </c>
      <c r="C544" s="33" t="s">
        <v>562</v>
      </c>
      <c r="D544" s="31" t="s">
        <v>124</v>
      </c>
      <c r="E544" s="34">
        <v>2</v>
      </c>
      <c r="F544" s="22" t="s">
        <v>265</v>
      </c>
    </row>
    <row r="545" spans="1:6">
      <c r="A545" s="28" t="s">
        <v>515</v>
      </c>
      <c r="B545" s="33" t="s">
        <v>566</v>
      </c>
      <c r="C545" s="33" t="s">
        <v>562</v>
      </c>
      <c r="D545" s="31" t="s">
        <v>124</v>
      </c>
      <c r="E545" s="34">
        <v>2</v>
      </c>
      <c r="F545" s="22" t="s">
        <v>265</v>
      </c>
    </row>
    <row r="546" spans="1:6">
      <c r="A546" s="28" t="s">
        <v>515</v>
      </c>
      <c r="B546" s="33" t="s">
        <v>567</v>
      </c>
      <c r="C546" s="33" t="s">
        <v>562</v>
      </c>
      <c r="D546" s="31" t="s">
        <v>124</v>
      </c>
      <c r="E546" s="34">
        <v>1.5</v>
      </c>
      <c r="F546" s="22" t="s">
        <v>265</v>
      </c>
    </row>
    <row r="547" spans="1:6">
      <c r="A547" s="28" t="s">
        <v>515</v>
      </c>
      <c r="B547" s="33" t="s">
        <v>568</v>
      </c>
      <c r="C547" s="33" t="s">
        <v>562</v>
      </c>
      <c r="D547" s="31" t="s">
        <v>124</v>
      </c>
      <c r="E547" s="34">
        <v>0.8</v>
      </c>
      <c r="F547" s="22" t="s">
        <v>265</v>
      </c>
    </row>
    <row r="548" spans="1:6">
      <c r="A548" s="28" t="s">
        <v>515</v>
      </c>
      <c r="B548" s="33" t="s">
        <v>568</v>
      </c>
      <c r="C548" s="33" t="s">
        <v>562</v>
      </c>
      <c r="D548" s="31" t="s">
        <v>124</v>
      </c>
      <c r="E548" s="34">
        <v>0.7</v>
      </c>
      <c r="F548" s="22" t="s">
        <v>265</v>
      </c>
    </row>
    <row r="549" spans="1:6">
      <c r="A549" s="28" t="s">
        <v>515</v>
      </c>
      <c r="B549" s="33" t="s">
        <v>569</v>
      </c>
      <c r="C549" s="33" t="s">
        <v>562</v>
      </c>
      <c r="D549" s="31" t="s">
        <v>124</v>
      </c>
      <c r="E549" s="34">
        <v>0.6</v>
      </c>
      <c r="F549" s="22" t="s">
        <v>265</v>
      </c>
    </row>
    <row r="550" spans="1:6">
      <c r="A550" s="6" t="s">
        <v>570</v>
      </c>
      <c r="B550" s="33" t="s">
        <v>571</v>
      </c>
      <c r="C550" s="6" t="s">
        <v>572</v>
      </c>
      <c r="D550" s="31" t="s">
        <v>124</v>
      </c>
      <c r="E550" s="34">
        <v>350</v>
      </c>
      <c r="F550" s="22" t="s">
        <v>259</v>
      </c>
    </row>
    <row r="551" spans="1:6">
      <c r="A551" s="6"/>
      <c r="B551" s="7" t="s">
        <v>573</v>
      </c>
      <c r="C551" s="6"/>
      <c r="D551" s="9"/>
      <c r="E551" s="10"/>
      <c r="F551" s="6"/>
    </row>
    <row r="552" spans="1:6">
      <c r="A552" s="11" t="s">
        <v>1</v>
      </c>
      <c r="B552" s="12" t="s">
        <v>2</v>
      </c>
      <c r="C552" s="13" t="s">
        <v>3</v>
      </c>
      <c r="D552" s="14" t="s">
        <v>4</v>
      </c>
      <c r="E552" s="15" t="s">
        <v>5</v>
      </c>
      <c r="F552" s="6"/>
    </row>
    <row r="553" spans="1:6">
      <c r="A553" s="6" t="s">
        <v>573</v>
      </c>
      <c r="B553" s="6" t="s">
        <v>574</v>
      </c>
      <c r="C553" s="6" t="s">
        <v>575</v>
      </c>
      <c r="D553" s="9" t="s">
        <v>576</v>
      </c>
      <c r="E553" s="10">
        <v>19</v>
      </c>
      <c r="F553" s="22" t="s">
        <v>265</v>
      </c>
    </row>
    <row r="554" spans="1:6">
      <c r="A554" s="6"/>
      <c r="B554" s="29" t="s">
        <v>577</v>
      </c>
      <c r="C554" s="6"/>
      <c r="D554" s="9"/>
      <c r="E554" s="10"/>
      <c r="F554" s="6"/>
    </row>
    <row r="555" spans="1:6">
      <c r="A555" s="11" t="s">
        <v>1</v>
      </c>
      <c r="B555" s="12" t="s">
        <v>2</v>
      </c>
      <c r="C555" s="13" t="s">
        <v>3</v>
      </c>
      <c r="D555" s="14" t="s">
        <v>4</v>
      </c>
      <c r="E555" s="15" t="s">
        <v>5</v>
      </c>
      <c r="F555" s="6"/>
    </row>
    <row r="556" spans="1:6">
      <c r="A556" s="28" t="s">
        <v>577</v>
      </c>
      <c r="B556" s="33" t="s">
        <v>578</v>
      </c>
      <c r="C556" s="6" t="s">
        <v>270</v>
      </c>
      <c r="D556" s="9" t="s">
        <v>522</v>
      </c>
      <c r="E556" s="10">
        <v>325</v>
      </c>
      <c r="F556" s="6" t="s">
        <v>265</v>
      </c>
    </row>
    <row r="557" spans="1:6">
      <c r="A557" s="28" t="s">
        <v>577</v>
      </c>
      <c r="B557" s="33" t="s">
        <v>579</v>
      </c>
      <c r="C557" s="6" t="s">
        <v>270</v>
      </c>
      <c r="D557" s="9" t="s">
        <v>522</v>
      </c>
      <c r="E557" s="10">
        <v>325</v>
      </c>
      <c r="F557" s="6" t="s">
        <v>265</v>
      </c>
    </row>
    <row r="558" spans="1:6">
      <c r="A558" s="28" t="s">
        <v>577</v>
      </c>
      <c r="B558" s="6" t="s">
        <v>580</v>
      </c>
      <c r="C558" s="6" t="s">
        <v>301</v>
      </c>
      <c r="D558" s="9" t="s">
        <v>124</v>
      </c>
      <c r="E558" s="10">
        <v>7.3</v>
      </c>
      <c r="F558" s="6" t="s">
        <v>265</v>
      </c>
    </row>
    <row r="559" spans="1:6">
      <c r="A559" s="28" t="s">
        <v>577</v>
      </c>
      <c r="B559" s="6" t="s">
        <v>581</v>
      </c>
      <c r="C559" s="6" t="s">
        <v>39</v>
      </c>
      <c r="D559" s="9" t="s">
        <v>310</v>
      </c>
      <c r="E559" s="10">
        <v>16.7</v>
      </c>
      <c r="F559" s="6" t="s">
        <v>10</v>
      </c>
    </row>
    <row r="560" spans="1:6">
      <c r="A560" s="28" t="s">
        <v>577</v>
      </c>
      <c r="B560" s="6" t="s">
        <v>582</v>
      </c>
      <c r="C560" s="6" t="s">
        <v>39</v>
      </c>
      <c r="D560" s="9" t="s">
        <v>310</v>
      </c>
      <c r="E560" s="10">
        <v>12</v>
      </c>
      <c r="F560" s="6" t="s">
        <v>10</v>
      </c>
    </row>
    <row r="561" spans="1:6">
      <c r="A561" s="28" t="s">
        <v>577</v>
      </c>
      <c r="B561" s="6" t="s">
        <v>583</v>
      </c>
      <c r="C561" s="6" t="s">
        <v>39</v>
      </c>
      <c r="D561" s="9" t="s">
        <v>310</v>
      </c>
      <c r="E561" s="10">
        <v>12</v>
      </c>
      <c r="F561" s="6" t="s">
        <v>10</v>
      </c>
    </row>
    <row r="562" spans="1:6">
      <c r="A562" s="28" t="s">
        <v>577</v>
      </c>
      <c r="B562" s="6" t="s">
        <v>584</v>
      </c>
      <c r="C562" s="6" t="s">
        <v>270</v>
      </c>
      <c r="D562" s="9" t="s">
        <v>399</v>
      </c>
      <c r="E562" s="10">
        <v>0.5</v>
      </c>
      <c r="F562" s="6" t="s">
        <v>265</v>
      </c>
    </row>
    <row r="563" spans="1:6">
      <c r="A563" s="28" t="s">
        <v>577</v>
      </c>
      <c r="B563" s="6" t="s">
        <v>585</v>
      </c>
      <c r="C563" s="6" t="s">
        <v>270</v>
      </c>
      <c r="D563" s="9" t="s">
        <v>399</v>
      </c>
      <c r="E563" s="10">
        <v>0.5</v>
      </c>
      <c r="F563" s="6" t="s">
        <v>265</v>
      </c>
    </row>
    <row r="564" spans="1:6">
      <c r="A564" s="28" t="s">
        <v>577</v>
      </c>
      <c r="B564" s="6" t="s">
        <v>586</v>
      </c>
      <c r="C564" s="6" t="s">
        <v>270</v>
      </c>
      <c r="D564" s="9" t="s">
        <v>399</v>
      </c>
      <c r="E564" s="10">
        <v>0.6</v>
      </c>
      <c r="F564" s="6" t="s">
        <v>265</v>
      </c>
    </row>
    <row r="565" spans="1:6">
      <c r="A565" s="28" t="s">
        <v>577</v>
      </c>
      <c r="B565" s="6" t="s">
        <v>587</v>
      </c>
      <c r="C565" s="6" t="s">
        <v>270</v>
      </c>
      <c r="D565" s="9" t="s">
        <v>399</v>
      </c>
      <c r="E565" s="10">
        <v>0.65</v>
      </c>
      <c r="F565" s="6" t="s">
        <v>265</v>
      </c>
    </row>
    <row r="566" spans="1:6">
      <c r="A566" s="28" t="s">
        <v>577</v>
      </c>
      <c r="B566" s="6" t="s">
        <v>588</v>
      </c>
      <c r="C566" s="6" t="s">
        <v>32</v>
      </c>
      <c r="D566" s="9" t="s">
        <v>124</v>
      </c>
      <c r="E566" s="10">
        <v>20</v>
      </c>
      <c r="F566" s="6" t="s">
        <v>10</v>
      </c>
    </row>
    <row r="567" spans="1:6">
      <c r="A567" s="28" t="s">
        <v>577</v>
      </c>
      <c r="B567" s="6" t="s">
        <v>589</v>
      </c>
      <c r="C567" s="6" t="s">
        <v>590</v>
      </c>
      <c r="D567" s="9" t="s">
        <v>310</v>
      </c>
      <c r="E567" s="10">
        <v>22</v>
      </c>
      <c r="F567" s="6" t="s">
        <v>10</v>
      </c>
    </row>
    <row r="568" spans="1:6">
      <c r="A568" s="28" t="s">
        <v>577</v>
      </c>
      <c r="B568" s="33" t="s">
        <v>591</v>
      </c>
      <c r="C568" s="33" t="s">
        <v>173</v>
      </c>
      <c r="D568" s="9" t="s">
        <v>124</v>
      </c>
      <c r="E568" s="34">
        <v>22</v>
      </c>
      <c r="F568" s="6" t="s">
        <v>10</v>
      </c>
    </row>
    <row r="569" spans="1:6">
      <c r="A569" s="28" t="s">
        <v>577</v>
      </c>
      <c r="B569" s="33" t="s">
        <v>592</v>
      </c>
      <c r="C569" s="33" t="s">
        <v>173</v>
      </c>
      <c r="D569" s="9" t="s">
        <v>124</v>
      </c>
      <c r="E569" s="34">
        <v>21</v>
      </c>
      <c r="F569" s="6" t="s">
        <v>10</v>
      </c>
    </row>
    <row r="570" spans="1:6">
      <c r="A570" s="28" t="s">
        <v>577</v>
      </c>
      <c r="B570" s="22" t="s">
        <v>593</v>
      </c>
      <c r="C570" s="6" t="s">
        <v>111</v>
      </c>
      <c r="D570" s="36" t="s">
        <v>310</v>
      </c>
      <c r="E570" s="34">
        <v>21</v>
      </c>
      <c r="F570" s="22" t="s">
        <v>594</v>
      </c>
    </row>
    <row r="571" spans="1:6">
      <c r="A571" s="28" t="s">
        <v>577</v>
      </c>
      <c r="B571" s="22" t="s">
        <v>595</v>
      </c>
      <c r="C571" s="6" t="s">
        <v>111</v>
      </c>
      <c r="D571" s="36" t="s">
        <v>310</v>
      </c>
      <c r="E571" s="34">
        <v>22</v>
      </c>
      <c r="F571" s="22" t="s">
        <v>594</v>
      </c>
    </row>
    <row r="572" spans="1:6">
      <c r="A572" s="6"/>
      <c r="B572" s="20" t="s">
        <v>596</v>
      </c>
      <c r="C572" s="6"/>
      <c r="D572" s="9"/>
      <c r="E572" s="10"/>
      <c r="F572" s="6"/>
    </row>
    <row r="573" spans="1:6">
      <c r="A573" s="11" t="s">
        <v>1</v>
      </c>
      <c r="B573" s="12" t="s">
        <v>2</v>
      </c>
      <c r="C573" s="13" t="s">
        <v>3</v>
      </c>
      <c r="D573" s="14" t="s">
        <v>4</v>
      </c>
      <c r="E573" s="15" t="s">
        <v>5</v>
      </c>
      <c r="F573" s="6"/>
    </row>
    <row r="574" spans="1:6">
      <c r="A574" s="22" t="s">
        <v>596</v>
      </c>
      <c r="B574" s="33" t="s">
        <v>597</v>
      </c>
      <c r="C574" s="6" t="s">
        <v>301</v>
      </c>
      <c r="D574" s="31" t="s">
        <v>598</v>
      </c>
      <c r="E574" s="34">
        <v>4.75</v>
      </c>
      <c r="F574" s="22" t="s">
        <v>265</v>
      </c>
    </row>
    <row r="575" spans="1:6">
      <c r="A575" s="22" t="s">
        <v>596</v>
      </c>
      <c r="B575" s="33" t="s">
        <v>599</v>
      </c>
      <c r="C575" s="6" t="s">
        <v>301</v>
      </c>
      <c r="D575" s="31" t="s">
        <v>598</v>
      </c>
      <c r="E575" s="34">
        <v>4.75</v>
      </c>
      <c r="F575" s="22" t="s">
        <v>265</v>
      </c>
    </row>
    <row r="576" spans="1:6">
      <c r="A576" s="22" t="s">
        <v>596</v>
      </c>
      <c r="B576" s="33" t="s">
        <v>600</v>
      </c>
      <c r="C576" s="6" t="s">
        <v>301</v>
      </c>
      <c r="D576" s="31" t="s">
        <v>598</v>
      </c>
      <c r="E576" s="34">
        <v>4.75</v>
      </c>
      <c r="F576" s="22" t="s">
        <v>265</v>
      </c>
    </row>
    <row r="577" spans="1:6">
      <c r="A577" s="22" t="s">
        <v>596</v>
      </c>
      <c r="B577" s="33" t="s">
        <v>601</v>
      </c>
      <c r="C577" s="6" t="s">
        <v>301</v>
      </c>
      <c r="D577" s="31" t="s">
        <v>522</v>
      </c>
      <c r="E577" s="34">
        <v>90</v>
      </c>
      <c r="F577" s="22" t="s">
        <v>265</v>
      </c>
    </row>
    <row r="578" spans="1:6">
      <c r="A578" s="22" t="s">
        <v>596</v>
      </c>
      <c r="B578" s="33" t="s">
        <v>602</v>
      </c>
      <c r="C578" s="6" t="s">
        <v>301</v>
      </c>
      <c r="D578" s="31" t="s">
        <v>522</v>
      </c>
      <c r="E578" s="34">
        <v>85</v>
      </c>
      <c r="F578" s="22" t="s">
        <v>265</v>
      </c>
    </row>
    <row r="579" spans="1:6">
      <c r="A579" s="22" t="s">
        <v>596</v>
      </c>
      <c r="B579" s="33" t="s">
        <v>603</v>
      </c>
      <c r="C579" s="6" t="s">
        <v>301</v>
      </c>
      <c r="D579" s="31" t="s">
        <v>329</v>
      </c>
      <c r="E579" s="34">
        <v>7.5</v>
      </c>
      <c r="F579" s="22" t="s">
        <v>265</v>
      </c>
    </row>
    <row r="580" spans="1:6">
      <c r="A580" s="22" t="s">
        <v>596</v>
      </c>
      <c r="B580" s="33" t="s">
        <v>604</v>
      </c>
      <c r="C580" s="6" t="s">
        <v>301</v>
      </c>
      <c r="D580" s="31" t="s">
        <v>124</v>
      </c>
      <c r="E580" s="34">
        <v>5</v>
      </c>
      <c r="F580" s="22" t="s">
        <v>265</v>
      </c>
    </row>
    <row r="581" spans="1:6">
      <c r="A581" s="22" t="s">
        <v>596</v>
      </c>
      <c r="B581" s="33" t="s">
        <v>605</v>
      </c>
      <c r="C581" s="6" t="s">
        <v>301</v>
      </c>
      <c r="D581" s="31" t="s">
        <v>598</v>
      </c>
      <c r="E581" s="34">
        <v>4.75</v>
      </c>
      <c r="F581" s="22" t="s">
        <v>265</v>
      </c>
    </row>
    <row r="582" spans="1:6">
      <c r="A582" s="22" t="s">
        <v>596</v>
      </c>
      <c r="B582" s="33" t="s">
        <v>606</v>
      </c>
      <c r="C582" s="6" t="s">
        <v>301</v>
      </c>
      <c r="D582" s="31" t="s">
        <v>124</v>
      </c>
      <c r="E582" s="34">
        <v>12</v>
      </c>
      <c r="F582" s="22" t="s">
        <v>265</v>
      </c>
    </row>
    <row r="583" spans="1:6">
      <c r="A583" s="22" t="s">
        <v>596</v>
      </c>
      <c r="B583" s="33" t="s">
        <v>607</v>
      </c>
      <c r="C583" s="6" t="s">
        <v>301</v>
      </c>
      <c r="D583" s="31" t="s">
        <v>124</v>
      </c>
      <c r="E583" s="34">
        <v>16</v>
      </c>
      <c r="F583" s="22" t="s">
        <v>265</v>
      </c>
    </row>
    <row r="584" spans="1:6">
      <c r="A584" s="22" t="s">
        <v>596</v>
      </c>
      <c r="B584" s="33" t="s">
        <v>608</v>
      </c>
      <c r="C584" s="6" t="s">
        <v>301</v>
      </c>
      <c r="D584" s="31" t="s">
        <v>524</v>
      </c>
      <c r="E584" s="34">
        <v>45</v>
      </c>
      <c r="F584" s="22" t="s">
        <v>265</v>
      </c>
    </row>
    <row r="585" spans="1:6">
      <c r="A585" s="22" t="s">
        <v>596</v>
      </c>
      <c r="B585" s="33" t="s">
        <v>609</v>
      </c>
      <c r="C585" s="6" t="s">
        <v>301</v>
      </c>
      <c r="D585" s="31" t="s">
        <v>524</v>
      </c>
      <c r="E585" s="34">
        <v>3</v>
      </c>
      <c r="F585" s="22" t="s">
        <v>265</v>
      </c>
    </row>
    <row r="586" spans="1:6">
      <c r="A586" s="22" t="s">
        <v>596</v>
      </c>
      <c r="B586" s="33" t="s">
        <v>610</v>
      </c>
      <c r="C586" s="6" t="s">
        <v>301</v>
      </c>
      <c r="D586" s="31" t="s">
        <v>124</v>
      </c>
      <c r="E586" s="34">
        <v>5</v>
      </c>
      <c r="F586" s="22" t="s">
        <v>265</v>
      </c>
    </row>
    <row r="587" spans="1:6">
      <c r="A587" s="22" t="s">
        <v>596</v>
      </c>
      <c r="B587" s="33" t="s">
        <v>611</v>
      </c>
      <c r="C587" s="6" t="s">
        <v>270</v>
      </c>
      <c r="D587" s="31" t="s">
        <v>524</v>
      </c>
      <c r="E587" s="34">
        <v>38</v>
      </c>
      <c r="F587" s="22" t="s">
        <v>265</v>
      </c>
    </row>
    <row r="588" spans="1:6">
      <c r="A588" s="22" t="s">
        <v>596</v>
      </c>
      <c r="B588" s="33" t="s">
        <v>612</v>
      </c>
      <c r="C588" s="6" t="s">
        <v>301</v>
      </c>
      <c r="D588" s="31" t="s">
        <v>124</v>
      </c>
      <c r="E588" s="34">
        <v>2</v>
      </c>
      <c r="F588" s="22" t="s">
        <v>265</v>
      </c>
    </row>
    <row r="589" spans="1:6">
      <c r="A589" s="22" t="s">
        <v>596</v>
      </c>
      <c r="B589" s="33" t="s">
        <v>613</v>
      </c>
      <c r="C589" s="6" t="s">
        <v>301</v>
      </c>
      <c r="D589" s="31" t="s">
        <v>124</v>
      </c>
      <c r="E589" s="34">
        <v>45</v>
      </c>
      <c r="F589" s="22" t="s">
        <v>265</v>
      </c>
    </row>
    <row r="590" spans="1:6">
      <c r="A590" s="22" t="s">
        <v>596</v>
      </c>
      <c r="B590" s="33" t="s">
        <v>614</v>
      </c>
      <c r="C590" s="6" t="s">
        <v>301</v>
      </c>
      <c r="D590" s="31" t="s">
        <v>524</v>
      </c>
      <c r="E590" s="34">
        <v>30</v>
      </c>
      <c r="F590" s="22" t="s">
        <v>265</v>
      </c>
    </row>
    <row r="591" spans="1:6">
      <c r="A591" s="22" t="s">
        <v>596</v>
      </c>
      <c r="B591" s="33" t="s">
        <v>615</v>
      </c>
      <c r="C591" s="6" t="s">
        <v>301</v>
      </c>
      <c r="D591" s="31" t="s">
        <v>616</v>
      </c>
      <c r="E591" s="34">
        <v>15</v>
      </c>
      <c r="F591" s="22" t="s">
        <v>265</v>
      </c>
    </row>
    <row r="592" spans="1:6">
      <c r="A592" s="22" t="s">
        <v>596</v>
      </c>
      <c r="B592" s="33" t="s">
        <v>617</v>
      </c>
      <c r="C592" s="6" t="s">
        <v>301</v>
      </c>
      <c r="D592" s="31" t="s">
        <v>524</v>
      </c>
      <c r="E592" s="34">
        <v>25</v>
      </c>
      <c r="F592" s="22" t="s">
        <v>265</v>
      </c>
    </row>
    <row r="593" spans="1:6">
      <c r="A593" s="22" t="s">
        <v>596</v>
      </c>
      <c r="B593" s="33" t="s">
        <v>619</v>
      </c>
      <c r="C593" s="6" t="s">
        <v>301</v>
      </c>
      <c r="D593" s="31" t="s">
        <v>124</v>
      </c>
      <c r="E593" s="34">
        <v>7</v>
      </c>
      <c r="F593" s="22" t="s">
        <v>265</v>
      </c>
    </row>
    <row r="594" spans="1:6">
      <c r="A594" s="22" t="s">
        <v>596</v>
      </c>
      <c r="B594" s="33" t="s">
        <v>613</v>
      </c>
      <c r="C594" s="6" t="s">
        <v>301</v>
      </c>
      <c r="D594" s="31" t="s">
        <v>124</v>
      </c>
      <c r="E594" s="34">
        <v>45</v>
      </c>
      <c r="F594" s="22" t="s">
        <v>265</v>
      </c>
    </row>
    <row r="595" spans="1:6">
      <c r="A595" s="22" t="s">
        <v>596</v>
      </c>
      <c r="B595" s="33" t="s">
        <v>604</v>
      </c>
      <c r="C595" s="6" t="s">
        <v>301</v>
      </c>
      <c r="D595" s="31" t="s">
        <v>124</v>
      </c>
      <c r="E595" s="34">
        <v>5</v>
      </c>
      <c r="F595" s="22" t="s">
        <v>265</v>
      </c>
    </row>
    <row r="596" spans="1:6">
      <c r="A596" s="22" t="s">
        <v>596</v>
      </c>
      <c r="B596" s="33" t="s">
        <v>612</v>
      </c>
      <c r="C596" s="6" t="s">
        <v>301</v>
      </c>
      <c r="D596" s="31" t="s">
        <v>124</v>
      </c>
      <c r="E596" s="34">
        <v>2</v>
      </c>
      <c r="F596" s="22" t="s">
        <v>265</v>
      </c>
    </row>
    <row r="597" spans="1:6">
      <c r="A597" s="22" t="s">
        <v>596</v>
      </c>
      <c r="B597" s="33" t="s">
        <v>620</v>
      </c>
      <c r="C597" s="6" t="s">
        <v>301</v>
      </c>
      <c r="D597" s="31" t="s">
        <v>524</v>
      </c>
      <c r="E597" s="34">
        <v>45</v>
      </c>
      <c r="F597" s="22" t="s">
        <v>265</v>
      </c>
    </row>
    <row r="598" spans="1:6">
      <c r="A598" s="22" t="s">
        <v>596</v>
      </c>
      <c r="B598" s="33" t="s">
        <v>621</v>
      </c>
      <c r="C598" s="6" t="s">
        <v>301</v>
      </c>
      <c r="D598" s="31" t="s">
        <v>622</v>
      </c>
      <c r="E598" s="34">
        <v>80</v>
      </c>
      <c r="F598" s="22" t="s">
        <v>265</v>
      </c>
    </row>
    <row r="599" spans="1:6">
      <c r="A599" s="22" t="s">
        <v>596</v>
      </c>
      <c r="B599" s="33" t="s">
        <v>623</v>
      </c>
      <c r="C599" s="6" t="s">
        <v>301</v>
      </c>
      <c r="D599" s="31" t="s">
        <v>399</v>
      </c>
      <c r="E599" s="34">
        <v>15</v>
      </c>
      <c r="F599" s="22" t="s">
        <v>265</v>
      </c>
    </row>
    <row r="600" spans="1:6">
      <c r="A600" s="22" t="s">
        <v>596</v>
      </c>
      <c r="B600" s="33" t="s">
        <v>624</v>
      </c>
      <c r="C600" s="6" t="s">
        <v>301</v>
      </c>
      <c r="D600" s="31" t="s">
        <v>124</v>
      </c>
      <c r="E600" s="34">
        <v>55</v>
      </c>
      <c r="F600" s="22" t="s">
        <v>265</v>
      </c>
    </row>
    <row r="601" spans="1:6">
      <c r="A601" s="22" t="s">
        <v>596</v>
      </c>
      <c r="B601" s="33" t="s">
        <v>618</v>
      </c>
      <c r="C601" s="6" t="s">
        <v>301</v>
      </c>
      <c r="D601" s="31" t="s">
        <v>124</v>
      </c>
      <c r="E601" s="34">
        <v>5</v>
      </c>
      <c r="F601" s="22" t="s">
        <v>265</v>
      </c>
    </row>
    <row r="602" spans="1:6">
      <c r="A602" s="22" t="s">
        <v>596</v>
      </c>
      <c r="B602" s="33" t="s">
        <v>625</v>
      </c>
      <c r="C602" s="6" t="s">
        <v>301</v>
      </c>
      <c r="D602" s="31" t="s">
        <v>124</v>
      </c>
      <c r="E602" s="34">
        <v>35</v>
      </c>
      <c r="F602" s="22" t="s">
        <v>265</v>
      </c>
    </row>
    <row r="603" spans="1:6">
      <c r="A603" s="22" t="s">
        <v>596</v>
      </c>
      <c r="B603" s="33" t="s">
        <v>626</v>
      </c>
      <c r="C603" s="6" t="s">
        <v>301</v>
      </c>
      <c r="D603" s="31" t="s">
        <v>124</v>
      </c>
      <c r="E603" s="34">
        <v>35</v>
      </c>
      <c r="F603" s="22" t="s">
        <v>265</v>
      </c>
    </row>
    <row r="604" spans="1:6">
      <c r="A604" s="22" t="s">
        <v>596</v>
      </c>
      <c r="B604" s="33" t="s">
        <v>627</v>
      </c>
      <c r="C604" s="6" t="s">
        <v>301</v>
      </c>
      <c r="D604" s="31" t="s">
        <v>124</v>
      </c>
      <c r="E604" s="34">
        <v>4</v>
      </c>
      <c r="F604" s="22" t="s">
        <v>265</v>
      </c>
    </row>
    <row r="605" spans="1:6">
      <c r="A605" s="22" t="s">
        <v>596</v>
      </c>
      <c r="B605" s="33" t="s">
        <v>628</v>
      </c>
      <c r="C605" s="6" t="s">
        <v>301</v>
      </c>
      <c r="D605" s="31" t="s">
        <v>124</v>
      </c>
      <c r="E605" s="34">
        <v>4</v>
      </c>
      <c r="F605" s="22" t="s">
        <v>265</v>
      </c>
    </row>
    <row r="606" spans="1:6">
      <c r="A606" s="22" t="s">
        <v>596</v>
      </c>
      <c r="B606" s="33" t="s">
        <v>629</v>
      </c>
      <c r="C606" s="6" t="s">
        <v>301</v>
      </c>
      <c r="D606" s="31" t="s">
        <v>124</v>
      </c>
      <c r="E606" s="34">
        <v>5</v>
      </c>
      <c r="F606" s="22" t="s">
        <v>265</v>
      </c>
    </row>
    <row r="607" spans="1:6">
      <c r="A607" s="22" t="s">
        <v>596</v>
      </c>
      <c r="B607" s="33" t="s">
        <v>630</v>
      </c>
      <c r="C607" s="6" t="s">
        <v>301</v>
      </c>
      <c r="D607" s="31" t="s">
        <v>124</v>
      </c>
      <c r="E607" s="34">
        <v>8</v>
      </c>
      <c r="F607" s="22" t="s">
        <v>265</v>
      </c>
    </row>
    <row r="608" spans="1:6">
      <c r="A608" s="22" t="s">
        <v>596</v>
      </c>
      <c r="B608" s="33" t="s">
        <v>631</v>
      </c>
      <c r="C608" s="6" t="s">
        <v>301</v>
      </c>
      <c r="D608" s="31" t="s">
        <v>124</v>
      </c>
      <c r="E608" s="34">
        <v>9</v>
      </c>
      <c r="F608" s="22" t="s">
        <v>265</v>
      </c>
    </row>
    <row r="609" spans="1:6">
      <c r="A609" s="22" t="s">
        <v>596</v>
      </c>
      <c r="B609" s="33" t="s">
        <v>604</v>
      </c>
      <c r="C609" s="6" t="s">
        <v>301</v>
      </c>
      <c r="D609" s="31" t="s">
        <v>124</v>
      </c>
      <c r="E609" s="34">
        <v>5</v>
      </c>
      <c r="F609" s="22" t="s">
        <v>265</v>
      </c>
    </row>
    <row r="610" spans="1:6">
      <c r="A610" s="22" t="s">
        <v>596</v>
      </c>
      <c r="B610" s="33" t="s">
        <v>632</v>
      </c>
      <c r="C610" s="6" t="s">
        <v>301</v>
      </c>
      <c r="D610" s="31" t="s">
        <v>124</v>
      </c>
      <c r="E610" s="34">
        <v>2.5</v>
      </c>
      <c r="F610" s="22" t="s">
        <v>265</v>
      </c>
    </row>
    <row r="611" spans="1:6">
      <c r="A611" s="22" t="s">
        <v>596</v>
      </c>
      <c r="B611" s="33" t="s">
        <v>634</v>
      </c>
      <c r="C611" s="6" t="s">
        <v>301</v>
      </c>
      <c r="D611" s="31" t="s">
        <v>124</v>
      </c>
      <c r="E611" s="34">
        <v>35</v>
      </c>
      <c r="F611" s="22" t="s">
        <v>265</v>
      </c>
    </row>
    <row r="612" spans="1:6">
      <c r="A612" s="22" t="s">
        <v>596</v>
      </c>
      <c r="B612" s="33" t="s">
        <v>635</v>
      </c>
      <c r="C612" s="6" t="s">
        <v>301</v>
      </c>
      <c r="D612" s="31" t="s">
        <v>124</v>
      </c>
      <c r="E612" s="34">
        <v>95</v>
      </c>
      <c r="F612" s="22" t="s">
        <v>265</v>
      </c>
    </row>
    <row r="613" spans="1:6">
      <c r="A613" s="22" t="s">
        <v>596</v>
      </c>
      <c r="B613" s="33" t="s">
        <v>636</v>
      </c>
      <c r="C613" s="6" t="s">
        <v>301</v>
      </c>
      <c r="D613" s="31" t="s">
        <v>622</v>
      </c>
      <c r="E613" s="34">
        <v>20</v>
      </c>
      <c r="F613" s="22" t="s">
        <v>265</v>
      </c>
    </row>
    <row r="614" spans="1:6">
      <c r="A614" s="22" t="s">
        <v>596</v>
      </c>
      <c r="B614" s="33" t="s">
        <v>637</v>
      </c>
      <c r="C614" s="6" t="s">
        <v>301</v>
      </c>
      <c r="D614" s="31" t="s">
        <v>524</v>
      </c>
      <c r="E614" s="34">
        <v>45</v>
      </c>
      <c r="F614" s="22" t="s">
        <v>265</v>
      </c>
    </row>
    <row r="615" spans="1:6">
      <c r="A615" s="22" t="s">
        <v>596</v>
      </c>
      <c r="B615" s="33" t="s">
        <v>621</v>
      </c>
      <c r="C615" s="6" t="s">
        <v>301</v>
      </c>
      <c r="D615" s="31" t="s">
        <v>399</v>
      </c>
      <c r="E615" s="34">
        <v>80</v>
      </c>
      <c r="F615" s="22" t="s">
        <v>265</v>
      </c>
    </row>
    <row r="616" spans="1:6">
      <c r="A616" s="22" t="s">
        <v>596</v>
      </c>
      <c r="B616" s="33" t="s">
        <v>638</v>
      </c>
      <c r="C616" s="6" t="s">
        <v>301</v>
      </c>
      <c r="D616" s="31" t="s">
        <v>124</v>
      </c>
      <c r="E616" s="34">
        <v>32</v>
      </c>
      <c r="F616" s="22" t="s">
        <v>265</v>
      </c>
    </row>
    <row r="617" spans="1:6">
      <c r="A617" s="22" t="s">
        <v>596</v>
      </c>
      <c r="B617" s="33" t="s">
        <v>639</v>
      </c>
      <c r="C617" s="6" t="s">
        <v>301</v>
      </c>
      <c r="D617" s="31" t="s">
        <v>124</v>
      </c>
      <c r="E617" s="34">
        <v>35</v>
      </c>
      <c r="F617" s="22" t="s">
        <v>265</v>
      </c>
    </row>
    <row r="618" spans="1:6">
      <c r="A618" s="22" t="s">
        <v>596</v>
      </c>
      <c r="B618" s="33" t="s">
        <v>640</v>
      </c>
      <c r="C618" s="6" t="s">
        <v>301</v>
      </c>
      <c r="D618" s="31" t="s">
        <v>124</v>
      </c>
      <c r="E618" s="34">
        <v>15</v>
      </c>
      <c r="F618" s="22" t="s">
        <v>265</v>
      </c>
    </row>
    <row r="619" spans="1:6">
      <c r="A619" s="22" t="s">
        <v>596</v>
      </c>
      <c r="B619" s="33" t="s">
        <v>641</v>
      </c>
      <c r="C619" s="6" t="s">
        <v>301</v>
      </c>
      <c r="D619" s="31" t="s">
        <v>124</v>
      </c>
      <c r="E619" s="34">
        <v>5</v>
      </c>
      <c r="F619" s="22" t="s">
        <v>265</v>
      </c>
    </row>
    <row r="620" spans="1:6">
      <c r="A620" s="22" t="s">
        <v>596</v>
      </c>
      <c r="B620" s="33" t="s">
        <v>642</v>
      </c>
      <c r="C620" s="6" t="s">
        <v>301</v>
      </c>
      <c r="D620" s="31" t="s">
        <v>399</v>
      </c>
      <c r="E620" s="34">
        <v>20</v>
      </c>
      <c r="F620" s="22" t="s">
        <v>265</v>
      </c>
    </row>
    <row r="621" spans="1:6">
      <c r="A621" s="22" t="s">
        <v>596</v>
      </c>
      <c r="B621" s="33" t="s">
        <v>643</v>
      </c>
      <c r="C621" s="6" t="s">
        <v>301</v>
      </c>
      <c r="D621" s="31" t="s">
        <v>399</v>
      </c>
      <c r="E621" s="34">
        <v>30</v>
      </c>
      <c r="F621" s="22" t="s">
        <v>265</v>
      </c>
    </row>
    <row r="622" spans="1:6">
      <c r="A622" s="22" t="s">
        <v>596</v>
      </c>
      <c r="B622" s="33" t="s">
        <v>644</v>
      </c>
      <c r="C622" s="6" t="s">
        <v>301</v>
      </c>
      <c r="D622" s="31" t="s">
        <v>598</v>
      </c>
      <c r="E622" s="34">
        <v>5</v>
      </c>
      <c r="F622" s="22" t="s">
        <v>265</v>
      </c>
    </row>
    <row r="623" spans="1:6">
      <c r="A623" s="22" t="s">
        <v>596</v>
      </c>
      <c r="B623" s="33" t="s">
        <v>612</v>
      </c>
      <c r="C623" s="6" t="s">
        <v>301</v>
      </c>
      <c r="D623" s="31" t="s">
        <v>124</v>
      </c>
      <c r="E623" s="34">
        <v>2.5</v>
      </c>
      <c r="F623" s="22" t="s">
        <v>265</v>
      </c>
    </row>
    <row r="624" spans="1:6">
      <c r="A624" s="22" t="s">
        <v>596</v>
      </c>
      <c r="B624" s="33" t="s">
        <v>633</v>
      </c>
      <c r="C624" s="6" t="s">
        <v>301</v>
      </c>
      <c r="D624" s="31" t="s">
        <v>124</v>
      </c>
      <c r="E624" s="34">
        <v>6</v>
      </c>
      <c r="F624" s="22" t="s">
        <v>265</v>
      </c>
    </row>
    <row r="625" spans="1:6">
      <c r="A625" s="22" t="s">
        <v>596</v>
      </c>
      <c r="B625" s="33" t="s">
        <v>645</v>
      </c>
      <c r="C625" s="6" t="s">
        <v>301</v>
      </c>
      <c r="D625" s="31" t="s">
        <v>124</v>
      </c>
      <c r="E625" s="34">
        <v>6</v>
      </c>
      <c r="F625" s="22" t="s">
        <v>265</v>
      </c>
    </row>
    <row r="626" spans="1:6">
      <c r="A626" s="22" t="s">
        <v>596</v>
      </c>
      <c r="B626" s="33" t="s">
        <v>646</v>
      </c>
      <c r="C626" s="6" t="s">
        <v>301</v>
      </c>
      <c r="D626" s="31" t="s">
        <v>124</v>
      </c>
      <c r="E626" s="34">
        <v>5.5</v>
      </c>
      <c r="F626" s="22" t="s">
        <v>265</v>
      </c>
    </row>
    <row r="627" spans="1:6">
      <c r="A627" s="22" t="s">
        <v>596</v>
      </c>
      <c r="B627" s="33" t="s">
        <v>647</v>
      </c>
      <c r="C627" s="6" t="s">
        <v>301</v>
      </c>
      <c r="D627" s="31" t="s">
        <v>329</v>
      </c>
      <c r="E627" s="34">
        <v>45</v>
      </c>
      <c r="F627" s="22" t="s">
        <v>265</v>
      </c>
    </row>
    <row r="628" spans="1:6">
      <c r="A628" s="22" t="s">
        <v>596</v>
      </c>
      <c r="B628" s="33" t="s">
        <v>648</v>
      </c>
      <c r="C628" s="6" t="s">
        <v>301</v>
      </c>
      <c r="D628" s="31" t="s">
        <v>124</v>
      </c>
      <c r="E628" s="34">
        <v>8</v>
      </c>
      <c r="F628" s="22" t="s">
        <v>265</v>
      </c>
    </row>
    <row r="629" spans="1:6">
      <c r="A629" s="22" t="s">
        <v>596</v>
      </c>
      <c r="B629" s="33" t="s">
        <v>649</v>
      </c>
      <c r="C629" s="6" t="s">
        <v>572</v>
      </c>
      <c r="D629" s="31" t="s">
        <v>124</v>
      </c>
      <c r="E629" s="34">
        <v>95</v>
      </c>
      <c r="F629" s="22" t="s">
        <v>265</v>
      </c>
    </row>
    <row r="630" spans="1:6">
      <c r="A630" s="22" t="s">
        <v>596</v>
      </c>
      <c r="B630" s="33" t="s">
        <v>650</v>
      </c>
      <c r="C630" s="6" t="s">
        <v>572</v>
      </c>
      <c r="D630" s="31" t="s">
        <v>124</v>
      </c>
      <c r="E630" s="34">
        <v>115</v>
      </c>
      <c r="F630" s="22" t="s">
        <v>265</v>
      </c>
    </row>
    <row r="631" spans="1:6">
      <c r="A631" s="22" t="s">
        <v>596</v>
      </c>
      <c r="B631" s="33" t="s">
        <v>651</v>
      </c>
      <c r="C631" s="6" t="s">
        <v>301</v>
      </c>
      <c r="D631" s="31" t="s">
        <v>329</v>
      </c>
      <c r="E631" s="34">
        <v>1.5</v>
      </c>
      <c r="F631" s="22" t="s">
        <v>265</v>
      </c>
    </row>
    <row r="632" spans="1:6">
      <c r="A632" s="22" t="s">
        <v>596</v>
      </c>
      <c r="B632" s="33" t="s">
        <v>652</v>
      </c>
      <c r="C632" s="6" t="s">
        <v>301</v>
      </c>
      <c r="D632" s="31" t="s">
        <v>124</v>
      </c>
      <c r="E632" s="34">
        <v>5.5</v>
      </c>
      <c r="F632" s="22" t="s">
        <v>265</v>
      </c>
    </row>
    <row r="633" spans="1:6">
      <c r="A633" s="22" t="s">
        <v>596</v>
      </c>
      <c r="B633" s="33" t="s">
        <v>613</v>
      </c>
      <c r="C633" s="6" t="s">
        <v>301</v>
      </c>
      <c r="D633" s="31" t="s">
        <v>124</v>
      </c>
      <c r="E633" s="34">
        <v>75</v>
      </c>
      <c r="F633" s="22" t="s">
        <v>265</v>
      </c>
    </row>
    <row r="634" spans="1:6">
      <c r="A634" s="22" t="s">
        <v>596</v>
      </c>
      <c r="B634" s="33" t="s">
        <v>623</v>
      </c>
      <c r="C634" s="6" t="s">
        <v>301</v>
      </c>
      <c r="D634" s="31" t="s">
        <v>399</v>
      </c>
      <c r="E634" s="34">
        <v>15</v>
      </c>
      <c r="F634" s="22" t="s">
        <v>265</v>
      </c>
    </row>
    <row r="635" spans="1:6">
      <c r="A635" s="22" t="s">
        <v>596</v>
      </c>
      <c r="B635" s="33" t="s">
        <v>640</v>
      </c>
      <c r="C635" s="6" t="s">
        <v>301</v>
      </c>
      <c r="D635" s="31" t="s">
        <v>124</v>
      </c>
      <c r="E635" s="34">
        <v>25</v>
      </c>
      <c r="F635" s="22" t="s">
        <v>265</v>
      </c>
    </row>
    <row r="636" spans="1:6">
      <c r="A636" s="22" t="s">
        <v>596</v>
      </c>
      <c r="B636" s="33" t="s">
        <v>621</v>
      </c>
      <c r="C636" s="6" t="s">
        <v>301</v>
      </c>
      <c r="D636" s="31" t="s">
        <v>399</v>
      </c>
      <c r="E636" s="34">
        <v>75</v>
      </c>
      <c r="F636" s="22" t="s">
        <v>265</v>
      </c>
    </row>
    <row r="637" spans="1:6">
      <c r="A637" s="22" t="s">
        <v>596</v>
      </c>
      <c r="B637" s="33" t="s">
        <v>653</v>
      </c>
      <c r="C637" s="6" t="s">
        <v>301</v>
      </c>
      <c r="D637" s="31" t="s">
        <v>124</v>
      </c>
      <c r="E637" s="34">
        <v>12</v>
      </c>
      <c r="F637" s="22" t="s">
        <v>265</v>
      </c>
    </row>
    <row r="638" spans="1:6">
      <c r="A638" s="22" t="s">
        <v>596</v>
      </c>
      <c r="B638" s="33" t="s">
        <v>604</v>
      </c>
      <c r="C638" s="6" t="s">
        <v>301</v>
      </c>
      <c r="D638" s="31" t="s">
        <v>124</v>
      </c>
      <c r="E638" s="34">
        <v>5</v>
      </c>
      <c r="F638" s="22" t="s">
        <v>265</v>
      </c>
    </row>
    <row r="639" spans="1:6">
      <c r="A639" s="22" t="s">
        <v>596</v>
      </c>
      <c r="B639" s="33" t="s">
        <v>654</v>
      </c>
      <c r="C639" s="6" t="s">
        <v>301</v>
      </c>
      <c r="D639" s="31" t="s">
        <v>124</v>
      </c>
      <c r="E639" s="34">
        <v>0.2</v>
      </c>
      <c r="F639" s="22" t="s">
        <v>265</v>
      </c>
    </row>
    <row r="640" spans="1:6">
      <c r="A640" s="22" t="s">
        <v>596</v>
      </c>
      <c r="B640" s="33" t="s">
        <v>655</v>
      </c>
      <c r="C640" s="6" t="s">
        <v>301</v>
      </c>
      <c r="D640" s="31" t="s">
        <v>329</v>
      </c>
      <c r="E640" s="34">
        <v>55</v>
      </c>
      <c r="F640" s="22" t="s">
        <v>265</v>
      </c>
    </row>
    <row r="641" spans="1:6">
      <c r="A641" s="22" t="s">
        <v>596</v>
      </c>
      <c r="B641" s="33" t="s">
        <v>656</v>
      </c>
      <c r="C641" s="6" t="s">
        <v>301</v>
      </c>
      <c r="D641" s="31" t="s">
        <v>124</v>
      </c>
      <c r="E641" s="34">
        <v>3.5</v>
      </c>
      <c r="F641" s="22" t="s">
        <v>265</v>
      </c>
    </row>
    <row r="642" spans="1:6">
      <c r="A642" s="22" t="s">
        <v>596</v>
      </c>
      <c r="B642" s="33" t="s">
        <v>657</v>
      </c>
      <c r="C642" s="6" t="s">
        <v>301</v>
      </c>
      <c r="D642" s="31" t="s">
        <v>399</v>
      </c>
      <c r="E642" s="34">
        <v>5</v>
      </c>
      <c r="F642" s="22" t="s">
        <v>265</v>
      </c>
    </row>
    <row r="643" spans="1:6">
      <c r="A643" s="22" t="s">
        <v>596</v>
      </c>
      <c r="B643" s="33" t="s">
        <v>658</v>
      </c>
      <c r="C643" s="6" t="s">
        <v>301</v>
      </c>
      <c r="D643" s="31" t="s">
        <v>622</v>
      </c>
      <c r="E643" s="34">
        <v>295</v>
      </c>
      <c r="F643" s="22" t="s">
        <v>265</v>
      </c>
    </row>
    <row r="644" spans="1:6">
      <c r="A644" s="22" t="s">
        <v>596</v>
      </c>
      <c r="B644" s="33" t="s">
        <v>659</v>
      </c>
      <c r="C644" s="6" t="s">
        <v>301</v>
      </c>
      <c r="D644" s="31" t="s">
        <v>408</v>
      </c>
      <c r="E644" s="34">
        <v>65</v>
      </c>
      <c r="F644" s="22" t="s">
        <v>265</v>
      </c>
    </row>
    <row r="645" spans="1:6">
      <c r="A645" s="22" t="s">
        <v>596</v>
      </c>
      <c r="B645" s="33" t="s">
        <v>660</v>
      </c>
      <c r="C645" s="6" t="s">
        <v>301</v>
      </c>
      <c r="D645" s="31" t="s">
        <v>622</v>
      </c>
      <c r="E645" s="34">
        <v>65</v>
      </c>
      <c r="F645" s="22" t="s">
        <v>265</v>
      </c>
    </row>
    <row r="646" spans="1:6">
      <c r="A646" s="22" t="s">
        <v>596</v>
      </c>
      <c r="B646" s="33" t="s">
        <v>661</v>
      </c>
      <c r="C646" s="6" t="s">
        <v>301</v>
      </c>
      <c r="D646" s="31" t="s">
        <v>547</v>
      </c>
      <c r="E646" s="34">
        <v>35</v>
      </c>
      <c r="F646" s="22" t="s">
        <v>265</v>
      </c>
    </row>
    <row r="647" spans="1:6">
      <c r="A647" s="22" t="s">
        <v>596</v>
      </c>
      <c r="B647" s="33" t="s">
        <v>662</v>
      </c>
      <c r="C647" s="6" t="s">
        <v>301</v>
      </c>
      <c r="D647" s="31" t="s">
        <v>547</v>
      </c>
      <c r="E647" s="34">
        <v>25</v>
      </c>
      <c r="F647" s="22" t="s">
        <v>265</v>
      </c>
    </row>
    <row r="648" spans="1:6">
      <c r="A648" s="22" t="s">
        <v>596</v>
      </c>
      <c r="B648" s="33" t="s">
        <v>663</v>
      </c>
      <c r="C648" s="6" t="s">
        <v>301</v>
      </c>
      <c r="D648" s="31" t="s">
        <v>547</v>
      </c>
      <c r="E648" s="34">
        <v>55</v>
      </c>
      <c r="F648" s="22" t="s">
        <v>265</v>
      </c>
    </row>
    <row r="649" spans="1:6">
      <c r="A649" s="22" t="s">
        <v>596</v>
      </c>
      <c r="B649" s="33" t="s">
        <v>619</v>
      </c>
      <c r="C649" s="6" t="s">
        <v>301</v>
      </c>
      <c r="D649" s="31" t="s">
        <v>547</v>
      </c>
      <c r="E649" s="34">
        <v>5</v>
      </c>
      <c r="F649" s="22" t="s">
        <v>265</v>
      </c>
    </row>
    <row r="650" spans="1:6">
      <c r="A650" s="22" t="s">
        <v>596</v>
      </c>
      <c r="B650" s="33" t="s">
        <v>664</v>
      </c>
      <c r="C650" s="6" t="s">
        <v>301</v>
      </c>
      <c r="D650" s="31" t="s">
        <v>547</v>
      </c>
      <c r="E650" s="34">
        <v>9</v>
      </c>
      <c r="F650" s="22" t="s">
        <v>265</v>
      </c>
    </row>
    <row r="651" spans="1:6">
      <c r="A651" s="22" t="s">
        <v>596</v>
      </c>
      <c r="B651" s="33" t="s">
        <v>665</v>
      </c>
      <c r="C651" s="6" t="s">
        <v>301</v>
      </c>
      <c r="D651" s="31" t="s">
        <v>547</v>
      </c>
      <c r="E651" s="34">
        <v>14</v>
      </c>
      <c r="F651" s="22" t="s">
        <v>265</v>
      </c>
    </row>
    <row r="652" spans="1:6">
      <c r="A652" s="22" t="s">
        <v>596</v>
      </c>
      <c r="B652" s="33" t="s">
        <v>609</v>
      </c>
      <c r="C652" s="6" t="s">
        <v>301</v>
      </c>
      <c r="D652" s="31" t="s">
        <v>399</v>
      </c>
      <c r="E652" s="34">
        <v>3</v>
      </c>
      <c r="F652" s="22" t="s">
        <v>265</v>
      </c>
    </row>
    <row r="653" spans="1:6">
      <c r="A653" s="22" t="s">
        <v>596</v>
      </c>
      <c r="B653" s="33" t="s">
        <v>666</v>
      </c>
      <c r="C653" s="6" t="s">
        <v>301</v>
      </c>
      <c r="D653" s="31" t="s">
        <v>399</v>
      </c>
      <c r="E653" s="34">
        <v>20</v>
      </c>
      <c r="F653" s="22" t="s">
        <v>265</v>
      </c>
    </row>
    <row r="654" spans="1:6">
      <c r="A654" s="22" t="s">
        <v>596</v>
      </c>
      <c r="B654" s="33" t="s">
        <v>667</v>
      </c>
      <c r="C654" s="6" t="s">
        <v>301</v>
      </c>
      <c r="D654" s="31" t="s">
        <v>399</v>
      </c>
      <c r="E654" s="34">
        <v>25</v>
      </c>
      <c r="F654" s="22" t="s">
        <v>265</v>
      </c>
    </row>
    <row r="655" spans="1:6">
      <c r="A655" s="22" t="s">
        <v>596</v>
      </c>
      <c r="B655" s="33" t="s">
        <v>668</v>
      </c>
      <c r="C655" s="6" t="s">
        <v>301</v>
      </c>
      <c r="D655" s="31" t="s">
        <v>547</v>
      </c>
      <c r="E655" s="34">
        <v>7</v>
      </c>
      <c r="F655" s="22" t="s">
        <v>265</v>
      </c>
    </row>
    <row r="656" spans="1:6">
      <c r="A656" s="22" t="s">
        <v>596</v>
      </c>
      <c r="B656" s="33" t="s">
        <v>578</v>
      </c>
      <c r="C656" s="6" t="s">
        <v>270</v>
      </c>
      <c r="D656" s="31" t="s">
        <v>522</v>
      </c>
      <c r="E656" s="34">
        <v>325</v>
      </c>
      <c r="F656" s="22" t="s">
        <v>265</v>
      </c>
    </row>
    <row r="657" spans="1:6">
      <c r="A657" s="22" t="s">
        <v>596</v>
      </c>
      <c r="B657" s="33" t="s">
        <v>579</v>
      </c>
      <c r="C657" s="6" t="s">
        <v>270</v>
      </c>
      <c r="D657" s="31" t="s">
        <v>522</v>
      </c>
      <c r="E657" s="34">
        <v>325</v>
      </c>
      <c r="F657" s="22" t="s">
        <v>265</v>
      </c>
    </row>
    <row r="658" spans="1:6">
      <c r="A658" s="22" t="s">
        <v>596</v>
      </c>
      <c r="B658" s="33" t="s">
        <v>669</v>
      </c>
      <c r="C658" s="6" t="s">
        <v>270</v>
      </c>
      <c r="D658" s="31" t="s">
        <v>124</v>
      </c>
      <c r="E658" s="34">
        <v>950</v>
      </c>
      <c r="F658" s="22" t="s">
        <v>265</v>
      </c>
    </row>
    <row r="659" spans="1:6">
      <c r="A659" s="22" t="s">
        <v>596</v>
      </c>
      <c r="B659" s="33" t="s">
        <v>670</v>
      </c>
      <c r="C659" s="6" t="s">
        <v>270</v>
      </c>
      <c r="D659" s="31" t="s">
        <v>124</v>
      </c>
      <c r="E659" s="34">
        <v>165</v>
      </c>
      <c r="F659" s="22" t="s">
        <v>265</v>
      </c>
    </row>
    <row r="660" spans="1:6">
      <c r="A660" s="22" t="s">
        <v>596</v>
      </c>
      <c r="B660" s="33" t="s">
        <v>671</v>
      </c>
      <c r="C660" s="6" t="s">
        <v>270</v>
      </c>
      <c r="D660" s="31" t="s">
        <v>124</v>
      </c>
      <c r="E660" s="34">
        <v>190</v>
      </c>
      <c r="F660" s="22" t="s">
        <v>265</v>
      </c>
    </row>
    <row r="661" spans="1:6">
      <c r="A661" s="22" t="s">
        <v>596</v>
      </c>
      <c r="B661" s="33" t="s">
        <v>672</v>
      </c>
      <c r="C661" s="6" t="s">
        <v>270</v>
      </c>
      <c r="D661" s="31" t="s">
        <v>329</v>
      </c>
      <c r="E661" s="34">
        <v>30</v>
      </c>
      <c r="F661" s="22" t="s">
        <v>265</v>
      </c>
    </row>
    <row r="662" spans="1:6">
      <c r="A662" s="22" t="s">
        <v>596</v>
      </c>
      <c r="B662" s="33" t="s">
        <v>673</v>
      </c>
      <c r="C662" s="6" t="s">
        <v>270</v>
      </c>
      <c r="D662" s="31" t="s">
        <v>124</v>
      </c>
      <c r="E662" s="34">
        <v>15</v>
      </c>
      <c r="F662" s="22" t="s">
        <v>265</v>
      </c>
    </row>
    <row r="663" spans="1:6">
      <c r="A663" s="22" t="s">
        <v>596</v>
      </c>
      <c r="B663" s="33" t="s">
        <v>674</v>
      </c>
      <c r="C663" s="6" t="s">
        <v>270</v>
      </c>
      <c r="D663" s="31" t="s">
        <v>524</v>
      </c>
      <c r="E663" s="34">
        <v>37</v>
      </c>
      <c r="F663" s="22" t="s">
        <v>265</v>
      </c>
    </row>
    <row r="664" spans="1:6">
      <c r="A664" s="22" t="s">
        <v>596</v>
      </c>
      <c r="B664" s="33" t="s">
        <v>397</v>
      </c>
      <c r="C664" s="6" t="s">
        <v>270</v>
      </c>
      <c r="D664" s="31" t="s">
        <v>124</v>
      </c>
      <c r="E664" s="34">
        <v>0.7</v>
      </c>
      <c r="F664" s="22" t="s">
        <v>265</v>
      </c>
    </row>
    <row r="665" spans="1:6">
      <c r="A665" s="22" t="s">
        <v>596</v>
      </c>
      <c r="B665" s="33" t="s">
        <v>613</v>
      </c>
      <c r="C665" s="6" t="s">
        <v>270</v>
      </c>
      <c r="D665" s="31" t="s">
        <v>124</v>
      </c>
      <c r="E665" s="34">
        <v>30</v>
      </c>
      <c r="F665" s="22" t="s">
        <v>265</v>
      </c>
    </row>
    <row r="666" spans="1:6">
      <c r="A666" s="22" t="s">
        <v>596</v>
      </c>
      <c r="B666" s="33" t="s">
        <v>633</v>
      </c>
      <c r="C666" s="6" t="s">
        <v>270</v>
      </c>
      <c r="D666" s="31" t="s">
        <v>124</v>
      </c>
      <c r="E666" s="34">
        <v>3.5</v>
      </c>
      <c r="F666" s="22" t="s">
        <v>265</v>
      </c>
    </row>
    <row r="667" spans="1:6">
      <c r="A667" s="22" t="s">
        <v>596</v>
      </c>
      <c r="B667" s="33" t="s">
        <v>636</v>
      </c>
      <c r="C667" s="6" t="s">
        <v>270</v>
      </c>
      <c r="D667" s="31" t="s">
        <v>622</v>
      </c>
      <c r="E667" s="34">
        <v>16.5</v>
      </c>
      <c r="F667" s="22" t="s">
        <v>265</v>
      </c>
    </row>
    <row r="668" spans="1:6">
      <c r="A668" s="22" t="s">
        <v>596</v>
      </c>
      <c r="B668" s="33" t="s">
        <v>675</v>
      </c>
      <c r="C668" s="6" t="s">
        <v>270</v>
      </c>
      <c r="D668" s="31" t="s">
        <v>124</v>
      </c>
      <c r="E668" s="34">
        <v>65</v>
      </c>
      <c r="F668" s="22" t="s">
        <v>265</v>
      </c>
    </row>
    <row r="669" spans="1:6">
      <c r="A669" s="22" t="s">
        <v>596</v>
      </c>
      <c r="B669" s="33" t="s">
        <v>676</v>
      </c>
      <c r="C669" s="6" t="s">
        <v>270</v>
      </c>
      <c r="D669" s="31" t="s">
        <v>677</v>
      </c>
      <c r="E669" s="34">
        <v>22</v>
      </c>
      <c r="F669" s="22" t="s">
        <v>265</v>
      </c>
    </row>
    <row r="670" spans="1:6">
      <c r="A670" s="22" t="s">
        <v>596</v>
      </c>
      <c r="B670" s="33" t="s">
        <v>678</v>
      </c>
      <c r="C670" s="6" t="s">
        <v>270</v>
      </c>
      <c r="D670" s="31" t="s">
        <v>124</v>
      </c>
      <c r="E670" s="34">
        <v>5.75</v>
      </c>
      <c r="F670" s="22" t="s">
        <v>265</v>
      </c>
    </row>
    <row r="671" spans="1:6">
      <c r="A671" s="22" t="s">
        <v>596</v>
      </c>
      <c r="B671" s="33" t="s">
        <v>679</v>
      </c>
      <c r="C671" s="6" t="s">
        <v>270</v>
      </c>
      <c r="D671" s="31" t="s">
        <v>124</v>
      </c>
      <c r="E671" s="34">
        <v>10</v>
      </c>
      <c r="F671" s="22" t="s">
        <v>265</v>
      </c>
    </row>
    <row r="672" spans="1:6">
      <c r="A672" s="22" t="s">
        <v>596</v>
      </c>
      <c r="B672" s="33" t="s">
        <v>619</v>
      </c>
      <c r="C672" s="6" t="s">
        <v>270</v>
      </c>
      <c r="D672" s="31" t="s">
        <v>124</v>
      </c>
      <c r="E672" s="34">
        <v>4</v>
      </c>
      <c r="F672" s="22" t="s">
        <v>265</v>
      </c>
    </row>
    <row r="673" spans="1:6">
      <c r="A673" s="22" t="s">
        <v>596</v>
      </c>
      <c r="B673" s="33" t="s">
        <v>648</v>
      </c>
      <c r="C673" s="6" t="s">
        <v>270</v>
      </c>
      <c r="D673" s="31" t="s">
        <v>124</v>
      </c>
      <c r="E673" s="34">
        <v>5</v>
      </c>
      <c r="F673" s="22" t="s">
        <v>265</v>
      </c>
    </row>
    <row r="674" spans="1:6">
      <c r="A674" s="22" t="s">
        <v>596</v>
      </c>
      <c r="B674" s="33" t="s">
        <v>680</v>
      </c>
      <c r="C674" s="6" t="s">
        <v>270</v>
      </c>
      <c r="D674" s="31" t="s">
        <v>124</v>
      </c>
      <c r="E674" s="34">
        <v>6</v>
      </c>
      <c r="F674" s="22" t="s">
        <v>265</v>
      </c>
    </row>
    <row r="675" spans="1:6">
      <c r="A675" s="22" t="s">
        <v>596</v>
      </c>
      <c r="B675" s="33" t="s">
        <v>681</v>
      </c>
      <c r="C675" s="6" t="s">
        <v>270</v>
      </c>
      <c r="D675" s="31" t="s">
        <v>124</v>
      </c>
      <c r="E675" s="34">
        <v>12</v>
      </c>
      <c r="F675" s="22" t="s">
        <v>265</v>
      </c>
    </row>
    <row r="676" spans="1:6">
      <c r="A676" s="22" t="s">
        <v>596</v>
      </c>
      <c r="B676" s="33" t="s">
        <v>682</v>
      </c>
      <c r="C676" s="6" t="s">
        <v>270</v>
      </c>
      <c r="D676" s="31" t="s">
        <v>124</v>
      </c>
      <c r="E676" s="34">
        <v>4.5</v>
      </c>
      <c r="F676" s="22" t="s">
        <v>265</v>
      </c>
    </row>
    <row r="677" spans="1:6">
      <c r="A677" s="22" t="s">
        <v>596</v>
      </c>
      <c r="B677" s="33" t="s">
        <v>640</v>
      </c>
      <c r="C677" s="6" t="s">
        <v>270</v>
      </c>
      <c r="D677" s="31" t="s">
        <v>124</v>
      </c>
      <c r="E677" s="34">
        <v>4.5</v>
      </c>
      <c r="F677" s="22" t="s">
        <v>265</v>
      </c>
    </row>
    <row r="678" spans="1:6">
      <c r="A678" s="22" t="s">
        <v>596</v>
      </c>
      <c r="B678" s="33" t="s">
        <v>3323</v>
      </c>
      <c r="C678" s="6" t="s">
        <v>270</v>
      </c>
      <c r="D678" s="31" t="s">
        <v>124</v>
      </c>
      <c r="E678" s="34">
        <v>12</v>
      </c>
      <c r="F678" s="22" t="s">
        <v>265</v>
      </c>
    </row>
    <row r="679" spans="1:6">
      <c r="A679" s="22" t="s">
        <v>596</v>
      </c>
      <c r="B679" s="33" t="s">
        <v>3324</v>
      </c>
      <c r="C679" s="6" t="s">
        <v>270</v>
      </c>
      <c r="D679" s="31" t="s">
        <v>124</v>
      </c>
      <c r="E679" s="34">
        <v>18</v>
      </c>
      <c r="F679" s="22" t="s">
        <v>265</v>
      </c>
    </row>
    <row r="680" spans="1:6">
      <c r="A680" s="22" t="s">
        <v>596</v>
      </c>
      <c r="B680" s="33" t="s">
        <v>684</v>
      </c>
      <c r="C680" s="6" t="s">
        <v>270</v>
      </c>
      <c r="D680" s="31" t="s">
        <v>124</v>
      </c>
      <c r="E680" s="34">
        <v>25</v>
      </c>
      <c r="F680" s="22" t="s">
        <v>265</v>
      </c>
    </row>
    <row r="681" spans="1:6">
      <c r="A681" s="22" t="s">
        <v>596</v>
      </c>
      <c r="B681" s="33" t="s">
        <v>685</v>
      </c>
      <c r="C681" s="6" t="s">
        <v>270</v>
      </c>
      <c r="D681" s="31" t="s">
        <v>124</v>
      </c>
      <c r="E681" s="34">
        <v>0.12</v>
      </c>
      <c r="F681" s="22" t="s">
        <v>265</v>
      </c>
    </row>
    <row r="682" spans="1:6">
      <c r="A682" s="22" t="s">
        <v>596</v>
      </c>
      <c r="B682" s="33" t="s">
        <v>686</v>
      </c>
      <c r="C682" s="6" t="s">
        <v>270</v>
      </c>
      <c r="D682" s="31" t="s">
        <v>124</v>
      </c>
      <c r="E682" s="34">
        <v>1</v>
      </c>
      <c r="F682" s="22" t="s">
        <v>265</v>
      </c>
    </row>
    <row r="683" spans="1:6">
      <c r="A683" s="22" t="s">
        <v>596</v>
      </c>
      <c r="B683" s="33" t="s">
        <v>687</v>
      </c>
      <c r="C683" s="6" t="s">
        <v>270</v>
      </c>
      <c r="D683" s="31" t="s">
        <v>124</v>
      </c>
      <c r="E683" s="34">
        <v>25</v>
      </c>
      <c r="F683" s="22" t="s">
        <v>265</v>
      </c>
    </row>
    <row r="684" spans="1:6">
      <c r="A684" s="22" t="s">
        <v>596</v>
      </c>
      <c r="B684" s="33" t="s">
        <v>688</v>
      </c>
      <c r="C684" s="6" t="s">
        <v>270</v>
      </c>
      <c r="D684" s="31" t="s">
        <v>616</v>
      </c>
      <c r="E684" s="34">
        <v>13</v>
      </c>
      <c r="F684" s="22" t="s">
        <v>265</v>
      </c>
    </row>
    <row r="685" spans="1:6">
      <c r="A685" s="22" t="s">
        <v>596</v>
      </c>
      <c r="B685" s="33" t="s">
        <v>689</v>
      </c>
      <c r="C685" s="6" t="s">
        <v>270</v>
      </c>
      <c r="D685" s="31" t="s">
        <v>329</v>
      </c>
      <c r="E685" s="34">
        <v>185</v>
      </c>
      <c r="F685" s="22" t="s">
        <v>265</v>
      </c>
    </row>
    <row r="686" spans="1:6">
      <c r="A686" s="22" t="s">
        <v>596</v>
      </c>
      <c r="B686" s="33" t="s">
        <v>636</v>
      </c>
      <c r="C686" s="6" t="s">
        <v>270</v>
      </c>
      <c r="D686" s="31" t="s">
        <v>622</v>
      </c>
      <c r="E686" s="34">
        <v>17</v>
      </c>
      <c r="F686" s="22" t="s">
        <v>265</v>
      </c>
    </row>
    <row r="687" spans="1:6">
      <c r="A687" s="22" t="s">
        <v>596</v>
      </c>
      <c r="B687" s="33" t="s">
        <v>3325</v>
      </c>
      <c r="C687" s="6" t="s">
        <v>270</v>
      </c>
      <c r="D687" s="31" t="s">
        <v>622</v>
      </c>
      <c r="E687" s="34">
        <v>34</v>
      </c>
      <c r="F687" s="22" t="s">
        <v>265</v>
      </c>
    </row>
    <row r="688" spans="1:6">
      <c r="A688" s="22" t="s">
        <v>596</v>
      </c>
      <c r="B688" s="33" t="s">
        <v>691</v>
      </c>
      <c r="C688" s="6" t="s">
        <v>270</v>
      </c>
      <c r="D688" s="31" t="s">
        <v>124</v>
      </c>
      <c r="E688" s="34">
        <v>3</v>
      </c>
      <c r="F688" s="22" t="s">
        <v>265</v>
      </c>
    </row>
    <row r="689" spans="1:6">
      <c r="A689" s="22" t="s">
        <v>596</v>
      </c>
      <c r="B689" s="33" t="s">
        <v>692</v>
      </c>
      <c r="C689" s="6" t="s">
        <v>270</v>
      </c>
      <c r="D689" s="31" t="s">
        <v>399</v>
      </c>
      <c r="E689" s="34">
        <v>15</v>
      </c>
      <c r="F689" s="22" t="s">
        <v>265</v>
      </c>
    </row>
    <row r="690" spans="1:6">
      <c r="A690" s="22" t="s">
        <v>596</v>
      </c>
      <c r="B690" s="33" t="s">
        <v>647</v>
      </c>
      <c r="C690" s="6" t="s">
        <v>270</v>
      </c>
      <c r="D690" s="31" t="s">
        <v>329</v>
      </c>
      <c r="E690" s="34">
        <v>12</v>
      </c>
      <c r="F690" s="22" t="s">
        <v>265</v>
      </c>
    </row>
    <row r="691" spans="1:6">
      <c r="A691" s="22" t="s">
        <v>596</v>
      </c>
      <c r="B691" s="33" t="s">
        <v>693</v>
      </c>
      <c r="C691" s="6" t="s">
        <v>270</v>
      </c>
      <c r="D691" s="31" t="s">
        <v>399</v>
      </c>
      <c r="E691" s="34">
        <v>30</v>
      </c>
      <c r="F691" s="22" t="s">
        <v>265</v>
      </c>
    </row>
    <row r="692" spans="1:6">
      <c r="A692" s="22" t="s">
        <v>596</v>
      </c>
      <c r="B692" s="33" t="s">
        <v>655</v>
      </c>
      <c r="C692" s="6" t="s">
        <v>270</v>
      </c>
      <c r="D692" s="31" t="s">
        <v>329</v>
      </c>
      <c r="E692" s="34">
        <v>90</v>
      </c>
      <c r="F692" s="22" t="s">
        <v>265</v>
      </c>
    </row>
    <row r="693" spans="1:6">
      <c r="A693" s="22" t="s">
        <v>596</v>
      </c>
      <c r="B693" s="33" t="s">
        <v>651</v>
      </c>
      <c r="C693" s="6" t="s">
        <v>270</v>
      </c>
      <c r="D693" s="31" t="s">
        <v>329</v>
      </c>
      <c r="E693" s="34">
        <v>1</v>
      </c>
      <c r="F693" s="22" t="s">
        <v>265</v>
      </c>
    </row>
    <row r="694" spans="1:6">
      <c r="A694" s="22" t="s">
        <v>596</v>
      </c>
      <c r="B694" s="33" t="s">
        <v>694</v>
      </c>
      <c r="C694" s="6" t="s">
        <v>270</v>
      </c>
      <c r="D694" s="31" t="s">
        <v>329</v>
      </c>
      <c r="E694" s="34">
        <v>5</v>
      </c>
      <c r="F694" s="22" t="s">
        <v>265</v>
      </c>
    </row>
    <row r="695" spans="1:6">
      <c r="A695" s="22" t="s">
        <v>596</v>
      </c>
      <c r="B695" s="33" t="s">
        <v>695</v>
      </c>
      <c r="C695" s="6" t="s">
        <v>270</v>
      </c>
      <c r="D695" s="31" t="s">
        <v>124</v>
      </c>
      <c r="E695" s="34">
        <v>5</v>
      </c>
      <c r="F695" s="22" t="s">
        <v>265</v>
      </c>
    </row>
    <row r="696" spans="1:6">
      <c r="A696" s="22" t="s">
        <v>596</v>
      </c>
      <c r="B696" s="33" t="s">
        <v>696</v>
      </c>
      <c r="C696" s="6" t="s">
        <v>270</v>
      </c>
      <c r="D696" s="31" t="s">
        <v>124</v>
      </c>
      <c r="E696" s="34">
        <v>2.5</v>
      </c>
      <c r="F696" s="22" t="s">
        <v>265</v>
      </c>
    </row>
    <row r="697" spans="1:6">
      <c r="A697" s="22" t="s">
        <v>596</v>
      </c>
      <c r="B697" s="33" t="s">
        <v>657</v>
      </c>
      <c r="C697" s="6" t="s">
        <v>270</v>
      </c>
      <c r="D697" s="31" t="s">
        <v>399</v>
      </c>
      <c r="E697" s="34">
        <v>5.5</v>
      </c>
      <c r="F697" s="22" t="s">
        <v>265</v>
      </c>
    </row>
    <row r="698" spans="1:6">
      <c r="A698" s="22" t="s">
        <v>596</v>
      </c>
      <c r="B698" s="33" t="s">
        <v>656</v>
      </c>
      <c r="C698" s="6" t="s">
        <v>270</v>
      </c>
      <c r="D698" s="31" t="s">
        <v>124</v>
      </c>
      <c r="E698" s="34">
        <v>3</v>
      </c>
      <c r="F698" s="22" t="s">
        <v>265</v>
      </c>
    </row>
    <row r="699" spans="1:6">
      <c r="A699" s="22" t="s">
        <v>596</v>
      </c>
      <c r="B699" s="33" t="s">
        <v>697</v>
      </c>
      <c r="C699" s="6" t="s">
        <v>270</v>
      </c>
      <c r="D699" s="31" t="s">
        <v>329</v>
      </c>
      <c r="E699" s="34">
        <v>55</v>
      </c>
      <c r="F699" s="22" t="s">
        <v>265</v>
      </c>
    </row>
    <row r="700" spans="1:6">
      <c r="A700" s="22" t="s">
        <v>596</v>
      </c>
      <c r="B700" s="33" t="s">
        <v>698</v>
      </c>
      <c r="C700" s="6" t="s">
        <v>270</v>
      </c>
      <c r="D700" s="31" t="s">
        <v>124</v>
      </c>
      <c r="E700" s="34">
        <v>48</v>
      </c>
      <c r="F700" s="22" t="s">
        <v>265</v>
      </c>
    </row>
    <row r="701" spans="1:6">
      <c r="A701" s="22" t="s">
        <v>596</v>
      </c>
      <c r="B701" s="33" t="s">
        <v>629</v>
      </c>
      <c r="C701" s="6" t="s">
        <v>270</v>
      </c>
      <c r="D701" s="31" t="s">
        <v>124</v>
      </c>
      <c r="E701" s="34">
        <v>2.5</v>
      </c>
      <c r="F701" s="22" t="s">
        <v>265</v>
      </c>
    </row>
    <row r="702" spans="1:6">
      <c r="A702" s="22" t="s">
        <v>596</v>
      </c>
      <c r="B702" s="33" t="s">
        <v>699</v>
      </c>
      <c r="C702" s="6" t="s">
        <v>270</v>
      </c>
      <c r="D702" s="31" t="s">
        <v>700</v>
      </c>
      <c r="E702" s="34">
        <v>850</v>
      </c>
      <c r="F702" s="22" t="s">
        <v>265</v>
      </c>
    </row>
    <row r="703" spans="1:6">
      <c r="A703" s="22" t="s">
        <v>596</v>
      </c>
      <c r="B703" s="33" t="s">
        <v>701</v>
      </c>
      <c r="C703" s="6" t="s">
        <v>301</v>
      </c>
      <c r="D703" s="31" t="s">
        <v>702</v>
      </c>
      <c r="E703" s="34">
        <v>6.5</v>
      </c>
      <c r="F703" s="22" t="s">
        <v>265</v>
      </c>
    </row>
    <row r="704" spans="1:6">
      <c r="A704" s="22" t="s">
        <v>596</v>
      </c>
      <c r="B704" s="33" t="s">
        <v>703</v>
      </c>
      <c r="C704" s="6" t="s">
        <v>301</v>
      </c>
      <c r="D704" s="31" t="s">
        <v>124</v>
      </c>
      <c r="E704" s="34">
        <v>5.25</v>
      </c>
      <c r="F704" s="22" t="s">
        <v>265</v>
      </c>
    </row>
    <row r="705" spans="1:6">
      <c r="A705" s="22" t="s">
        <v>596</v>
      </c>
      <c r="B705" s="33" t="s">
        <v>704</v>
      </c>
      <c r="C705" s="6" t="s">
        <v>301</v>
      </c>
      <c r="D705" s="31" t="s">
        <v>124</v>
      </c>
      <c r="E705" s="34">
        <v>3</v>
      </c>
      <c r="F705" s="22" t="s">
        <v>265</v>
      </c>
    </row>
    <row r="706" spans="1:6">
      <c r="A706" s="22" t="s">
        <v>596</v>
      </c>
      <c r="B706" s="33" t="s">
        <v>705</v>
      </c>
      <c r="C706" s="6" t="s">
        <v>301</v>
      </c>
      <c r="D706" s="31" t="s">
        <v>124</v>
      </c>
      <c r="E706" s="34">
        <v>2</v>
      </c>
      <c r="F706" s="22" t="s">
        <v>265</v>
      </c>
    </row>
    <row r="707" spans="1:6">
      <c r="A707" s="22" t="s">
        <v>596</v>
      </c>
      <c r="B707" s="33" t="s">
        <v>706</v>
      </c>
      <c r="C707" s="6" t="s">
        <v>301</v>
      </c>
      <c r="D707" s="31" t="s">
        <v>124</v>
      </c>
      <c r="E707" s="34">
        <v>0.75</v>
      </c>
      <c r="F707" s="22" t="s">
        <v>265</v>
      </c>
    </row>
    <row r="708" spans="1:6">
      <c r="A708" s="22" t="s">
        <v>596</v>
      </c>
      <c r="B708" s="33" t="s">
        <v>707</v>
      </c>
      <c r="C708" s="6" t="s">
        <v>301</v>
      </c>
      <c r="D708" s="31" t="s">
        <v>124</v>
      </c>
      <c r="E708" s="34">
        <v>6</v>
      </c>
      <c r="F708" s="22" t="s">
        <v>265</v>
      </c>
    </row>
    <row r="709" spans="1:6">
      <c r="A709" s="22" t="s">
        <v>596</v>
      </c>
      <c r="B709" s="33" t="s">
        <v>610</v>
      </c>
      <c r="C709" s="6" t="s">
        <v>301</v>
      </c>
      <c r="D709" s="31" t="s">
        <v>124</v>
      </c>
      <c r="E709" s="34">
        <v>5</v>
      </c>
      <c r="F709" s="22" t="s">
        <v>265</v>
      </c>
    </row>
    <row r="710" spans="1:6">
      <c r="A710" s="22" t="s">
        <v>596</v>
      </c>
      <c r="B710" s="33" t="s">
        <v>708</v>
      </c>
      <c r="C710" s="6" t="s">
        <v>301</v>
      </c>
      <c r="D710" s="31" t="s">
        <v>329</v>
      </c>
      <c r="E710" s="34">
        <v>6.5</v>
      </c>
      <c r="F710" s="22" t="s">
        <v>265</v>
      </c>
    </row>
    <row r="711" spans="1:6">
      <c r="A711" s="22" t="s">
        <v>596</v>
      </c>
      <c r="B711" s="33" t="s">
        <v>709</v>
      </c>
      <c r="C711" s="6" t="s">
        <v>301</v>
      </c>
      <c r="D711" s="31" t="s">
        <v>124</v>
      </c>
      <c r="E711" s="34">
        <v>7</v>
      </c>
      <c r="F711" s="22" t="s">
        <v>265</v>
      </c>
    </row>
    <row r="712" spans="1:6">
      <c r="A712" s="22" t="s">
        <v>596</v>
      </c>
      <c r="B712" s="33" t="s">
        <v>710</v>
      </c>
      <c r="C712" s="6" t="s">
        <v>301</v>
      </c>
      <c r="D712" s="31" t="s">
        <v>124</v>
      </c>
      <c r="E712" s="34">
        <v>17</v>
      </c>
      <c r="F712" s="22" t="s">
        <v>265</v>
      </c>
    </row>
    <row r="713" spans="1:6">
      <c r="A713" s="22" t="s">
        <v>596</v>
      </c>
      <c r="B713" s="33" t="s">
        <v>3326</v>
      </c>
      <c r="C713" s="6" t="s">
        <v>301</v>
      </c>
      <c r="D713" s="31" t="s">
        <v>124</v>
      </c>
      <c r="E713" s="34">
        <v>15</v>
      </c>
      <c r="F713" s="22" t="s">
        <v>265</v>
      </c>
    </row>
    <row r="714" spans="1:6">
      <c r="A714" s="22" t="s">
        <v>596</v>
      </c>
      <c r="B714" s="33" t="s">
        <v>629</v>
      </c>
      <c r="C714" s="6" t="s">
        <v>301</v>
      </c>
      <c r="D714" s="31" t="s">
        <v>124</v>
      </c>
      <c r="E714" s="34">
        <v>3.5</v>
      </c>
      <c r="F714" s="22" t="s">
        <v>265</v>
      </c>
    </row>
    <row r="715" spans="1:6">
      <c r="A715" s="22" t="s">
        <v>596</v>
      </c>
      <c r="B715" s="33" t="s">
        <v>711</v>
      </c>
      <c r="C715" s="6" t="s">
        <v>301</v>
      </c>
      <c r="D715" s="31" t="s">
        <v>124</v>
      </c>
      <c r="E715" s="34">
        <v>0.55</v>
      </c>
      <c r="F715" s="22" t="s">
        <v>265</v>
      </c>
    </row>
    <row r="716" spans="1:6">
      <c r="A716" s="22" t="s">
        <v>596</v>
      </c>
      <c r="B716" s="33" t="s">
        <v>712</v>
      </c>
      <c r="C716" s="6" t="s">
        <v>301</v>
      </c>
      <c r="D716" s="31" t="s">
        <v>124</v>
      </c>
      <c r="E716" s="34">
        <v>5</v>
      </c>
      <c r="F716" s="22" t="s">
        <v>265</v>
      </c>
    </row>
    <row r="717" spans="1:6">
      <c r="A717" s="22" t="s">
        <v>596</v>
      </c>
      <c r="B717" s="33" t="s">
        <v>713</v>
      </c>
      <c r="C717" s="6" t="s">
        <v>301</v>
      </c>
      <c r="D717" s="31" t="s">
        <v>399</v>
      </c>
      <c r="E717" s="34">
        <v>15</v>
      </c>
      <c r="F717" s="22" t="s">
        <v>265</v>
      </c>
    </row>
    <row r="718" spans="1:6">
      <c r="A718" s="22" t="s">
        <v>596</v>
      </c>
      <c r="B718" s="33" t="s">
        <v>714</v>
      </c>
      <c r="C718" s="6" t="s">
        <v>301</v>
      </c>
      <c r="D718" s="31" t="s">
        <v>399</v>
      </c>
      <c r="E718" s="34">
        <v>5</v>
      </c>
      <c r="F718" s="22" t="s">
        <v>265</v>
      </c>
    </row>
    <row r="719" spans="1:6">
      <c r="A719" s="22" t="s">
        <v>596</v>
      </c>
      <c r="B719" s="33" t="s">
        <v>686</v>
      </c>
      <c r="C719" s="6" t="s">
        <v>301</v>
      </c>
      <c r="D719" s="31" t="s">
        <v>124</v>
      </c>
      <c r="E719" s="34">
        <v>2.5</v>
      </c>
      <c r="F719" s="22" t="s">
        <v>265</v>
      </c>
    </row>
    <row r="720" spans="1:6">
      <c r="A720" s="22" t="s">
        <v>596</v>
      </c>
      <c r="B720" s="33" t="s">
        <v>636</v>
      </c>
      <c r="C720" s="6" t="s">
        <v>301</v>
      </c>
      <c r="D720" s="31" t="s">
        <v>622</v>
      </c>
      <c r="E720" s="34">
        <v>18</v>
      </c>
      <c r="F720" s="22" t="s">
        <v>265</v>
      </c>
    </row>
    <row r="721" spans="1:6">
      <c r="A721" s="22" t="s">
        <v>596</v>
      </c>
      <c r="B721" s="33" t="s">
        <v>637</v>
      </c>
      <c r="C721" s="6" t="s">
        <v>301</v>
      </c>
      <c r="D721" s="31" t="s">
        <v>524</v>
      </c>
      <c r="E721" s="34">
        <v>35</v>
      </c>
      <c r="F721" s="22" t="s">
        <v>265</v>
      </c>
    </row>
    <row r="722" spans="1:6">
      <c r="A722" s="22" t="s">
        <v>596</v>
      </c>
      <c r="B722" s="33" t="s">
        <v>3327</v>
      </c>
      <c r="C722" s="6" t="s">
        <v>301</v>
      </c>
      <c r="D722" s="31" t="s">
        <v>124</v>
      </c>
      <c r="E722" s="34">
        <v>4</v>
      </c>
      <c r="F722" s="22" t="s">
        <v>265</v>
      </c>
    </row>
    <row r="723" spans="1:6">
      <c r="A723" s="22" t="s">
        <v>596</v>
      </c>
      <c r="B723" s="33" t="s">
        <v>715</v>
      </c>
      <c r="C723" s="6" t="s">
        <v>301</v>
      </c>
      <c r="D723" s="31" t="s">
        <v>124</v>
      </c>
      <c r="E723" s="34">
        <v>3</v>
      </c>
      <c r="F723" s="22" t="s">
        <v>265</v>
      </c>
    </row>
    <row r="724" spans="1:6">
      <c r="A724" s="22" t="s">
        <v>596</v>
      </c>
      <c r="B724" s="33" t="s">
        <v>716</v>
      </c>
      <c r="C724" s="6" t="s">
        <v>301</v>
      </c>
      <c r="D724" s="31" t="s">
        <v>124</v>
      </c>
      <c r="E724" s="34">
        <v>250</v>
      </c>
      <c r="F724" s="22" t="s">
        <v>265</v>
      </c>
    </row>
    <row r="725" spans="1:6">
      <c r="A725" s="22" t="s">
        <v>596</v>
      </c>
      <c r="B725" s="33" t="s">
        <v>646</v>
      </c>
      <c r="C725" s="6" t="s">
        <v>301</v>
      </c>
      <c r="D725" s="31" t="s">
        <v>124</v>
      </c>
      <c r="E725" s="34">
        <v>5.5</v>
      </c>
      <c r="F725" s="22" t="s">
        <v>265</v>
      </c>
    </row>
    <row r="726" spans="1:6">
      <c r="A726" s="22" t="s">
        <v>596</v>
      </c>
      <c r="B726" s="33" t="s">
        <v>612</v>
      </c>
      <c r="C726" s="6" t="s">
        <v>301</v>
      </c>
      <c r="D726" s="31" t="s">
        <v>124</v>
      </c>
      <c r="E726" s="34">
        <v>2.5</v>
      </c>
      <c r="F726" s="22" t="s">
        <v>265</v>
      </c>
    </row>
    <row r="727" spans="1:6">
      <c r="A727" s="22" t="s">
        <v>596</v>
      </c>
      <c r="B727" s="33" t="s">
        <v>633</v>
      </c>
      <c r="C727" s="6" t="s">
        <v>301</v>
      </c>
      <c r="D727" s="31" t="s">
        <v>124</v>
      </c>
      <c r="E727" s="34">
        <v>5.5</v>
      </c>
      <c r="F727" s="22" t="s">
        <v>265</v>
      </c>
    </row>
    <row r="728" spans="1:6">
      <c r="A728" s="22" t="s">
        <v>596</v>
      </c>
      <c r="B728" s="33" t="s">
        <v>640</v>
      </c>
      <c r="C728" s="6" t="s">
        <v>301</v>
      </c>
      <c r="D728" s="31" t="s">
        <v>124</v>
      </c>
      <c r="E728" s="34">
        <v>25</v>
      </c>
      <c r="F728" s="22" t="s">
        <v>265</v>
      </c>
    </row>
    <row r="729" spans="1:6">
      <c r="A729" s="22" t="s">
        <v>596</v>
      </c>
      <c r="B729" s="33" t="s">
        <v>682</v>
      </c>
      <c r="C729" s="6" t="s">
        <v>301</v>
      </c>
      <c r="D729" s="31" t="s">
        <v>124</v>
      </c>
      <c r="E729" s="34">
        <v>20</v>
      </c>
      <c r="F729" s="22" t="s">
        <v>265</v>
      </c>
    </row>
    <row r="730" spans="1:6">
      <c r="A730" s="22" t="s">
        <v>596</v>
      </c>
      <c r="B730" s="33" t="s">
        <v>681</v>
      </c>
      <c r="C730" s="6" t="s">
        <v>301</v>
      </c>
      <c r="D730" s="31" t="s">
        <v>124</v>
      </c>
      <c r="E730" s="34">
        <v>15</v>
      </c>
      <c r="F730" s="22" t="s">
        <v>265</v>
      </c>
    </row>
    <row r="731" spans="1:6">
      <c r="A731" s="22" t="s">
        <v>596</v>
      </c>
      <c r="B731" s="33" t="s">
        <v>665</v>
      </c>
      <c r="C731" s="6" t="s">
        <v>301</v>
      </c>
      <c r="D731" s="31" t="s">
        <v>124</v>
      </c>
      <c r="E731" s="34">
        <v>15</v>
      </c>
      <c r="F731" s="22" t="s">
        <v>265</v>
      </c>
    </row>
    <row r="732" spans="1:6">
      <c r="A732" s="22" t="s">
        <v>596</v>
      </c>
      <c r="B732" s="33" t="s">
        <v>717</v>
      </c>
      <c r="C732" s="6" t="s">
        <v>301</v>
      </c>
      <c r="D732" s="31" t="s">
        <v>329</v>
      </c>
      <c r="E732" s="34">
        <v>4.5</v>
      </c>
      <c r="F732" s="22" t="s">
        <v>265</v>
      </c>
    </row>
    <row r="733" spans="1:6">
      <c r="A733" s="22" t="s">
        <v>596</v>
      </c>
      <c r="B733" s="33" t="s">
        <v>718</v>
      </c>
      <c r="C733" s="6" t="s">
        <v>301</v>
      </c>
      <c r="D733" s="31" t="s">
        <v>124</v>
      </c>
      <c r="E733" s="34">
        <v>13</v>
      </c>
      <c r="F733" s="22" t="s">
        <v>265</v>
      </c>
    </row>
    <row r="734" spans="1:6">
      <c r="A734" s="22" t="s">
        <v>596</v>
      </c>
      <c r="B734" s="33" t="s">
        <v>719</v>
      </c>
      <c r="C734" s="6" t="s">
        <v>301</v>
      </c>
      <c r="D734" s="31" t="s">
        <v>124</v>
      </c>
      <c r="E734" s="34">
        <v>16</v>
      </c>
      <c r="F734" s="22" t="s">
        <v>265</v>
      </c>
    </row>
    <row r="735" spans="1:6">
      <c r="A735" s="22" t="s">
        <v>596</v>
      </c>
      <c r="B735" s="33" t="s">
        <v>720</v>
      </c>
      <c r="C735" s="6" t="s">
        <v>301</v>
      </c>
      <c r="D735" s="31" t="s">
        <v>124</v>
      </c>
      <c r="E735" s="34">
        <v>20</v>
      </c>
      <c r="F735" s="22" t="s">
        <v>265</v>
      </c>
    </row>
    <row r="736" spans="1:6">
      <c r="A736" s="22" t="s">
        <v>596</v>
      </c>
      <c r="B736" s="33" t="s">
        <v>721</v>
      </c>
      <c r="C736" s="6" t="s">
        <v>301</v>
      </c>
      <c r="D736" s="31" t="s">
        <v>124</v>
      </c>
      <c r="E736" s="34">
        <v>35</v>
      </c>
      <c r="F736" s="22" t="s">
        <v>265</v>
      </c>
    </row>
    <row r="737" spans="1:6">
      <c r="A737" s="22" t="s">
        <v>596</v>
      </c>
      <c r="B737" s="33" t="s">
        <v>722</v>
      </c>
      <c r="C737" s="6" t="s">
        <v>301</v>
      </c>
      <c r="D737" s="31" t="s">
        <v>124</v>
      </c>
      <c r="E737" s="34">
        <v>25</v>
      </c>
      <c r="F737" s="22" t="s">
        <v>265</v>
      </c>
    </row>
    <row r="738" spans="1:6">
      <c r="A738" s="22" t="s">
        <v>596</v>
      </c>
      <c r="B738" s="33" t="s">
        <v>723</v>
      </c>
      <c r="C738" s="6" t="s">
        <v>301</v>
      </c>
      <c r="D738" s="31" t="s">
        <v>124</v>
      </c>
      <c r="E738" s="34">
        <v>9</v>
      </c>
      <c r="F738" s="22" t="s">
        <v>265</v>
      </c>
    </row>
    <row r="739" spans="1:6">
      <c r="A739" s="22" t="s">
        <v>596</v>
      </c>
      <c r="B739" s="33" t="s">
        <v>724</v>
      </c>
      <c r="C739" s="6" t="s">
        <v>270</v>
      </c>
      <c r="D739" s="31" t="s">
        <v>124</v>
      </c>
      <c r="E739" s="34">
        <v>55</v>
      </c>
      <c r="F739" s="22" t="s">
        <v>265</v>
      </c>
    </row>
    <row r="740" spans="1:6">
      <c r="A740" s="22" t="s">
        <v>596</v>
      </c>
      <c r="B740" s="33" t="s">
        <v>661</v>
      </c>
      <c r="C740" s="6" t="s">
        <v>301</v>
      </c>
      <c r="D740" s="31" t="s">
        <v>124</v>
      </c>
      <c r="E740" s="34">
        <v>40</v>
      </c>
      <c r="F740" s="22" t="s">
        <v>265</v>
      </c>
    </row>
    <row r="741" spans="1:6">
      <c r="A741" s="22" t="s">
        <v>596</v>
      </c>
      <c r="B741" s="33" t="s">
        <v>725</v>
      </c>
      <c r="C741" s="6" t="s">
        <v>301</v>
      </c>
      <c r="D741" s="31" t="s">
        <v>124</v>
      </c>
      <c r="E741" s="34">
        <v>65</v>
      </c>
      <c r="F741" s="22" t="s">
        <v>265</v>
      </c>
    </row>
    <row r="742" spans="1:6">
      <c r="A742" s="22" t="s">
        <v>596</v>
      </c>
      <c r="B742" s="33" t="s">
        <v>727</v>
      </c>
      <c r="C742" s="6" t="s">
        <v>301</v>
      </c>
      <c r="D742" s="31" t="s">
        <v>124</v>
      </c>
      <c r="E742" s="34">
        <v>15</v>
      </c>
      <c r="F742" s="22" t="s">
        <v>265</v>
      </c>
    </row>
    <row r="743" spans="1:6">
      <c r="A743" s="22" t="s">
        <v>596</v>
      </c>
      <c r="B743" s="33" t="s">
        <v>728</v>
      </c>
      <c r="C743" s="6" t="s">
        <v>301</v>
      </c>
      <c r="D743" s="31" t="s">
        <v>124</v>
      </c>
      <c r="E743" s="34">
        <v>130</v>
      </c>
      <c r="F743" s="22" t="s">
        <v>265</v>
      </c>
    </row>
    <row r="744" spans="1:6">
      <c r="A744" s="22" t="s">
        <v>596</v>
      </c>
      <c r="B744" s="33" t="s">
        <v>606</v>
      </c>
      <c r="C744" s="6" t="s">
        <v>301</v>
      </c>
      <c r="D744" s="31" t="s">
        <v>124</v>
      </c>
      <c r="E744" s="34">
        <v>15</v>
      </c>
      <c r="F744" s="22" t="s">
        <v>265</v>
      </c>
    </row>
    <row r="745" spans="1:6">
      <c r="A745" s="22" t="s">
        <v>596</v>
      </c>
      <c r="B745" s="33" t="s">
        <v>726</v>
      </c>
      <c r="C745" s="6" t="s">
        <v>301</v>
      </c>
      <c r="D745" s="31" t="s">
        <v>124</v>
      </c>
      <c r="E745" s="34">
        <v>12</v>
      </c>
      <c r="F745" s="22" t="s">
        <v>265</v>
      </c>
    </row>
    <row r="746" spans="1:6">
      <c r="A746" s="22" t="s">
        <v>596</v>
      </c>
      <c r="B746" s="33" t="s">
        <v>729</v>
      </c>
      <c r="C746" s="6" t="s">
        <v>301</v>
      </c>
      <c r="D746" s="31" t="s">
        <v>124</v>
      </c>
      <c r="E746" s="34">
        <v>15</v>
      </c>
      <c r="F746" s="22" t="s">
        <v>265</v>
      </c>
    </row>
    <row r="747" spans="1:6">
      <c r="A747" s="22" t="s">
        <v>596</v>
      </c>
      <c r="B747" s="33" t="s">
        <v>730</v>
      </c>
      <c r="C747" s="6" t="s">
        <v>301</v>
      </c>
      <c r="D747" s="31" t="s">
        <v>124</v>
      </c>
      <c r="E747" s="34">
        <v>18</v>
      </c>
      <c r="F747" s="22" t="s">
        <v>265</v>
      </c>
    </row>
    <row r="748" spans="1:6">
      <c r="A748" s="22" t="s">
        <v>596</v>
      </c>
      <c r="B748" s="33" t="s">
        <v>731</v>
      </c>
      <c r="C748" s="6" t="s">
        <v>301</v>
      </c>
      <c r="D748" s="31" t="s">
        <v>124</v>
      </c>
      <c r="E748" s="34">
        <v>24</v>
      </c>
      <c r="F748" s="22" t="s">
        <v>265</v>
      </c>
    </row>
    <row r="749" spans="1:6">
      <c r="A749" s="22" t="s">
        <v>596</v>
      </c>
      <c r="B749" s="33" t="s">
        <v>732</v>
      </c>
      <c r="C749" s="6" t="s">
        <v>301</v>
      </c>
      <c r="D749" s="31" t="s">
        <v>124</v>
      </c>
      <c r="E749" s="34">
        <v>45</v>
      </c>
      <c r="F749" s="22" t="s">
        <v>265</v>
      </c>
    </row>
    <row r="750" spans="1:6">
      <c r="A750" s="22" t="s">
        <v>596</v>
      </c>
      <c r="B750" s="33" t="s">
        <v>733</v>
      </c>
      <c r="C750" s="6" t="s">
        <v>734</v>
      </c>
      <c r="D750" s="9" t="s">
        <v>250</v>
      </c>
      <c r="E750" s="34">
        <v>775</v>
      </c>
      <c r="F750" s="22" t="s">
        <v>259</v>
      </c>
    </row>
    <row r="751" spans="1:6">
      <c r="A751" s="22" t="s">
        <v>596</v>
      </c>
      <c r="B751" s="33" t="s">
        <v>735</v>
      </c>
      <c r="C751" s="6" t="s">
        <v>734</v>
      </c>
      <c r="D751" s="9" t="s">
        <v>250</v>
      </c>
      <c r="E751" s="34">
        <v>387.5</v>
      </c>
      <c r="F751" s="22" t="s">
        <v>259</v>
      </c>
    </row>
    <row r="752" spans="1:6">
      <c r="A752" s="22" t="s">
        <v>596</v>
      </c>
      <c r="B752" s="33" t="s">
        <v>736</v>
      </c>
      <c r="C752" s="6" t="s">
        <v>734</v>
      </c>
      <c r="D752" s="9" t="s">
        <v>250</v>
      </c>
      <c r="E752" s="34">
        <v>4000</v>
      </c>
      <c r="F752" s="22" t="s">
        <v>259</v>
      </c>
    </row>
    <row r="753" spans="1:8">
      <c r="A753" s="22" t="s">
        <v>596</v>
      </c>
      <c r="B753" s="42" t="s">
        <v>737</v>
      </c>
      <c r="C753" s="33" t="s">
        <v>738</v>
      </c>
      <c r="D753" s="9" t="s">
        <v>250</v>
      </c>
      <c r="E753" s="10">
        <v>300</v>
      </c>
      <c r="F753" s="22" t="s">
        <v>259</v>
      </c>
    </row>
    <row r="754" spans="1:8">
      <c r="A754" s="22" t="s">
        <v>596</v>
      </c>
      <c r="B754" s="42" t="s">
        <v>739</v>
      </c>
      <c r="C754" s="33" t="s">
        <v>738</v>
      </c>
      <c r="D754" s="9" t="s">
        <v>250</v>
      </c>
      <c r="E754" s="10">
        <v>110</v>
      </c>
      <c r="F754" s="22" t="s">
        <v>259</v>
      </c>
    </row>
    <row r="755" spans="1:8">
      <c r="A755" s="22" t="s">
        <v>596</v>
      </c>
      <c r="B755" s="6" t="s">
        <v>740</v>
      </c>
      <c r="C755" s="6" t="s">
        <v>741</v>
      </c>
      <c r="D755" s="9" t="s">
        <v>461</v>
      </c>
      <c r="E755" s="10">
        <v>17000</v>
      </c>
      <c r="F755" s="22" t="s">
        <v>259</v>
      </c>
    </row>
    <row r="756" spans="1:8">
      <c r="A756" s="22" t="s">
        <v>596</v>
      </c>
      <c r="B756" s="33" t="s">
        <v>742</v>
      </c>
      <c r="C756" s="33" t="s">
        <v>734</v>
      </c>
      <c r="D756" s="9" t="s">
        <v>250</v>
      </c>
      <c r="E756" s="10">
        <v>4000</v>
      </c>
      <c r="F756" s="22" t="s">
        <v>259</v>
      </c>
      <c r="H756" s="47"/>
    </row>
    <row r="757" spans="1:8">
      <c r="A757" s="22" t="s">
        <v>596</v>
      </c>
      <c r="B757" s="48" t="s">
        <v>743</v>
      </c>
      <c r="C757" s="33" t="s">
        <v>744</v>
      </c>
      <c r="D757" s="9" t="s">
        <v>250</v>
      </c>
      <c r="E757" s="10">
        <v>2200</v>
      </c>
      <c r="F757" s="22" t="s">
        <v>259</v>
      </c>
      <c r="H757" s="47"/>
    </row>
    <row r="758" spans="1:8">
      <c r="A758" s="22" t="s">
        <v>596</v>
      </c>
      <c r="B758" s="48" t="s">
        <v>745</v>
      </c>
      <c r="C758" s="33" t="s">
        <v>301</v>
      </c>
      <c r="D758" s="9" t="s">
        <v>250</v>
      </c>
      <c r="E758" s="10">
        <v>1050</v>
      </c>
      <c r="F758" s="22" t="s">
        <v>259</v>
      </c>
      <c r="H758" s="47"/>
    </row>
    <row r="759" spans="1:8">
      <c r="A759" s="22" t="s">
        <v>596</v>
      </c>
      <c r="B759" s="48" t="s">
        <v>745</v>
      </c>
      <c r="C759" s="33" t="s">
        <v>270</v>
      </c>
      <c r="D759" s="9" t="s">
        <v>250</v>
      </c>
      <c r="E759" s="10">
        <v>950</v>
      </c>
      <c r="F759" s="22" t="s">
        <v>259</v>
      </c>
      <c r="H759" s="47"/>
    </row>
    <row r="760" spans="1:8">
      <c r="A760" s="22" t="s">
        <v>596</v>
      </c>
      <c r="B760" s="6" t="s">
        <v>746</v>
      </c>
      <c r="C760" s="6" t="s">
        <v>747</v>
      </c>
      <c r="D760" s="9" t="s">
        <v>250</v>
      </c>
      <c r="E760" s="10">
        <v>4500</v>
      </c>
      <c r="F760" s="22" t="s">
        <v>259</v>
      </c>
      <c r="H760" s="49"/>
    </row>
    <row r="761" spans="1:8">
      <c r="A761" s="22" t="s">
        <v>596</v>
      </c>
      <c r="B761" s="6" t="s">
        <v>749</v>
      </c>
      <c r="C761" s="6" t="s">
        <v>741</v>
      </c>
      <c r="D761" s="9" t="s">
        <v>461</v>
      </c>
      <c r="E761" s="10">
        <v>1300</v>
      </c>
      <c r="F761" s="22" t="s">
        <v>259</v>
      </c>
    </row>
    <row r="762" spans="1:8">
      <c r="A762" s="24" t="s">
        <v>596</v>
      </c>
      <c r="B762" s="24" t="s">
        <v>3328</v>
      </c>
      <c r="C762" s="24" t="s">
        <v>32</v>
      </c>
      <c r="D762" s="25" t="s">
        <v>124</v>
      </c>
      <c r="E762" s="50">
        <v>68</v>
      </c>
      <c r="F762" s="24" t="s">
        <v>265</v>
      </c>
    </row>
    <row r="763" spans="1:8">
      <c r="A763" s="24" t="s">
        <v>596</v>
      </c>
      <c r="B763" s="24" t="s">
        <v>3328</v>
      </c>
      <c r="C763" s="24" t="s">
        <v>3329</v>
      </c>
      <c r="D763" s="25" t="s">
        <v>124</v>
      </c>
      <c r="E763" s="50">
        <v>66</v>
      </c>
      <c r="F763" s="24" t="s">
        <v>265</v>
      </c>
    </row>
    <row r="764" spans="1:8">
      <c r="A764" s="24" t="s">
        <v>596</v>
      </c>
      <c r="B764" s="51" t="s">
        <v>3330</v>
      </c>
      <c r="C764" s="24" t="s">
        <v>32</v>
      </c>
      <c r="D764" s="25" t="s">
        <v>124</v>
      </c>
      <c r="E764" s="50">
        <v>30.5</v>
      </c>
      <c r="F764" s="24" t="s">
        <v>265</v>
      </c>
    </row>
    <row r="765" spans="1:8">
      <c r="A765" s="24" t="s">
        <v>596</v>
      </c>
      <c r="B765" s="51" t="s">
        <v>3331</v>
      </c>
      <c r="C765" s="24" t="s">
        <v>32</v>
      </c>
      <c r="D765" s="25" t="s">
        <v>124</v>
      </c>
      <c r="E765" s="50">
        <v>23.35</v>
      </c>
      <c r="F765" s="24" t="s">
        <v>265</v>
      </c>
    </row>
    <row r="766" spans="1:8">
      <c r="A766" s="24" t="s">
        <v>596</v>
      </c>
      <c r="B766" s="52" t="s">
        <v>3332</v>
      </c>
      <c r="C766" s="24" t="s">
        <v>270</v>
      </c>
      <c r="D766" s="25" t="s">
        <v>124</v>
      </c>
      <c r="E766" s="50">
        <v>400</v>
      </c>
      <c r="F766" s="24" t="s">
        <v>265</v>
      </c>
    </row>
    <row r="767" spans="1:8">
      <c r="A767" s="6"/>
      <c r="B767" s="20" t="s">
        <v>750</v>
      </c>
      <c r="C767" s="6"/>
      <c r="D767" s="9"/>
      <c r="E767" s="10"/>
      <c r="F767" s="6"/>
    </row>
    <row r="768" spans="1:8">
      <c r="A768" s="11" t="s">
        <v>1</v>
      </c>
      <c r="B768" s="12" t="s">
        <v>2</v>
      </c>
      <c r="C768" s="13" t="s">
        <v>3</v>
      </c>
      <c r="D768" s="14" t="s">
        <v>4</v>
      </c>
      <c r="E768" s="15" t="s">
        <v>5</v>
      </c>
      <c r="F768" s="6"/>
    </row>
    <row r="769" spans="1:6">
      <c r="A769" s="22" t="s">
        <v>750</v>
      </c>
      <c r="B769" s="33" t="s">
        <v>751</v>
      </c>
      <c r="C769" s="6" t="s">
        <v>301</v>
      </c>
      <c r="D769" s="31" t="s">
        <v>547</v>
      </c>
      <c r="E769" s="34">
        <v>65</v>
      </c>
      <c r="F769" s="22" t="s">
        <v>265</v>
      </c>
    </row>
    <row r="770" spans="1:6">
      <c r="A770" s="22" t="s">
        <v>750</v>
      </c>
      <c r="B770" s="33" t="s">
        <v>752</v>
      </c>
      <c r="C770" s="6" t="s">
        <v>301</v>
      </c>
      <c r="D770" s="31" t="s">
        <v>124</v>
      </c>
      <c r="E770" s="34">
        <v>7</v>
      </c>
      <c r="F770" s="22" t="s">
        <v>265</v>
      </c>
    </row>
    <row r="771" spans="1:6">
      <c r="A771" s="22" t="s">
        <v>750</v>
      </c>
      <c r="B771" s="33" t="s">
        <v>694</v>
      </c>
      <c r="C771" s="6" t="s">
        <v>301</v>
      </c>
      <c r="D771" s="31" t="s">
        <v>524</v>
      </c>
      <c r="E771" s="34">
        <v>120</v>
      </c>
      <c r="F771" s="22" t="s">
        <v>265</v>
      </c>
    </row>
    <row r="772" spans="1:6">
      <c r="A772" s="22" t="s">
        <v>750</v>
      </c>
      <c r="B772" s="33" t="s">
        <v>753</v>
      </c>
      <c r="C772" s="6" t="s">
        <v>572</v>
      </c>
      <c r="D772" s="31" t="s">
        <v>124</v>
      </c>
      <c r="E772" s="34">
        <v>10</v>
      </c>
      <c r="F772" s="22" t="s">
        <v>265</v>
      </c>
    </row>
    <row r="773" spans="1:6">
      <c r="A773" s="22" t="s">
        <v>750</v>
      </c>
      <c r="B773" s="33" t="s">
        <v>754</v>
      </c>
      <c r="C773" s="6" t="s">
        <v>572</v>
      </c>
      <c r="D773" s="31" t="s">
        <v>124</v>
      </c>
      <c r="E773" s="34">
        <v>28</v>
      </c>
      <c r="F773" s="22" t="s">
        <v>265</v>
      </c>
    </row>
    <row r="774" spans="1:6">
      <c r="A774" s="22" t="s">
        <v>750</v>
      </c>
      <c r="B774" s="33" t="s">
        <v>755</v>
      </c>
      <c r="C774" s="6" t="s">
        <v>572</v>
      </c>
      <c r="D774" s="31" t="s">
        <v>124</v>
      </c>
      <c r="E774" s="34">
        <v>20</v>
      </c>
      <c r="F774" s="22" t="s">
        <v>265</v>
      </c>
    </row>
    <row r="775" spans="1:6">
      <c r="A775" s="22" t="s">
        <v>750</v>
      </c>
      <c r="B775" s="33" t="s">
        <v>756</v>
      </c>
      <c r="C775" s="6" t="s">
        <v>572</v>
      </c>
      <c r="D775" s="31" t="s">
        <v>399</v>
      </c>
      <c r="E775" s="34">
        <v>25</v>
      </c>
      <c r="F775" s="22" t="s">
        <v>265</v>
      </c>
    </row>
    <row r="776" spans="1:6">
      <c r="A776" s="22" t="s">
        <v>750</v>
      </c>
      <c r="B776" s="33" t="s">
        <v>757</v>
      </c>
      <c r="C776" s="6" t="s">
        <v>572</v>
      </c>
      <c r="D776" s="31" t="s">
        <v>524</v>
      </c>
      <c r="E776" s="34">
        <v>42</v>
      </c>
      <c r="F776" s="22" t="s">
        <v>265</v>
      </c>
    </row>
    <row r="777" spans="1:6">
      <c r="A777" s="22" t="s">
        <v>750</v>
      </c>
      <c r="B777" s="33" t="s">
        <v>758</v>
      </c>
      <c r="C777" s="6" t="s">
        <v>572</v>
      </c>
      <c r="D777" s="31" t="s">
        <v>124</v>
      </c>
      <c r="E777" s="34">
        <v>15</v>
      </c>
      <c r="F777" s="22" t="s">
        <v>265</v>
      </c>
    </row>
    <row r="778" spans="1:6">
      <c r="A778" s="22" t="s">
        <v>750</v>
      </c>
      <c r="B778" s="33" t="s">
        <v>694</v>
      </c>
      <c r="C778" s="6" t="s">
        <v>572</v>
      </c>
      <c r="D778" s="31" t="s">
        <v>124</v>
      </c>
      <c r="E778" s="34">
        <v>18</v>
      </c>
      <c r="F778" s="22" t="s">
        <v>265</v>
      </c>
    </row>
    <row r="779" spans="1:6">
      <c r="A779" s="22" t="s">
        <v>750</v>
      </c>
      <c r="B779" s="33" t="s">
        <v>759</v>
      </c>
      <c r="C779" s="6" t="s">
        <v>572</v>
      </c>
      <c r="D779" s="31" t="s">
        <v>124</v>
      </c>
      <c r="E779" s="34">
        <v>10</v>
      </c>
      <c r="F779" s="22" t="s">
        <v>265</v>
      </c>
    </row>
    <row r="780" spans="1:6">
      <c r="A780" s="22" t="s">
        <v>750</v>
      </c>
      <c r="B780" s="33" t="s">
        <v>760</v>
      </c>
      <c r="C780" s="6" t="s">
        <v>572</v>
      </c>
      <c r="D780" s="31" t="s">
        <v>124</v>
      </c>
      <c r="E780" s="34">
        <v>50</v>
      </c>
      <c r="F780" s="22" t="s">
        <v>265</v>
      </c>
    </row>
    <row r="781" spans="1:6">
      <c r="A781" s="22" t="s">
        <v>750</v>
      </c>
      <c r="B781" s="33" t="s">
        <v>761</v>
      </c>
      <c r="C781" s="6" t="s">
        <v>572</v>
      </c>
      <c r="D781" s="31" t="s">
        <v>124</v>
      </c>
      <c r="E781" s="34">
        <v>0.5</v>
      </c>
      <c r="F781" s="22" t="s">
        <v>265</v>
      </c>
    </row>
    <row r="782" spans="1:6">
      <c r="A782" s="22" t="s">
        <v>750</v>
      </c>
      <c r="B782" s="33" t="s">
        <v>692</v>
      </c>
      <c r="C782" s="6" t="s">
        <v>572</v>
      </c>
      <c r="D782" s="31" t="s">
        <v>399</v>
      </c>
      <c r="E782" s="34">
        <v>2.25</v>
      </c>
      <c r="F782" s="22" t="s">
        <v>265</v>
      </c>
    </row>
    <row r="783" spans="1:6">
      <c r="A783" s="22" t="s">
        <v>750</v>
      </c>
      <c r="B783" s="33" t="s">
        <v>762</v>
      </c>
      <c r="C783" s="6" t="s">
        <v>572</v>
      </c>
      <c r="D783" s="31" t="s">
        <v>702</v>
      </c>
      <c r="E783" s="34">
        <v>13</v>
      </c>
      <c r="F783" s="22" t="s">
        <v>265</v>
      </c>
    </row>
    <row r="784" spans="1:6">
      <c r="A784" s="22" t="s">
        <v>750</v>
      </c>
      <c r="B784" s="33" t="s">
        <v>763</v>
      </c>
      <c r="C784" s="6" t="s">
        <v>572</v>
      </c>
      <c r="D784" s="31" t="s">
        <v>677</v>
      </c>
      <c r="E784" s="34">
        <v>5</v>
      </c>
      <c r="F784" s="22" t="s">
        <v>265</v>
      </c>
    </row>
    <row r="785" spans="1:6">
      <c r="A785" s="22" t="s">
        <v>750</v>
      </c>
      <c r="B785" s="33" t="s">
        <v>764</v>
      </c>
      <c r="C785" s="6" t="s">
        <v>572</v>
      </c>
      <c r="D785" s="31" t="s">
        <v>124</v>
      </c>
      <c r="E785" s="34">
        <v>65</v>
      </c>
      <c r="F785" s="22" t="s">
        <v>265</v>
      </c>
    </row>
    <row r="786" spans="1:6">
      <c r="A786" s="22" t="s">
        <v>750</v>
      </c>
      <c r="B786" s="33" t="s">
        <v>765</v>
      </c>
      <c r="C786" s="6" t="s">
        <v>572</v>
      </c>
      <c r="D786" s="31" t="s">
        <v>124</v>
      </c>
      <c r="E786" s="34">
        <v>15</v>
      </c>
      <c r="F786" s="22" t="s">
        <v>265</v>
      </c>
    </row>
    <row r="787" spans="1:6">
      <c r="A787" s="22" t="s">
        <v>750</v>
      </c>
      <c r="B787" s="38" t="s">
        <v>766</v>
      </c>
      <c r="C787" s="22" t="s">
        <v>572</v>
      </c>
      <c r="D787" s="39" t="s">
        <v>124</v>
      </c>
      <c r="E787" s="40">
        <v>43</v>
      </c>
      <c r="F787" s="22" t="s">
        <v>265</v>
      </c>
    </row>
    <row r="788" spans="1:6">
      <c r="A788" s="22" t="s">
        <v>750</v>
      </c>
      <c r="B788" s="38" t="s">
        <v>767</v>
      </c>
      <c r="C788" s="22" t="s">
        <v>572</v>
      </c>
      <c r="D788" s="39" t="s">
        <v>124</v>
      </c>
      <c r="E788" s="40">
        <v>12</v>
      </c>
      <c r="F788" s="22" t="s">
        <v>265</v>
      </c>
    </row>
    <row r="789" spans="1:6">
      <c r="A789" s="22" t="s">
        <v>750</v>
      </c>
      <c r="B789" s="38" t="s">
        <v>768</v>
      </c>
      <c r="C789" s="22" t="s">
        <v>572</v>
      </c>
      <c r="D789" s="39" t="s">
        <v>124</v>
      </c>
      <c r="E789" s="40">
        <v>42</v>
      </c>
      <c r="F789" s="22" t="s">
        <v>265</v>
      </c>
    </row>
    <row r="790" spans="1:6">
      <c r="A790" s="22" t="s">
        <v>750</v>
      </c>
      <c r="B790" s="38" t="s">
        <v>769</v>
      </c>
      <c r="C790" s="22" t="s">
        <v>572</v>
      </c>
      <c r="D790" s="39" t="s">
        <v>547</v>
      </c>
      <c r="E790" s="40">
        <v>80</v>
      </c>
      <c r="F790" s="22" t="s">
        <v>265</v>
      </c>
    </row>
    <row r="791" spans="1:6">
      <c r="A791" s="22" t="s">
        <v>750</v>
      </c>
      <c r="B791" s="38" t="s">
        <v>753</v>
      </c>
      <c r="C791" s="22" t="s">
        <v>572</v>
      </c>
      <c r="D791" s="39" t="s">
        <v>124</v>
      </c>
      <c r="E791" s="40">
        <v>18</v>
      </c>
      <c r="F791" s="22" t="s">
        <v>265</v>
      </c>
    </row>
    <row r="792" spans="1:6">
      <c r="A792" s="22" t="s">
        <v>750</v>
      </c>
      <c r="B792" s="33" t="s">
        <v>770</v>
      </c>
      <c r="C792" s="6" t="s">
        <v>572</v>
      </c>
      <c r="D792" s="31" t="s">
        <v>124</v>
      </c>
      <c r="E792" s="34">
        <v>18</v>
      </c>
      <c r="F792" s="22" t="s">
        <v>259</v>
      </c>
    </row>
    <row r="793" spans="1:6">
      <c r="A793" s="22" t="s">
        <v>750</v>
      </c>
      <c r="B793" s="33" t="s">
        <v>771</v>
      </c>
      <c r="C793" s="6" t="s">
        <v>572</v>
      </c>
      <c r="D793" s="31" t="s">
        <v>124</v>
      </c>
      <c r="E793" s="34">
        <v>190</v>
      </c>
      <c r="F793" s="22" t="s">
        <v>259</v>
      </c>
    </row>
    <row r="794" spans="1:6">
      <c r="A794" s="22" t="s">
        <v>750</v>
      </c>
      <c r="B794" s="33" t="s">
        <v>772</v>
      </c>
      <c r="C794" s="6" t="s">
        <v>572</v>
      </c>
      <c r="D794" s="31" t="s">
        <v>124</v>
      </c>
      <c r="E794" s="34">
        <v>90</v>
      </c>
      <c r="F794" s="22" t="s">
        <v>259</v>
      </c>
    </row>
    <row r="795" spans="1:6">
      <c r="A795" s="22" t="s">
        <v>750</v>
      </c>
      <c r="B795" s="33" t="s">
        <v>773</v>
      </c>
      <c r="C795" s="6" t="s">
        <v>572</v>
      </c>
      <c r="D795" s="31" t="s">
        <v>124</v>
      </c>
      <c r="E795" s="34">
        <v>300</v>
      </c>
      <c r="F795" s="22" t="s">
        <v>259</v>
      </c>
    </row>
    <row r="796" spans="1:6">
      <c r="A796" s="22" t="s">
        <v>750</v>
      </c>
      <c r="B796" s="33" t="s">
        <v>774</v>
      </c>
      <c r="C796" s="6" t="s">
        <v>572</v>
      </c>
      <c r="D796" s="31" t="s">
        <v>124</v>
      </c>
      <c r="E796" s="34">
        <v>145</v>
      </c>
      <c r="F796" s="22" t="s">
        <v>259</v>
      </c>
    </row>
    <row r="797" spans="1:6">
      <c r="A797" s="22" t="s">
        <v>750</v>
      </c>
      <c r="B797" s="33" t="s">
        <v>775</v>
      </c>
      <c r="C797" s="6" t="s">
        <v>572</v>
      </c>
      <c r="D797" s="31" t="s">
        <v>124</v>
      </c>
      <c r="E797" s="34">
        <v>65</v>
      </c>
      <c r="F797" s="22" t="s">
        <v>259</v>
      </c>
    </row>
    <row r="798" spans="1:6">
      <c r="A798" s="22" t="s">
        <v>750</v>
      </c>
      <c r="B798" s="33" t="s">
        <v>710</v>
      </c>
      <c r="C798" s="6" t="s">
        <v>572</v>
      </c>
      <c r="D798" s="31" t="s">
        <v>124</v>
      </c>
      <c r="E798" s="34">
        <v>20</v>
      </c>
      <c r="F798" s="22" t="s">
        <v>259</v>
      </c>
    </row>
    <row r="799" spans="1:6">
      <c r="A799" s="22" t="s">
        <v>750</v>
      </c>
      <c r="B799" s="33" t="s">
        <v>776</v>
      </c>
      <c r="C799" s="6" t="s">
        <v>572</v>
      </c>
      <c r="D799" s="31" t="s">
        <v>124</v>
      </c>
      <c r="E799" s="34">
        <v>90</v>
      </c>
      <c r="F799" s="22" t="s">
        <v>259</v>
      </c>
    </row>
    <row r="800" spans="1:6">
      <c r="A800" s="22" t="s">
        <v>750</v>
      </c>
      <c r="B800" s="33" t="s">
        <v>777</v>
      </c>
      <c r="C800" s="6" t="s">
        <v>572</v>
      </c>
      <c r="D800" s="31" t="s">
        <v>124</v>
      </c>
      <c r="E800" s="34">
        <v>35</v>
      </c>
      <c r="F800" s="22" t="s">
        <v>259</v>
      </c>
    </row>
    <row r="801" spans="1:6">
      <c r="A801" s="22" t="s">
        <v>750</v>
      </c>
      <c r="B801" s="33" t="s">
        <v>778</v>
      </c>
      <c r="C801" s="6" t="s">
        <v>572</v>
      </c>
      <c r="D801" s="31" t="s">
        <v>124</v>
      </c>
      <c r="E801" s="34">
        <v>17</v>
      </c>
      <c r="F801" s="22" t="s">
        <v>259</v>
      </c>
    </row>
    <row r="802" spans="1:6">
      <c r="A802" s="22" t="s">
        <v>750</v>
      </c>
      <c r="B802" s="33" t="s">
        <v>779</v>
      </c>
      <c r="C802" s="6" t="s">
        <v>572</v>
      </c>
      <c r="D802" s="31" t="s">
        <v>124</v>
      </c>
      <c r="E802" s="34">
        <v>17</v>
      </c>
      <c r="F802" s="22" t="s">
        <v>259</v>
      </c>
    </row>
    <row r="803" spans="1:6">
      <c r="A803" s="22" t="s">
        <v>750</v>
      </c>
      <c r="B803" s="33" t="s">
        <v>780</v>
      </c>
      <c r="C803" s="6" t="s">
        <v>572</v>
      </c>
      <c r="D803" s="31" t="s">
        <v>124</v>
      </c>
      <c r="E803" s="34">
        <v>18</v>
      </c>
      <c r="F803" s="22" t="s">
        <v>259</v>
      </c>
    </row>
    <row r="804" spans="1:6">
      <c r="A804" s="22" t="s">
        <v>750</v>
      </c>
      <c r="B804" s="33" t="s">
        <v>781</v>
      </c>
      <c r="C804" s="6" t="s">
        <v>572</v>
      </c>
      <c r="D804" s="31" t="s">
        <v>124</v>
      </c>
      <c r="E804" s="34">
        <v>2250</v>
      </c>
      <c r="F804" s="22" t="s">
        <v>259</v>
      </c>
    </row>
    <row r="805" spans="1:6">
      <c r="A805" s="22" t="s">
        <v>750</v>
      </c>
      <c r="B805" s="33" t="s">
        <v>782</v>
      </c>
      <c r="C805" s="6" t="s">
        <v>572</v>
      </c>
      <c r="D805" s="31" t="s">
        <v>124</v>
      </c>
      <c r="E805" s="34">
        <v>130</v>
      </c>
      <c r="F805" s="22" t="s">
        <v>259</v>
      </c>
    </row>
    <row r="806" spans="1:6">
      <c r="A806" s="22" t="s">
        <v>750</v>
      </c>
      <c r="B806" s="38" t="s">
        <v>783</v>
      </c>
      <c r="C806" s="22" t="s">
        <v>572</v>
      </c>
      <c r="D806" s="36" t="s">
        <v>124</v>
      </c>
      <c r="E806" s="40">
        <v>125</v>
      </c>
      <c r="F806" s="22" t="s">
        <v>259</v>
      </c>
    </row>
    <row r="807" spans="1:6">
      <c r="B807" s="7" t="s">
        <v>784</v>
      </c>
    </row>
    <row r="808" spans="1:6">
      <c r="A808" s="11" t="s">
        <v>1</v>
      </c>
      <c r="B808" s="12" t="s">
        <v>2</v>
      </c>
      <c r="C808" s="13" t="s">
        <v>3</v>
      </c>
      <c r="D808" s="14" t="s">
        <v>4</v>
      </c>
      <c r="E808" s="15" t="s">
        <v>5</v>
      </c>
      <c r="F808" s="6"/>
    </row>
    <row r="809" spans="1:6">
      <c r="A809" s="28" t="s">
        <v>784</v>
      </c>
      <c r="B809" s="33" t="s">
        <v>785</v>
      </c>
      <c r="C809" s="6" t="s">
        <v>786</v>
      </c>
      <c r="D809" s="9" t="s">
        <v>787</v>
      </c>
      <c r="E809" s="34">
        <v>3800</v>
      </c>
      <c r="F809" s="22" t="s">
        <v>288</v>
      </c>
    </row>
    <row r="810" spans="1:6">
      <c r="A810" s="28" t="s">
        <v>784</v>
      </c>
      <c r="B810" s="33" t="s">
        <v>788</v>
      </c>
      <c r="C810" s="6" t="s">
        <v>786</v>
      </c>
      <c r="D810" s="9" t="s">
        <v>787</v>
      </c>
      <c r="E810" s="34">
        <v>4800</v>
      </c>
      <c r="F810" s="22" t="s">
        <v>288</v>
      </c>
    </row>
    <row r="811" spans="1:6">
      <c r="A811" s="28" t="s">
        <v>784</v>
      </c>
      <c r="B811" s="33" t="s">
        <v>789</v>
      </c>
      <c r="C811" s="6" t="s">
        <v>786</v>
      </c>
      <c r="D811" s="9" t="s">
        <v>787</v>
      </c>
      <c r="E811" s="10">
        <v>2400</v>
      </c>
      <c r="F811" s="22" t="s">
        <v>288</v>
      </c>
    </row>
    <row r="812" spans="1:6">
      <c r="A812" s="28" t="s">
        <v>784</v>
      </c>
      <c r="B812" s="6" t="s">
        <v>790</v>
      </c>
      <c r="C812" s="6" t="s">
        <v>791</v>
      </c>
      <c r="D812" s="9" t="s">
        <v>792</v>
      </c>
      <c r="E812" s="10">
        <v>60</v>
      </c>
      <c r="F812" s="22" t="s">
        <v>288</v>
      </c>
    </row>
    <row r="813" spans="1:6">
      <c r="A813" s="28" t="s">
        <v>784</v>
      </c>
      <c r="B813" s="6" t="s">
        <v>793</v>
      </c>
      <c r="C813" s="6" t="s">
        <v>791</v>
      </c>
      <c r="D813" s="9" t="s">
        <v>792</v>
      </c>
      <c r="E813" s="10">
        <v>36</v>
      </c>
      <c r="F813" s="22" t="s">
        <v>288</v>
      </c>
    </row>
    <row r="814" spans="1:6">
      <c r="A814" s="28" t="s">
        <v>784</v>
      </c>
      <c r="B814" s="6" t="s">
        <v>794</v>
      </c>
      <c r="C814" s="6" t="s">
        <v>791</v>
      </c>
      <c r="D814" s="9" t="s">
        <v>792</v>
      </c>
      <c r="E814" s="10">
        <v>70</v>
      </c>
      <c r="F814" s="22" t="s">
        <v>288</v>
      </c>
    </row>
    <row r="815" spans="1:6">
      <c r="A815" s="28" t="s">
        <v>784</v>
      </c>
      <c r="B815" s="6" t="s">
        <v>795</v>
      </c>
      <c r="C815" s="6" t="s">
        <v>796</v>
      </c>
      <c r="D815" s="9" t="s">
        <v>787</v>
      </c>
      <c r="E815" s="10">
        <v>7500</v>
      </c>
      <c r="F815" s="22" t="s">
        <v>288</v>
      </c>
    </row>
    <row r="816" spans="1:6">
      <c r="A816" s="28" t="s">
        <v>784</v>
      </c>
      <c r="B816" s="33" t="s">
        <v>797</v>
      </c>
      <c r="C816" s="6" t="s">
        <v>798</v>
      </c>
      <c r="D816" s="9" t="s">
        <v>363</v>
      </c>
      <c r="E816" s="34">
        <v>450</v>
      </c>
      <c r="F816" s="22" t="s">
        <v>288</v>
      </c>
    </row>
    <row r="817" spans="1:6">
      <c r="A817" s="28" t="s">
        <v>784</v>
      </c>
      <c r="B817" s="33" t="s">
        <v>799</v>
      </c>
      <c r="C817" s="6" t="s">
        <v>800</v>
      </c>
      <c r="D817" s="9" t="s">
        <v>363</v>
      </c>
      <c r="E817" s="34">
        <v>500</v>
      </c>
      <c r="F817" s="22" t="s">
        <v>288</v>
      </c>
    </row>
    <row r="818" spans="1:6">
      <c r="A818" s="28" t="s">
        <v>784</v>
      </c>
      <c r="B818" s="6" t="s">
        <v>801</v>
      </c>
      <c r="C818" s="33" t="s">
        <v>802</v>
      </c>
      <c r="D818" s="31" t="s">
        <v>803</v>
      </c>
      <c r="E818" s="34">
        <v>4000</v>
      </c>
      <c r="F818" s="22" t="s">
        <v>288</v>
      </c>
    </row>
    <row r="819" spans="1:6">
      <c r="A819" s="28" t="s">
        <v>784</v>
      </c>
      <c r="B819" s="33" t="s">
        <v>804</v>
      </c>
      <c r="C819" s="33" t="s">
        <v>802</v>
      </c>
      <c r="D819" s="31" t="s">
        <v>803</v>
      </c>
      <c r="E819" s="34">
        <v>1800</v>
      </c>
      <c r="F819" s="22" t="s">
        <v>288</v>
      </c>
    </row>
    <row r="820" spans="1:6">
      <c r="A820" s="28" t="s">
        <v>784</v>
      </c>
      <c r="B820" s="33" t="s">
        <v>804</v>
      </c>
      <c r="C820" s="33" t="s">
        <v>802</v>
      </c>
      <c r="D820" s="31" t="s">
        <v>805</v>
      </c>
      <c r="E820" s="34">
        <v>180</v>
      </c>
      <c r="F820" s="22" t="s">
        <v>288</v>
      </c>
    </row>
    <row r="821" spans="1:6">
      <c r="A821" s="28" t="s">
        <v>784</v>
      </c>
      <c r="B821" s="33" t="s">
        <v>806</v>
      </c>
      <c r="C821" s="33" t="s">
        <v>802</v>
      </c>
      <c r="D821" s="31" t="s">
        <v>805</v>
      </c>
      <c r="E821" s="34">
        <v>180</v>
      </c>
      <c r="F821" s="22" t="s">
        <v>288</v>
      </c>
    </row>
    <row r="822" spans="1:6">
      <c r="A822" s="28" t="s">
        <v>784</v>
      </c>
      <c r="B822" s="33" t="s">
        <v>807</v>
      </c>
      <c r="C822" s="33" t="s">
        <v>802</v>
      </c>
      <c r="D822" s="31" t="s">
        <v>805</v>
      </c>
      <c r="E822" s="34">
        <v>69.23</v>
      </c>
      <c r="F822" s="22" t="s">
        <v>288</v>
      </c>
    </row>
    <row r="823" spans="1:6">
      <c r="A823" s="28" t="s">
        <v>784</v>
      </c>
      <c r="B823" s="33" t="s">
        <v>807</v>
      </c>
      <c r="C823" s="33" t="s">
        <v>802</v>
      </c>
      <c r="D823" s="9" t="s">
        <v>787</v>
      </c>
      <c r="E823" s="10">
        <v>18000</v>
      </c>
      <c r="F823" s="22" t="s">
        <v>288</v>
      </c>
    </row>
    <row r="824" spans="1:6">
      <c r="A824" s="28" t="s">
        <v>784</v>
      </c>
      <c r="B824" s="6" t="s">
        <v>808</v>
      </c>
      <c r="C824" s="6" t="s">
        <v>809</v>
      </c>
      <c r="D824" s="9" t="s">
        <v>810</v>
      </c>
      <c r="E824" s="10">
        <v>100</v>
      </c>
      <c r="F824" s="22" t="s">
        <v>288</v>
      </c>
    </row>
    <row r="825" spans="1:6">
      <c r="A825" s="28" t="s">
        <v>784</v>
      </c>
      <c r="B825" s="6" t="s">
        <v>811</v>
      </c>
      <c r="C825" s="6" t="s">
        <v>796</v>
      </c>
      <c r="D825" s="9" t="s">
        <v>787</v>
      </c>
      <c r="E825" s="10">
        <v>5000</v>
      </c>
      <c r="F825" s="22" t="s">
        <v>288</v>
      </c>
    </row>
    <row r="826" spans="1:6">
      <c r="A826" s="28" t="s">
        <v>784</v>
      </c>
      <c r="B826" s="6" t="s">
        <v>812</v>
      </c>
      <c r="C826" s="6" t="s">
        <v>813</v>
      </c>
      <c r="D826" s="9" t="s">
        <v>810</v>
      </c>
      <c r="E826" s="10">
        <v>60</v>
      </c>
      <c r="F826" s="22" t="s">
        <v>288</v>
      </c>
    </row>
    <row r="827" spans="1:6">
      <c r="A827" s="28" t="s">
        <v>784</v>
      </c>
      <c r="B827" s="33" t="s">
        <v>814</v>
      </c>
      <c r="C827" s="33" t="s">
        <v>815</v>
      </c>
      <c r="D827" s="9" t="s">
        <v>810</v>
      </c>
      <c r="E827" s="10">
        <v>1200</v>
      </c>
      <c r="F827" s="22" t="s">
        <v>288</v>
      </c>
    </row>
    <row r="828" spans="1:6">
      <c r="A828" s="28" t="s">
        <v>784</v>
      </c>
      <c r="B828" s="33" t="s">
        <v>816</v>
      </c>
      <c r="C828" s="33" t="s">
        <v>817</v>
      </c>
      <c r="D828" s="9" t="s">
        <v>810</v>
      </c>
      <c r="E828" s="34">
        <v>20</v>
      </c>
      <c r="F828" s="22" t="s">
        <v>288</v>
      </c>
    </row>
    <row r="829" spans="1:6">
      <c r="A829" s="28" t="s">
        <v>784</v>
      </c>
      <c r="B829" s="33" t="s">
        <v>818</v>
      </c>
      <c r="C829" s="33" t="s">
        <v>817</v>
      </c>
      <c r="D829" s="9" t="s">
        <v>810</v>
      </c>
      <c r="E829" s="34">
        <v>30</v>
      </c>
      <c r="F829" s="22" t="s">
        <v>288</v>
      </c>
    </row>
    <row r="830" spans="1:6">
      <c r="A830" s="28" t="s">
        <v>784</v>
      </c>
      <c r="B830" s="33" t="s">
        <v>812</v>
      </c>
      <c r="C830" s="33" t="s">
        <v>817</v>
      </c>
      <c r="D830" s="9" t="s">
        <v>810</v>
      </c>
      <c r="E830" s="34">
        <v>60</v>
      </c>
      <c r="F830" s="22" t="s">
        <v>288</v>
      </c>
    </row>
    <row r="831" spans="1:6">
      <c r="A831" s="28" t="s">
        <v>784</v>
      </c>
      <c r="B831" s="33" t="s">
        <v>819</v>
      </c>
      <c r="C831" s="33" t="s">
        <v>817</v>
      </c>
      <c r="D831" s="31" t="s">
        <v>803</v>
      </c>
      <c r="E831" s="34">
        <v>66.66</v>
      </c>
      <c r="F831" s="22" t="s">
        <v>288</v>
      </c>
    </row>
    <row r="832" spans="1:6">
      <c r="A832" s="28" t="s">
        <v>784</v>
      </c>
      <c r="B832" s="33" t="s">
        <v>820</v>
      </c>
      <c r="C832" s="33" t="s">
        <v>817</v>
      </c>
      <c r="D832" s="31" t="s">
        <v>803</v>
      </c>
      <c r="E832" s="34">
        <v>15</v>
      </c>
      <c r="F832" s="22" t="s">
        <v>288</v>
      </c>
    </row>
    <row r="833" spans="1:6">
      <c r="A833" s="28" t="s">
        <v>784</v>
      </c>
      <c r="B833" s="33" t="s">
        <v>821</v>
      </c>
      <c r="C833" s="33" t="s">
        <v>817</v>
      </c>
      <c r="D833" s="31" t="s">
        <v>803</v>
      </c>
      <c r="E833" s="34">
        <v>20</v>
      </c>
      <c r="F833" s="22" t="s">
        <v>288</v>
      </c>
    </row>
    <row r="834" spans="1:6">
      <c r="A834" s="28" t="s">
        <v>784</v>
      </c>
      <c r="B834" s="33" t="s">
        <v>822</v>
      </c>
      <c r="C834" s="33" t="s">
        <v>817</v>
      </c>
      <c r="D834" s="31" t="s">
        <v>803</v>
      </c>
      <c r="E834" s="34">
        <v>20</v>
      </c>
      <c r="F834" s="22" t="s">
        <v>288</v>
      </c>
    </row>
    <row r="835" spans="1:6">
      <c r="A835" s="28" t="s">
        <v>784</v>
      </c>
      <c r="B835" s="33" t="s">
        <v>823</v>
      </c>
      <c r="C835" s="33" t="s">
        <v>817</v>
      </c>
      <c r="D835" s="31" t="s">
        <v>803</v>
      </c>
      <c r="E835" s="34">
        <v>15</v>
      </c>
      <c r="F835" s="22" t="s">
        <v>288</v>
      </c>
    </row>
    <row r="836" spans="1:6">
      <c r="A836" s="28" t="s">
        <v>784</v>
      </c>
      <c r="B836" s="33" t="s">
        <v>824</v>
      </c>
      <c r="C836" s="33" t="s">
        <v>817</v>
      </c>
      <c r="D836" s="31" t="s">
        <v>803</v>
      </c>
      <c r="E836" s="34">
        <v>15</v>
      </c>
      <c r="F836" s="22" t="s">
        <v>288</v>
      </c>
    </row>
    <row r="837" spans="1:6">
      <c r="A837" s="28" t="s">
        <v>784</v>
      </c>
      <c r="B837" s="33" t="s">
        <v>825</v>
      </c>
      <c r="C837" s="33" t="s">
        <v>817</v>
      </c>
      <c r="D837" s="31" t="s">
        <v>803</v>
      </c>
      <c r="E837" s="34">
        <v>66.66</v>
      </c>
      <c r="F837" s="22" t="s">
        <v>288</v>
      </c>
    </row>
    <row r="838" spans="1:6">
      <c r="A838" s="28" t="s">
        <v>784</v>
      </c>
      <c r="B838" s="33" t="s">
        <v>826</v>
      </c>
      <c r="C838" s="33" t="s">
        <v>817</v>
      </c>
      <c r="D838" s="31" t="s">
        <v>124</v>
      </c>
      <c r="E838" s="34">
        <v>30</v>
      </c>
      <c r="F838" s="22" t="s">
        <v>288</v>
      </c>
    </row>
    <row r="839" spans="1:6">
      <c r="A839" s="28" t="s">
        <v>784</v>
      </c>
      <c r="B839" s="6" t="s">
        <v>827</v>
      </c>
      <c r="C839" s="6" t="s">
        <v>828</v>
      </c>
      <c r="D839" s="9" t="s">
        <v>363</v>
      </c>
      <c r="E839" s="10">
        <v>800</v>
      </c>
      <c r="F839" s="22" t="s">
        <v>288</v>
      </c>
    </row>
    <row r="840" spans="1:6">
      <c r="A840" s="28" t="s">
        <v>784</v>
      </c>
      <c r="B840" s="33" t="s">
        <v>829</v>
      </c>
      <c r="C840" s="33" t="s">
        <v>830</v>
      </c>
      <c r="D840" s="9" t="s">
        <v>363</v>
      </c>
      <c r="E840" s="34">
        <v>300</v>
      </c>
      <c r="F840" s="22" t="s">
        <v>288</v>
      </c>
    </row>
    <row r="841" spans="1:6">
      <c r="A841" s="28" t="s">
        <v>784</v>
      </c>
      <c r="B841" s="33" t="s">
        <v>831</v>
      </c>
      <c r="C841" s="33" t="s">
        <v>830</v>
      </c>
      <c r="D841" s="9" t="s">
        <v>363</v>
      </c>
      <c r="E841" s="34">
        <v>149</v>
      </c>
      <c r="F841" s="22" t="s">
        <v>288</v>
      </c>
    </row>
    <row r="842" spans="1:6">
      <c r="A842" s="28" t="s">
        <v>784</v>
      </c>
      <c r="B842" s="33" t="s">
        <v>832</v>
      </c>
      <c r="C842" s="33" t="s">
        <v>830</v>
      </c>
      <c r="D842" s="9" t="s">
        <v>363</v>
      </c>
      <c r="E842" s="34">
        <v>10</v>
      </c>
      <c r="F842" s="22" t="s">
        <v>288</v>
      </c>
    </row>
    <row r="843" spans="1:6">
      <c r="A843" s="28" t="s">
        <v>784</v>
      </c>
      <c r="B843" s="33" t="s">
        <v>833</v>
      </c>
      <c r="C843" s="33" t="s">
        <v>834</v>
      </c>
      <c r="D843" s="9" t="s">
        <v>363</v>
      </c>
      <c r="E843" s="10">
        <v>40</v>
      </c>
      <c r="F843" s="22" t="s">
        <v>288</v>
      </c>
    </row>
    <row r="844" spans="1:6">
      <c r="A844" s="28" t="s">
        <v>784</v>
      </c>
      <c r="B844" s="33" t="s">
        <v>835</v>
      </c>
      <c r="C844" s="33" t="s">
        <v>834</v>
      </c>
      <c r="D844" s="9" t="s">
        <v>363</v>
      </c>
      <c r="E844" s="10">
        <v>40</v>
      </c>
      <c r="F844" s="22" t="s">
        <v>288</v>
      </c>
    </row>
    <row r="845" s="2" customFormat="1" spans="1:6">
      <c r="A845" s="28" t="s">
        <v>784</v>
      </c>
      <c r="B845" s="53" t="s">
        <v>836</v>
      </c>
      <c r="C845" s="53" t="s">
        <v>834</v>
      </c>
      <c r="D845" s="18" t="s">
        <v>363</v>
      </c>
      <c r="E845" s="54">
        <v>115</v>
      </c>
      <c r="F845" s="22" t="s">
        <v>288</v>
      </c>
    </row>
    <row r="846" s="2" customFormat="1" spans="1:6">
      <c r="A846" s="28" t="s">
        <v>784</v>
      </c>
      <c r="B846" s="53" t="s">
        <v>837</v>
      </c>
      <c r="C846" s="17" t="s">
        <v>838</v>
      </c>
      <c r="D846" s="55" t="s">
        <v>377</v>
      </c>
      <c r="E846" s="56">
        <v>6300</v>
      </c>
      <c r="F846" s="22" t="s">
        <v>288</v>
      </c>
    </row>
    <row r="847" s="2" customFormat="1" spans="1:6">
      <c r="A847" s="28" t="s">
        <v>784</v>
      </c>
      <c r="B847" s="53" t="s">
        <v>837</v>
      </c>
      <c r="C847" s="17" t="s">
        <v>838</v>
      </c>
      <c r="D847" s="55" t="s">
        <v>803</v>
      </c>
      <c r="E847" s="56">
        <v>210</v>
      </c>
      <c r="F847" s="22" t="s">
        <v>288</v>
      </c>
    </row>
    <row r="848" s="2" customFormat="1" spans="1:6">
      <c r="A848" s="28" t="s">
        <v>784</v>
      </c>
      <c r="B848" s="53" t="s">
        <v>839</v>
      </c>
      <c r="C848" s="17" t="s">
        <v>838</v>
      </c>
      <c r="D848" s="55" t="s">
        <v>377</v>
      </c>
      <c r="E848" s="56">
        <v>3500</v>
      </c>
      <c r="F848" s="22" t="s">
        <v>288</v>
      </c>
    </row>
    <row r="849" spans="1:6">
      <c r="A849" s="28" t="s">
        <v>784</v>
      </c>
      <c r="B849" s="6" t="s">
        <v>840</v>
      </c>
      <c r="C849" s="17" t="s">
        <v>841</v>
      </c>
      <c r="D849" s="55" t="s">
        <v>377</v>
      </c>
      <c r="E849" s="56">
        <v>10500</v>
      </c>
      <c r="F849" s="22" t="s">
        <v>288</v>
      </c>
    </row>
    <row r="850" spans="1:6">
      <c r="A850" s="28" t="s">
        <v>784</v>
      </c>
      <c r="B850" s="33" t="s">
        <v>842</v>
      </c>
      <c r="C850" s="6" t="s">
        <v>843</v>
      </c>
      <c r="D850" s="31" t="s">
        <v>124</v>
      </c>
      <c r="E850" s="34">
        <v>1400</v>
      </c>
      <c r="F850" s="22" t="s">
        <v>259</v>
      </c>
    </row>
    <row r="851" spans="1:6">
      <c r="A851" s="28" t="s">
        <v>784</v>
      </c>
      <c r="B851" s="33" t="s">
        <v>844</v>
      </c>
      <c r="C851" s="6" t="s">
        <v>843</v>
      </c>
      <c r="D851" s="31" t="s">
        <v>124</v>
      </c>
      <c r="E851" s="34">
        <v>245</v>
      </c>
      <c r="F851" s="22" t="s">
        <v>259</v>
      </c>
    </row>
    <row r="852" spans="1:6">
      <c r="A852" s="28" t="s">
        <v>784</v>
      </c>
      <c r="B852" s="33" t="s">
        <v>845</v>
      </c>
      <c r="C852" s="6" t="s">
        <v>843</v>
      </c>
      <c r="D852" s="31" t="s">
        <v>124</v>
      </c>
      <c r="E852" s="34">
        <v>495</v>
      </c>
      <c r="F852" s="22" t="s">
        <v>259</v>
      </c>
    </row>
    <row r="853" spans="1:6">
      <c r="A853" s="28" t="s">
        <v>784</v>
      </c>
      <c r="B853" s="33" t="s">
        <v>846</v>
      </c>
      <c r="C853" s="6" t="s">
        <v>843</v>
      </c>
      <c r="D853" s="31" t="s">
        <v>124</v>
      </c>
      <c r="E853" s="34">
        <v>910</v>
      </c>
      <c r="F853" s="22" t="s">
        <v>259</v>
      </c>
    </row>
    <row r="854" spans="1:6">
      <c r="A854" s="28" t="s">
        <v>784</v>
      </c>
      <c r="B854" s="33" t="s">
        <v>847</v>
      </c>
      <c r="C854" s="6" t="s">
        <v>843</v>
      </c>
      <c r="D854" s="31" t="s">
        <v>124</v>
      </c>
      <c r="E854" s="34">
        <v>245</v>
      </c>
      <c r="F854" s="22" t="s">
        <v>259</v>
      </c>
    </row>
    <row r="855" spans="1:6">
      <c r="A855" s="28" t="s">
        <v>784</v>
      </c>
      <c r="B855" s="33" t="s">
        <v>848</v>
      </c>
      <c r="C855" s="6" t="s">
        <v>843</v>
      </c>
      <c r="D855" s="31" t="s">
        <v>124</v>
      </c>
      <c r="E855" s="34">
        <v>410</v>
      </c>
      <c r="F855" s="22" t="s">
        <v>259</v>
      </c>
    </row>
    <row r="856" spans="1:6">
      <c r="A856" s="28" t="s">
        <v>784</v>
      </c>
      <c r="B856" s="33" t="s">
        <v>849</v>
      </c>
      <c r="C856" s="6" t="s">
        <v>843</v>
      </c>
      <c r="D856" s="31" t="s">
        <v>124</v>
      </c>
      <c r="E856" s="34">
        <v>220</v>
      </c>
      <c r="F856" s="22" t="s">
        <v>259</v>
      </c>
    </row>
    <row r="857" spans="1:6">
      <c r="A857" s="28" t="s">
        <v>784</v>
      </c>
      <c r="B857" s="33" t="s">
        <v>850</v>
      </c>
      <c r="C857" s="6" t="s">
        <v>843</v>
      </c>
      <c r="D857" s="31" t="s">
        <v>124</v>
      </c>
      <c r="E857" s="34">
        <v>150</v>
      </c>
      <c r="F857" s="22" t="s">
        <v>259</v>
      </c>
    </row>
    <row r="858" spans="1:6">
      <c r="A858" s="28" t="s">
        <v>784</v>
      </c>
      <c r="B858" s="33" t="s">
        <v>851</v>
      </c>
      <c r="C858" s="6" t="s">
        <v>843</v>
      </c>
      <c r="D858" s="31" t="s">
        <v>124</v>
      </c>
      <c r="E858" s="34">
        <v>720</v>
      </c>
      <c r="F858" s="22" t="s">
        <v>259</v>
      </c>
    </row>
    <row r="859" spans="1:6">
      <c r="A859" s="28" t="s">
        <v>784</v>
      </c>
      <c r="B859" s="33" t="s">
        <v>852</v>
      </c>
      <c r="C859" s="6" t="s">
        <v>843</v>
      </c>
      <c r="D859" s="31" t="s">
        <v>124</v>
      </c>
      <c r="E859" s="34">
        <v>170</v>
      </c>
      <c r="F859" s="22" t="s">
        <v>259</v>
      </c>
    </row>
    <row r="860" spans="1:6">
      <c r="A860" s="28" t="s">
        <v>784</v>
      </c>
      <c r="B860" s="33" t="s">
        <v>853</v>
      </c>
      <c r="C860" s="33" t="s">
        <v>744</v>
      </c>
      <c r="D860" s="31" t="s">
        <v>124</v>
      </c>
      <c r="E860" s="34">
        <v>190</v>
      </c>
      <c r="F860" s="22" t="s">
        <v>259</v>
      </c>
    </row>
    <row r="861" spans="1:6">
      <c r="A861" s="28" t="s">
        <v>784</v>
      </c>
      <c r="B861" s="33" t="s">
        <v>854</v>
      </c>
      <c r="C861" s="33" t="s">
        <v>744</v>
      </c>
      <c r="D861" s="31" t="s">
        <v>124</v>
      </c>
      <c r="E861" s="34">
        <v>340</v>
      </c>
      <c r="F861" s="22" t="s">
        <v>259</v>
      </c>
    </row>
    <row r="862" spans="1:6">
      <c r="A862" s="28" t="s">
        <v>784</v>
      </c>
      <c r="B862" s="33" t="s">
        <v>855</v>
      </c>
      <c r="C862" s="33" t="s">
        <v>744</v>
      </c>
      <c r="D862" s="31" t="s">
        <v>124</v>
      </c>
      <c r="E862" s="34">
        <v>780</v>
      </c>
      <c r="F862" s="22" t="s">
        <v>259</v>
      </c>
    </row>
    <row r="863" spans="1:6">
      <c r="A863" s="28" t="s">
        <v>784</v>
      </c>
      <c r="B863" s="33" t="s">
        <v>856</v>
      </c>
      <c r="C863" s="33" t="s">
        <v>744</v>
      </c>
      <c r="D863" s="31" t="s">
        <v>124</v>
      </c>
      <c r="E863" s="34">
        <v>990</v>
      </c>
      <c r="F863" s="22" t="s">
        <v>259</v>
      </c>
    </row>
    <row r="864" spans="1:6">
      <c r="A864" s="28" t="s">
        <v>784</v>
      </c>
      <c r="B864" s="6" t="s">
        <v>716</v>
      </c>
      <c r="C864" s="6" t="s">
        <v>301</v>
      </c>
      <c r="D864" s="31" t="s">
        <v>124</v>
      </c>
      <c r="E864" s="10">
        <v>250</v>
      </c>
      <c r="F864" s="22" t="s">
        <v>259</v>
      </c>
    </row>
    <row r="865" spans="1:8">
      <c r="A865" s="28" t="s">
        <v>784</v>
      </c>
      <c r="B865" s="6" t="s">
        <v>857</v>
      </c>
      <c r="C865" s="6" t="s">
        <v>747</v>
      </c>
      <c r="D865" s="9" t="s">
        <v>124</v>
      </c>
      <c r="E865" s="10">
        <v>970</v>
      </c>
      <c r="F865" s="22" t="s">
        <v>259</v>
      </c>
    </row>
    <row r="866" spans="1:8">
      <c r="A866" s="28" t="s">
        <v>784</v>
      </c>
      <c r="B866" s="6" t="s">
        <v>858</v>
      </c>
      <c r="C866" s="33" t="s">
        <v>859</v>
      </c>
      <c r="D866" s="9" t="s">
        <v>124</v>
      </c>
      <c r="E866" s="34">
        <v>4450</v>
      </c>
      <c r="F866" s="22" t="s">
        <v>259</v>
      </c>
    </row>
    <row r="867" spans="1:8">
      <c r="A867" s="28" t="s">
        <v>784</v>
      </c>
      <c r="B867" s="6" t="s">
        <v>860</v>
      </c>
      <c r="C867" s="6" t="s">
        <v>747</v>
      </c>
      <c r="D867" s="9" t="s">
        <v>250</v>
      </c>
      <c r="E867" s="10">
        <v>5400</v>
      </c>
      <c r="F867" s="22" t="s">
        <v>259</v>
      </c>
      <c r="H867" s="47"/>
    </row>
    <row r="868" spans="1:8">
      <c r="A868" s="28" t="s">
        <v>784</v>
      </c>
      <c r="B868" s="57" t="s">
        <v>861</v>
      </c>
      <c r="C868" s="33" t="s">
        <v>744</v>
      </c>
      <c r="D868" s="9" t="s">
        <v>250</v>
      </c>
      <c r="E868" s="10">
        <v>2100</v>
      </c>
      <c r="F868" s="22" t="s">
        <v>259</v>
      </c>
      <c r="H868" s="47"/>
    </row>
    <row r="869" spans="1:8">
      <c r="A869" s="28" t="s">
        <v>784</v>
      </c>
      <c r="B869" s="58" t="s">
        <v>862</v>
      </c>
      <c r="C869" s="6" t="s">
        <v>863</v>
      </c>
      <c r="D869" s="9" t="s">
        <v>250</v>
      </c>
      <c r="E869" s="59">
        <v>3800</v>
      </c>
      <c r="F869" s="22" t="s">
        <v>259</v>
      </c>
    </row>
    <row r="870" spans="1:8">
      <c r="A870" s="28" t="s">
        <v>784</v>
      </c>
      <c r="B870" s="58" t="s">
        <v>864</v>
      </c>
      <c r="C870" s="6" t="s">
        <v>863</v>
      </c>
      <c r="D870" s="9" t="s">
        <v>250</v>
      </c>
      <c r="E870" s="59">
        <v>2600</v>
      </c>
      <c r="F870" s="22" t="s">
        <v>259</v>
      </c>
    </row>
    <row r="871" spans="1:8">
      <c r="A871" s="28" t="s">
        <v>784</v>
      </c>
      <c r="B871" s="58" t="s">
        <v>865</v>
      </c>
      <c r="C871" s="6" t="s">
        <v>863</v>
      </c>
      <c r="D871" s="9" t="s">
        <v>250</v>
      </c>
      <c r="E871" s="59">
        <v>4900</v>
      </c>
      <c r="F871" s="22" t="s">
        <v>259</v>
      </c>
    </row>
    <row r="872" spans="1:8">
      <c r="A872" s="28" t="s">
        <v>784</v>
      </c>
      <c r="B872" s="6" t="s">
        <v>866</v>
      </c>
      <c r="C872" s="6" t="s">
        <v>747</v>
      </c>
      <c r="D872" s="9" t="s">
        <v>250</v>
      </c>
      <c r="E872" s="10">
        <v>1900</v>
      </c>
      <c r="F872" s="22" t="s">
        <v>259</v>
      </c>
    </row>
    <row r="873" spans="1:8">
      <c r="A873" s="28" t="s">
        <v>784</v>
      </c>
      <c r="B873" s="6" t="s">
        <v>867</v>
      </c>
      <c r="C873" s="33" t="s">
        <v>868</v>
      </c>
      <c r="D873" s="9" t="s">
        <v>461</v>
      </c>
      <c r="E873" s="34">
        <v>86700</v>
      </c>
      <c r="F873" s="22" t="s">
        <v>259</v>
      </c>
    </row>
    <row r="874" spans="1:8">
      <c r="A874" s="28" t="s">
        <v>784</v>
      </c>
      <c r="B874" s="6" t="s">
        <v>869</v>
      </c>
      <c r="C874" s="33" t="s">
        <v>870</v>
      </c>
      <c r="D874" s="9" t="s">
        <v>250</v>
      </c>
      <c r="E874" s="34">
        <v>93000</v>
      </c>
      <c r="F874" s="22" t="s">
        <v>259</v>
      </c>
    </row>
    <row r="875" spans="1:8">
      <c r="A875" s="28" t="s">
        <v>784</v>
      </c>
      <c r="B875" s="33" t="s">
        <v>871</v>
      </c>
      <c r="C875" s="33" t="s">
        <v>258</v>
      </c>
      <c r="D875" s="31" t="s">
        <v>124</v>
      </c>
      <c r="E875" s="34">
        <v>3100</v>
      </c>
      <c r="F875" s="22" t="s">
        <v>259</v>
      </c>
    </row>
    <row r="876" spans="1:8">
      <c r="A876" s="28" t="s">
        <v>784</v>
      </c>
      <c r="B876" s="6" t="s">
        <v>872</v>
      </c>
      <c r="C876" s="6" t="s">
        <v>747</v>
      </c>
      <c r="D876" s="9" t="s">
        <v>250</v>
      </c>
      <c r="E876" s="10">
        <v>530</v>
      </c>
      <c r="F876" s="22" t="s">
        <v>259</v>
      </c>
    </row>
    <row r="877" spans="1:8">
      <c r="A877" s="28" t="s">
        <v>784</v>
      </c>
      <c r="B877" s="6" t="s">
        <v>873</v>
      </c>
      <c r="C877" s="6" t="s">
        <v>874</v>
      </c>
      <c r="D877" s="9" t="s">
        <v>250</v>
      </c>
      <c r="E877" s="10">
        <v>17000</v>
      </c>
      <c r="F877" s="22" t="s">
        <v>259</v>
      </c>
    </row>
    <row r="878" spans="1:8">
      <c r="A878" s="28" t="s">
        <v>784</v>
      </c>
      <c r="B878" s="6" t="s">
        <v>875</v>
      </c>
      <c r="C878" s="6" t="s">
        <v>876</v>
      </c>
      <c r="D878" s="9" t="s">
        <v>124</v>
      </c>
      <c r="E878" s="10">
        <v>16500</v>
      </c>
      <c r="F878" s="22" t="s">
        <v>259</v>
      </c>
    </row>
    <row r="879" spans="1:8">
      <c r="A879" s="60" t="s">
        <v>784</v>
      </c>
      <c r="B879" s="24" t="s">
        <v>1218</v>
      </c>
      <c r="C879" s="24" t="s">
        <v>3333</v>
      </c>
      <c r="D879" s="51" t="s">
        <v>124</v>
      </c>
      <c r="E879" s="50">
        <v>250</v>
      </c>
      <c r="F879" s="24" t="s">
        <v>265</v>
      </c>
    </row>
    <row r="880" spans="1:8">
      <c r="A880" s="60" t="s">
        <v>784</v>
      </c>
      <c r="B880" s="24" t="s">
        <v>1222</v>
      </c>
      <c r="C880" s="24" t="s">
        <v>3333</v>
      </c>
      <c r="D880" s="51" t="s">
        <v>124</v>
      </c>
      <c r="E880" s="50">
        <v>275</v>
      </c>
      <c r="F880" s="24" t="s">
        <v>265</v>
      </c>
    </row>
    <row r="881" spans="1:6">
      <c r="A881" s="60" t="s">
        <v>784</v>
      </c>
      <c r="B881" s="24" t="s">
        <v>3334</v>
      </c>
      <c r="C881" s="24" t="s">
        <v>3333</v>
      </c>
      <c r="D881" s="51" t="s">
        <v>124</v>
      </c>
      <c r="E881" s="50">
        <v>450</v>
      </c>
      <c r="F881" s="24" t="s">
        <v>265</v>
      </c>
    </row>
    <row r="882" spans="1:6">
      <c r="A882" s="60" t="s">
        <v>784</v>
      </c>
      <c r="B882" s="24" t="s">
        <v>1225</v>
      </c>
      <c r="C882" s="24" t="s">
        <v>3333</v>
      </c>
      <c r="D882" s="51" t="s">
        <v>124</v>
      </c>
      <c r="E882" s="50">
        <v>850</v>
      </c>
      <c r="F882" s="24" t="s">
        <v>265</v>
      </c>
    </row>
    <row r="883" spans="1:6">
      <c r="A883" s="60" t="s">
        <v>784</v>
      </c>
      <c r="B883" s="24" t="s">
        <v>1221</v>
      </c>
      <c r="C883" s="24" t="s">
        <v>3333</v>
      </c>
      <c r="D883" s="51" t="s">
        <v>124</v>
      </c>
      <c r="E883" s="50">
        <v>585</v>
      </c>
      <c r="F883" s="24" t="s">
        <v>265</v>
      </c>
    </row>
    <row r="884" spans="1:6">
      <c r="A884" s="60" t="s">
        <v>784</v>
      </c>
      <c r="B884" s="24" t="s">
        <v>1219</v>
      </c>
      <c r="C884" s="24" t="s">
        <v>3333</v>
      </c>
      <c r="D884" s="51" t="s">
        <v>124</v>
      </c>
      <c r="E884" s="50">
        <v>450</v>
      </c>
      <c r="F884" s="24" t="s">
        <v>265</v>
      </c>
    </row>
    <row r="885" spans="1:6">
      <c r="A885" s="60" t="s">
        <v>784</v>
      </c>
      <c r="B885" s="24" t="s">
        <v>1220</v>
      </c>
      <c r="C885" s="24" t="s">
        <v>3333</v>
      </c>
      <c r="D885" s="51" t="s">
        <v>124</v>
      </c>
      <c r="E885" s="50">
        <v>450</v>
      </c>
      <c r="F885" s="24" t="s">
        <v>265</v>
      </c>
    </row>
    <row r="886" spans="1:6">
      <c r="A886" s="60" t="s">
        <v>784</v>
      </c>
      <c r="B886" s="24" t="s">
        <v>3335</v>
      </c>
      <c r="C886" s="24" t="s">
        <v>3333</v>
      </c>
      <c r="D886" s="51" t="s">
        <v>124</v>
      </c>
      <c r="E886" s="50">
        <v>710</v>
      </c>
      <c r="F886" s="24" t="s">
        <v>265</v>
      </c>
    </row>
    <row r="887" spans="1:6">
      <c r="A887" s="60" t="s">
        <v>784</v>
      </c>
      <c r="B887" s="24" t="s">
        <v>3336</v>
      </c>
      <c r="C887" s="24" t="s">
        <v>3333</v>
      </c>
      <c r="D887" s="51" t="s">
        <v>124</v>
      </c>
      <c r="E887" s="50">
        <v>75</v>
      </c>
      <c r="F887" s="24" t="s">
        <v>265</v>
      </c>
    </row>
    <row r="888" spans="1:6">
      <c r="A888" s="60" t="s">
        <v>784</v>
      </c>
      <c r="B888" s="24" t="s">
        <v>3337</v>
      </c>
      <c r="C888" s="24" t="s">
        <v>3333</v>
      </c>
      <c r="D888" s="51" t="s">
        <v>124</v>
      </c>
      <c r="E888" s="50">
        <v>165</v>
      </c>
      <c r="F888" s="24" t="s">
        <v>265</v>
      </c>
    </row>
    <row r="889" spans="1:6">
      <c r="A889" s="60" t="s">
        <v>784</v>
      </c>
      <c r="B889" s="24" t="s">
        <v>1223</v>
      </c>
      <c r="C889" s="24" t="s">
        <v>3333</v>
      </c>
      <c r="D889" s="51" t="s">
        <v>124</v>
      </c>
      <c r="E889" s="50">
        <v>215</v>
      </c>
      <c r="F889" s="24" t="s">
        <v>265</v>
      </c>
    </row>
    <row r="890" spans="1:6">
      <c r="A890" s="60" t="s">
        <v>784</v>
      </c>
      <c r="B890" s="24" t="s">
        <v>3338</v>
      </c>
      <c r="C890" s="24" t="s">
        <v>3333</v>
      </c>
      <c r="D890" s="51" t="s">
        <v>124</v>
      </c>
      <c r="E890" s="50">
        <v>225</v>
      </c>
      <c r="F890" s="24" t="s">
        <v>265</v>
      </c>
    </row>
    <row r="891" spans="1:6">
      <c r="A891" s="60" t="s">
        <v>784</v>
      </c>
      <c r="B891" s="24" t="s">
        <v>3339</v>
      </c>
      <c r="C891" s="24" t="s">
        <v>3333</v>
      </c>
      <c r="D891" s="51" t="s">
        <v>124</v>
      </c>
      <c r="E891" s="50">
        <v>225</v>
      </c>
      <c r="F891" s="24" t="s">
        <v>265</v>
      </c>
    </row>
    <row r="892" spans="1:6">
      <c r="A892" s="60" t="s">
        <v>784</v>
      </c>
      <c r="B892" s="24" t="s">
        <v>3340</v>
      </c>
      <c r="C892" s="24" t="s">
        <v>3333</v>
      </c>
      <c r="D892" s="51" t="s">
        <v>124</v>
      </c>
      <c r="E892" s="50">
        <v>450</v>
      </c>
      <c r="F892" s="24" t="s">
        <v>265</v>
      </c>
    </row>
    <row r="893" spans="1:6">
      <c r="A893" s="60" t="s">
        <v>784</v>
      </c>
      <c r="B893" s="24" t="s">
        <v>3341</v>
      </c>
      <c r="C893" s="24" t="s">
        <v>3333</v>
      </c>
      <c r="D893" s="51" t="s">
        <v>124</v>
      </c>
      <c r="E893" s="50">
        <v>135</v>
      </c>
      <c r="F893" s="24" t="s">
        <v>265</v>
      </c>
    </row>
    <row r="894" spans="1:6">
      <c r="A894" s="60" t="s">
        <v>784</v>
      </c>
      <c r="B894" s="24" t="s">
        <v>3342</v>
      </c>
      <c r="C894" s="24" t="s">
        <v>3333</v>
      </c>
      <c r="D894" s="51" t="s">
        <v>124</v>
      </c>
      <c r="E894" s="50">
        <v>125</v>
      </c>
      <c r="F894" s="24" t="s">
        <v>265</v>
      </c>
    </row>
    <row r="895" spans="1:6">
      <c r="A895" s="60" t="s">
        <v>784</v>
      </c>
      <c r="B895" s="24" t="s">
        <v>3343</v>
      </c>
      <c r="C895" s="24" t="s">
        <v>3333</v>
      </c>
      <c r="D895" s="51" t="s">
        <v>124</v>
      </c>
      <c r="E895" s="50">
        <v>225</v>
      </c>
      <c r="F895" s="24" t="s">
        <v>265</v>
      </c>
    </row>
    <row r="896" spans="1:6">
      <c r="A896" s="60" t="s">
        <v>784</v>
      </c>
      <c r="B896" s="24" t="s">
        <v>3344</v>
      </c>
      <c r="C896" s="24" t="s">
        <v>3333</v>
      </c>
      <c r="D896" s="51" t="s">
        <v>124</v>
      </c>
      <c r="E896" s="50">
        <v>450</v>
      </c>
      <c r="F896" s="24" t="s">
        <v>265</v>
      </c>
    </row>
    <row r="897" spans="1:6">
      <c r="A897" s="60" t="s">
        <v>784</v>
      </c>
      <c r="B897" s="24" t="s">
        <v>3345</v>
      </c>
      <c r="C897" s="24" t="s">
        <v>3333</v>
      </c>
      <c r="D897" s="51" t="s">
        <v>124</v>
      </c>
      <c r="E897" s="50">
        <v>15</v>
      </c>
      <c r="F897" s="24" t="s">
        <v>265</v>
      </c>
    </row>
    <row r="898" spans="1:6">
      <c r="A898" s="60" t="s">
        <v>784</v>
      </c>
      <c r="B898" s="24" t="s">
        <v>3346</v>
      </c>
      <c r="C898" s="24" t="s">
        <v>3333</v>
      </c>
      <c r="D898" s="51" t="s">
        <v>124</v>
      </c>
      <c r="E898" s="50">
        <v>15</v>
      </c>
      <c r="F898" s="24" t="s">
        <v>265</v>
      </c>
    </row>
    <row r="899" spans="1:6">
      <c r="A899" s="6"/>
      <c r="B899" s="20" t="s">
        <v>877</v>
      </c>
      <c r="C899" s="6"/>
      <c r="D899" s="9"/>
      <c r="E899" s="10"/>
      <c r="F899" s="6"/>
    </row>
    <row r="900" spans="1:6">
      <c r="A900" s="11" t="s">
        <v>1</v>
      </c>
      <c r="B900" s="12" t="s">
        <v>2</v>
      </c>
      <c r="C900" s="13" t="s">
        <v>3</v>
      </c>
      <c r="D900" s="14" t="s">
        <v>4</v>
      </c>
      <c r="E900" s="15" t="s">
        <v>5</v>
      </c>
      <c r="F900" s="6"/>
    </row>
    <row r="901" spans="1:6">
      <c r="A901" s="6" t="s">
        <v>878</v>
      </c>
      <c r="B901" s="61" t="s">
        <v>879</v>
      </c>
      <c r="C901" s="6" t="s">
        <v>111</v>
      </c>
      <c r="D901" s="62" t="s">
        <v>9</v>
      </c>
      <c r="E901" s="32">
        <v>225</v>
      </c>
      <c r="F901" s="6" t="s">
        <v>880</v>
      </c>
    </row>
    <row r="902" spans="1:6">
      <c r="A902" s="6" t="s">
        <v>878</v>
      </c>
      <c r="B902" s="61" t="s">
        <v>881</v>
      </c>
      <c r="C902" s="6" t="s">
        <v>111</v>
      </c>
      <c r="D902" s="62" t="s">
        <v>9</v>
      </c>
      <c r="E902" s="32">
        <v>1500</v>
      </c>
      <c r="F902" s="6" t="s">
        <v>880</v>
      </c>
    </row>
    <row r="903" spans="1:6">
      <c r="A903" s="6" t="s">
        <v>878</v>
      </c>
      <c r="B903" s="61" t="s">
        <v>882</v>
      </c>
      <c r="C903" s="6" t="s">
        <v>13</v>
      </c>
      <c r="D903" s="62" t="s">
        <v>9</v>
      </c>
      <c r="E903" s="32">
        <v>20</v>
      </c>
      <c r="F903" s="6" t="s">
        <v>880</v>
      </c>
    </row>
    <row r="904" spans="1:6">
      <c r="A904" s="6" t="s">
        <v>878</v>
      </c>
      <c r="B904" s="61" t="s">
        <v>883</v>
      </c>
      <c r="C904" s="6" t="s">
        <v>13</v>
      </c>
      <c r="D904" s="62" t="s">
        <v>9</v>
      </c>
      <c r="E904" s="32">
        <v>17</v>
      </c>
      <c r="F904" s="6" t="s">
        <v>880</v>
      </c>
    </row>
    <row r="905" spans="1:6">
      <c r="A905" s="6" t="s">
        <v>878</v>
      </c>
      <c r="B905" s="61" t="s">
        <v>884</v>
      </c>
      <c r="C905" s="6" t="s">
        <v>99</v>
      </c>
      <c r="D905" s="62" t="s">
        <v>9</v>
      </c>
      <c r="E905" s="32">
        <v>350</v>
      </c>
      <c r="F905" s="6" t="s">
        <v>880</v>
      </c>
    </row>
    <row r="906" spans="1:6">
      <c r="A906" s="6" t="s">
        <v>878</v>
      </c>
      <c r="B906" s="61" t="s">
        <v>885</v>
      </c>
      <c r="C906" s="6" t="s">
        <v>99</v>
      </c>
      <c r="D906" s="62" t="s">
        <v>9</v>
      </c>
      <c r="E906" s="32">
        <v>350</v>
      </c>
      <c r="F906" s="6" t="s">
        <v>880</v>
      </c>
    </row>
    <row r="907" spans="1:6">
      <c r="B907" s="63" t="s">
        <v>886</v>
      </c>
    </row>
    <row r="908" spans="1:6">
      <c r="A908" s="11" t="s">
        <v>1</v>
      </c>
      <c r="B908" s="12" t="s">
        <v>2</v>
      </c>
      <c r="C908" s="13" t="s">
        <v>3</v>
      </c>
      <c r="D908" s="14" t="s">
        <v>4</v>
      </c>
      <c r="E908" s="15" t="s">
        <v>5</v>
      </c>
      <c r="F908" s="6"/>
    </row>
    <row r="909" spans="1:6">
      <c r="A909" s="22" t="s">
        <v>886</v>
      </c>
      <c r="B909" s="33" t="s">
        <v>887</v>
      </c>
      <c r="C909" s="33" t="s">
        <v>888</v>
      </c>
      <c r="D909" s="64" t="s">
        <v>124</v>
      </c>
      <c r="E909" s="34">
        <v>50</v>
      </c>
      <c r="F909" s="6" t="s">
        <v>288</v>
      </c>
    </row>
    <row r="910" spans="1:6">
      <c r="A910" s="22" t="s">
        <v>886</v>
      </c>
      <c r="B910" s="33" t="s">
        <v>889</v>
      </c>
      <c r="C910" s="33" t="s">
        <v>888</v>
      </c>
      <c r="D910" s="64" t="s">
        <v>124</v>
      </c>
      <c r="E910" s="34">
        <v>50</v>
      </c>
      <c r="F910" s="6" t="s">
        <v>288</v>
      </c>
    </row>
    <row r="911" spans="1:6">
      <c r="A911" s="22" t="s">
        <v>886</v>
      </c>
      <c r="B911" s="33" t="s">
        <v>890</v>
      </c>
      <c r="C911" s="33" t="s">
        <v>888</v>
      </c>
      <c r="D911" s="64" t="s">
        <v>124</v>
      </c>
      <c r="E911" s="34">
        <v>70</v>
      </c>
      <c r="F911" s="6" t="s">
        <v>288</v>
      </c>
    </row>
    <row r="912" spans="1:6">
      <c r="A912" s="22" t="s">
        <v>886</v>
      </c>
      <c r="B912" s="33" t="s">
        <v>891</v>
      </c>
      <c r="C912" s="33" t="s">
        <v>888</v>
      </c>
      <c r="D912" s="64" t="s">
        <v>124</v>
      </c>
      <c r="E912" s="34">
        <v>70</v>
      </c>
      <c r="F912" s="6" t="s">
        <v>288</v>
      </c>
    </row>
    <row r="913" spans="1:6">
      <c r="A913" s="22" t="s">
        <v>886</v>
      </c>
      <c r="B913" s="33" t="s">
        <v>892</v>
      </c>
      <c r="C913" s="33" t="s">
        <v>888</v>
      </c>
      <c r="D913" s="64" t="s">
        <v>124</v>
      </c>
      <c r="E913" s="34">
        <v>95</v>
      </c>
      <c r="F913" s="6" t="s">
        <v>288</v>
      </c>
    </row>
    <row r="914" spans="1:6">
      <c r="A914" s="22" t="s">
        <v>886</v>
      </c>
      <c r="B914" s="33" t="s">
        <v>893</v>
      </c>
      <c r="C914" s="33" t="s">
        <v>888</v>
      </c>
      <c r="D914" s="64" t="s">
        <v>124</v>
      </c>
      <c r="E914" s="34">
        <v>135</v>
      </c>
      <c r="F914" s="6" t="s">
        <v>288</v>
      </c>
    </row>
    <row r="915" spans="1:6">
      <c r="A915" s="22" t="s">
        <v>886</v>
      </c>
      <c r="B915" s="33" t="s">
        <v>894</v>
      </c>
      <c r="C915" s="33" t="s">
        <v>888</v>
      </c>
      <c r="D915" s="64" t="s">
        <v>124</v>
      </c>
      <c r="E915" s="34">
        <v>120</v>
      </c>
      <c r="F915" s="6" t="s">
        <v>288</v>
      </c>
    </row>
    <row r="916" spans="1:6">
      <c r="A916" s="22" t="s">
        <v>886</v>
      </c>
      <c r="B916" s="33" t="s">
        <v>895</v>
      </c>
      <c r="C916" s="33" t="s">
        <v>888</v>
      </c>
      <c r="D916" s="64" t="s">
        <v>124</v>
      </c>
      <c r="E916" s="34">
        <v>135</v>
      </c>
      <c r="F916" s="6" t="s">
        <v>288</v>
      </c>
    </row>
    <row r="917" spans="1:6">
      <c r="A917" s="22" t="s">
        <v>886</v>
      </c>
      <c r="B917" s="33" t="s">
        <v>896</v>
      </c>
      <c r="C917" s="33" t="s">
        <v>888</v>
      </c>
      <c r="D917" s="64" t="s">
        <v>124</v>
      </c>
      <c r="E917" s="34">
        <v>170</v>
      </c>
      <c r="F917" s="6" t="s">
        <v>288</v>
      </c>
    </row>
    <row r="918" spans="1:6">
      <c r="A918" s="22" t="s">
        <v>886</v>
      </c>
      <c r="B918" s="33" t="s">
        <v>897</v>
      </c>
      <c r="C918" s="33" t="s">
        <v>888</v>
      </c>
      <c r="D918" s="64" t="s">
        <v>124</v>
      </c>
      <c r="E918" s="34">
        <v>60</v>
      </c>
      <c r="F918" s="6" t="s">
        <v>288</v>
      </c>
    </row>
    <row r="919" spans="1:6">
      <c r="A919" s="22" t="s">
        <v>886</v>
      </c>
      <c r="B919" s="33" t="s">
        <v>898</v>
      </c>
      <c r="C919" s="33" t="s">
        <v>888</v>
      </c>
      <c r="D919" s="64" t="s">
        <v>124</v>
      </c>
      <c r="E919" s="34">
        <v>50</v>
      </c>
      <c r="F919" s="6" t="s">
        <v>288</v>
      </c>
    </row>
    <row r="920" spans="1:6">
      <c r="A920" s="22" t="s">
        <v>886</v>
      </c>
      <c r="B920" s="33" t="s">
        <v>899</v>
      </c>
      <c r="C920" s="33" t="s">
        <v>888</v>
      </c>
      <c r="D920" s="64" t="s">
        <v>124</v>
      </c>
      <c r="E920" s="34">
        <v>130</v>
      </c>
      <c r="F920" s="6" t="s">
        <v>288</v>
      </c>
    </row>
    <row r="921" spans="1:6">
      <c r="A921" s="22" t="s">
        <v>886</v>
      </c>
      <c r="B921" s="33" t="s">
        <v>900</v>
      </c>
      <c r="C921" s="33" t="s">
        <v>888</v>
      </c>
      <c r="D921" s="64" t="s">
        <v>124</v>
      </c>
      <c r="E921" s="34">
        <v>170</v>
      </c>
      <c r="F921" s="6" t="s">
        <v>288</v>
      </c>
    </row>
    <row r="922" spans="1:6">
      <c r="A922" s="22" t="s">
        <v>886</v>
      </c>
      <c r="B922" s="33" t="s">
        <v>901</v>
      </c>
      <c r="C922" s="33" t="s">
        <v>888</v>
      </c>
      <c r="D922" s="64" t="s">
        <v>124</v>
      </c>
      <c r="E922" s="34">
        <v>300</v>
      </c>
      <c r="F922" s="6" t="s">
        <v>288</v>
      </c>
    </row>
    <row r="923" spans="1:6">
      <c r="A923" s="22" t="s">
        <v>886</v>
      </c>
      <c r="B923" s="33" t="s">
        <v>902</v>
      </c>
      <c r="C923" s="33" t="s">
        <v>888</v>
      </c>
      <c r="D923" s="64" t="s">
        <v>124</v>
      </c>
      <c r="E923" s="34">
        <v>125</v>
      </c>
      <c r="F923" s="6" t="s">
        <v>288</v>
      </c>
    </row>
    <row r="924" spans="1:6">
      <c r="A924" s="22" t="s">
        <v>886</v>
      </c>
      <c r="B924" s="33" t="s">
        <v>903</v>
      </c>
      <c r="C924" s="33" t="s">
        <v>888</v>
      </c>
      <c r="D924" s="64" t="s">
        <v>124</v>
      </c>
      <c r="E924" s="34">
        <v>95</v>
      </c>
      <c r="F924" s="6" t="s">
        <v>288</v>
      </c>
    </row>
    <row r="925" spans="1:6">
      <c r="A925" s="22" t="s">
        <v>886</v>
      </c>
      <c r="B925" s="33" t="s">
        <v>904</v>
      </c>
      <c r="C925" s="33" t="s">
        <v>888</v>
      </c>
      <c r="D925" s="64" t="s">
        <v>124</v>
      </c>
      <c r="E925" s="34">
        <v>375</v>
      </c>
      <c r="F925" s="6" t="s">
        <v>288</v>
      </c>
    </row>
    <row r="926" spans="1:6">
      <c r="A926" s="22" t="s">
        <v>886</v>
      </c>
      <c r="B926" s="33" t="s">
        <v>905</v>
      </c>
      <c r="C926" s="33" t="s">
        <v>888</v>
      </c>
      <c r="D926" s="64" t="s">
        <v>124</v>
      </c>
      <c r="E926" s="34">
        <v>500</v>
      </c>
      <c r="F926" s="6" t="s">
        <v>288</v>
      </c>
    </row>
    <row r="927" spans="1:6">
      <c r="A927" s="22" t="s">
        <v>886</v>
      </c>
      <c r="B927" s="33" t="s">
        <v>906</v>
      </c>
      <c r="C927" s="33" t="s">
        <v>888</v>
      </c>
      <c r="D927" s="64" t="s">
        <v>124</v>
      </c>
      <c r="E927" s="34">
        <v>470</v>
      </c>
      <c r="F927" s="6" t="s">
        <v>288</v>
      </c>
    </row>
    <row r="928" spans="1:6">
      <c r="A928" s="22" t="s">
        <v>886</v>
      </c>
      <c r="B928" s="33" t="s">
        <v>907</v>
      </c>
      <c r="C928" s="33" t="s">
        <v>888</v>
      </c>
      <c r="D928" s="64" t="s">
        <v>124</v>
      </c>
      <c r="E928" s="34">
        <v>450</v>
      </c>
      <c r="F928" s="6" t="s">
        <v>288</v>
      </c>
    </row>
    <row r="929" spans="1:6">
      <c r="A929" s="22" t="s">
        <v>886</v>
      </c>
      <c r="B929" s="33" t="s">
        <v>908</v>
      </c>
      <c r="C929" s="33" t="s">
        <v>888</v>
      </c>
      <c r="D929" s="64" t="s">
        <v>124</v>
      </c>
      <c r="E929" s="34">
        <v>60</v>
      </c>
      <c r="F929" s="6" t="s">
        <v>288</v>
      </c>
    </row>
    <row r="930" spans="1:6">
      <c r="A930" s="22" t="s">
        <v>886</v>
      </c>
      <c r="B930" s="33" t="s">
        <v>909</v>
      </c>
      <c r="C930" s="33" t="s">
        <v>888</v>
      </c>
      <c r="D930" s="64" t="s">
        <v>124</v>
      </c>
      <c r="E930" s="34">
        <v>65</v>
      </c>
      <c r="F930" s="6" t="s">
        <v>288</v>
      </c>
    </row>
    <row r="931" spans="1:6">
      <c r="A931" s="22" t="s">
        <v>886</v>
      </c>
      <c r="B931" s="33" t="s">
        <v>910</v>
      </c>
      <c r="C931" s="33" t="s">
        <v>888</v>
      </c>
      <c r="D931" s="64" t="s">
        <v>124</v>
      </c>
      <c r="E931" s="34">
        <v>70</v>
      </c>
      <c r="F931" s="6" t="s">
        <v>288</v>
      </c>
    </row>
    <row r="932" spans="1:6">
      <c r="A932" s="22" t="s">
        <v>886</v>
      </c>
      <c r="B932" s="33" t="s">
        <v>911</v>
      </c>
      <c r="C932" s="33" t="s">
        <v>888</v>
      </c>
      <c r="D932" s="64" t="s">
        <v>124</v>
      </c>
      <c r="E932" s="34">
        <v>50</v>
      </c>
      <c r="F932" s="6" t="s">
        <v>288</v>
      </c>
    </row>
    <row r="933" spans="1:6">
      <c r="A933" s="22" t="s">
        <v>886</v>
      </c>
      <c r="B933" s="33" t="s">
        <v>912</v>
      </c>
      <c r="C933" s="33" t="s">
        <v>888</v>
      </c>
      <c r="D933" s="64" t="s">
        <v>124</v>
      </c>
      <c r="E933" s="34">
        <v>95</v>
      </c>
      <c r="F933" s="6" t="s">
        <v>288</v>
      </c>
    </row>
    <row r="934" spans="1:6">
      <c r="A934" s="22" t="s">
        <v>886</v>
      </c>
      <c r="B934" s="33" t="s">
        <v>913</v>
      </c>
      <c r="C934" s="33" t="s">
        <v>888</v>
      </c>
      <c r="D934" s="64" t="s">
        <v>124</v>
      </c>
      <c r="E934" s="34">
        <v>95</v>
      </c>
      <c r="F934" s="6" t="s">
        <v>288</v>
      </c>
    </row>
    <row r="935" spans="1:6">
      <c r="A935" s="22" t="s">
        <v>886</v>
      </c>
      <c r="B935" s="33" t="s">
        <v>914</v>
      </c>
      <c r="C935" s="33" t="s">
        <v>888</v>
      </c>
      <c r="D935" s="64" t="s">
        <v>124</v>
      </c>
      <c r="E935" s="34">
        <v>75</v>
      </c>
      <c r="F935" s="6" t="s">
        <v>288</v>
      </c>
    </row>
    <row r="936" spans="1:6">
      <c r="A936" s="22" t="s">
        <v>886</v>
      </c>
      <c r="B936" s="33" t="s">
        <v>915</v>
      </c>
      <c r="C936" s="33" t="s">
        <v>888</v>
      </c>
      <c r="D936" s="64" t="s">
        <v>124</v>
      </c>
      <c r="E936" s="34">
        <v>75</v>
      </c>
      <c r="F936" s="6" t="s">
        <v>288</v>
      </c>
    </row>
    <row r="937" spans="1:6">
      <c r="A937" s="22" t="s">
        <v>886</v>
      </c>
      <c r="B937" s="33" t="s">
        <v>916</v>
      </c>
      <c r="C937" s="33" t="s">
        <v>888</v>
      </c>
      <c r="D937" s="64" t="s">
        <v>124</v>
      </c>
      <c r="E937" s="34">
        <v>150</v>
      </c>
      <c r="F937" s="6" t="s">
        <v>288</v>
      </c>
    </row>
    <row r="938" spans="1:6">
      <c r="A938" s="22" t="s">
        <v>886</v>
      </c>
      <c r="B938" s="33" t="s">
        <v>917</v>
      </c>
      <c r="C938" s="33" t="s">
        <v>888</v>
      </c>
      <c r="D938" s="64" t="s">
        <v>124</v>
      </c>
      <c r="E938" s="34">
        <v>50</v>
      </c>
      <c r="F938" s="6" t="s">
        <v>288</v>
      </c>
    </row>
    <row r="939" spans="1:6">
      <c r="A939" s="22" t="s">
        <v>886</v>
      </c>
      <c r="B939" s="33" t="s">
        <v>918</v>
      </c>
      <c r="C939" s="33" t="s">
        <v>888</v>
      </c>
      <c r="D939" s="64" t="s">
        <v>124</v>
      </c>
      <c r="E939" s="34">
        <v>170</v>
      </c>
      <c r="F939" s="6" t="s">
        <v>288</v>
      </c>
    </row>
    <row r="940" spans="1:6">
      <c r="A940" s="22" t="s">
        <v>886</v>
      </c>
      <c r="B940" s="33" t="s">
        <v>919</v>
      </c>
      <c r="C940" s="33" t="s">
        <v>888</v>
      </c>
      <c r="D940" s="64" t="s">
        <v>124</v>
      </c>
      <c r="E940" s="34">
        <v>75</v>
      </c>
      <c r="F940" s="6" t="s">
        <v>288</v>
      </c>
    </row>
    <row r="941" spans="1:6">
      <c r="A941" s="22" t="s">
        <v>886</v>
      </c>
      <c r="B941" s="33" t="s">
        <v>920</v>
      </c>
      <c r="C941" s="33" t="s">
        <v>888</v>
      </c>
      <c r="D941" s="64" t="s">
        <v>124</v>
      </c>
      <c r="E941" s="34">
        <v>95</v>
      </c>
      <c r="F941" s="6" t="s">
        <v>288</v>
      </c>
    </row>
    <row r="942" spans="1:6">
      <c r="A942" s="22" t="s">
        <v>886</v>
      </c>
      <c r="B942" s="33" t="s">
        <v>921</v>
      </c>
      <c r="C942" s="33" t="s">
        <v>888</v>
      </c>
      <c r="D942" s="64" t="s">
        <v>124</v>
      </c>
      <c r="E942" s="34">
        <v>120</v>
      </c>
      <c r="F942" s="6" t="s">
        <v>288</v>
      </c>
    </row>
    <row r="943" spans="1:6">
      <c r="A943" s="22" t="s">
        <v>886</v>
      </c>
      <c r="B943" s="33" t="s">
        <v>922</v>
      </c>
      <c r="C943" s="33" t="s">
        <v>888</v>
      </c>
      <c r="D943" s="64" t="s">
        <v>124</v>
      </c>
      <c r="E943" s="34">
        <v>120</v>
      </c>
      <c r="F943" s="6" t="s">
        <v>288</v>
      </c>
    </row>
    <row r="944" spans="1:6">
      <c r="A944" s="22" t="s">
        <v>886</v>
      </c>
      <c r="B944" s="33" t="s">
        <v>923</v>
      </c>
      <c r="C944" s="33" t="s">
        <v>888</v>
      </c>
      <c r="D944" s="64" t="s">
        <v>124</v>
      </c>
      <c r="E944" s="34">
        <v>8</v>
      </c>
      <c r="F944" s="6" t="s">
        <v>288</v>
      </c>
    </row>
    <row r="945" spans="1:6">
      <c r="A945" s="22" t="s">
        <v>886</v>
      </c>
      <c r="B945" s="33" t="s">
        <v>924</v>
      </c>
      <c r="C945" s="33" t="s">
        <v>888</v>
      </c>
      <c r="D945" s="64" t="s">
        <v>124</v>
      </c>
      <c r="E945" s="34">
        <v>100</v>
      </c>
      <c r="F945" s="6" t="s">
        <v>288</v>
      </c>
    </row>
    <row r="946" spans="1:6">
      <c r="A946" s="22" t="s">
        <v>886</v>
      </c>
      <c r="B946" s="33" t="s">
        <v>925</v>
      </c>
      <c r="C946" s="33" t="s">
        <v>888</v>
      </c>
      <c r="D946" s="64" t="s">
        <v>124</v>
      </c>
      <c r="E946" s="34">
        <v>15</v>
      </c>
      <c r="F946" s="6" t="s">
        <v>288</v>
      </c>
    </row>
    <row r="947" spans="1:6">
      <c r="A947" s="22" t="s">
        <v>886</v>
      </c>
      <c r="B947" s="33" t="s">
        <v>926</v>
      </c>
      <c r="C947" s="33" t="s">
        <v>888</v>
      </c>
      <c r="D947" s="64" t="s">
        <v>124</v>
      </c>
      <c r="E947" s="34">
        <v>600</v>
      </c>
      <c r="F947" s="6" t="s">
        <v>288</v>
      </c>
    </row>
    <row r="948" spans="1:6">
      <c r="A948" s="22" t="s">
        <v>886</v>
      </c>
      <c r="B948" s="33" t="s">
        <v>927</v>
      </c>
      <c r="C948" s="33" t="s">
        <v>888</v>
      </c>
      <c r="D948" s="64" t="s">
        <v>124</v>
      </c>
      <c r="E948" s="34">
        <v>18</v>
      </c>
      <c r="F948" s="6" t="s">
        <v>288</v>
      </c>
    </row>
    <row r="949" spans="1:6">
      <c r="A949" s="22" t="s">
        <v>886</v>
      </c>
      <c r="B949" s="33" t="s">
        <v>928</v>
      </c>
      <c r="C949" s="33" t="s">
        <v>888</v>
      </c>
      <c r="D949" s="64" t="s">
        <v>124</v>
      </c>
      <c r="E949" s="34">
        <v>18</v>
      </c>
      <c r="F949" s="6" t="s">
        <v>288</v>
      </c>
    </row>
    <row r="950" spans="1:6">
      <c r="A950" s="22" t="s">
        <v>886</v>
      </c>
      <c r="B950" s="33" t="s">
        <v>929</v>
      </c>
      <c r="C950" s="33" t="s">
        <v>888</v>
      </c>
      <c r="D950" s="64" t="s">
        <v>124</v>
      </c>
      <c r="E950" s="34">
        <v>65</v>
      </c>
      <c r="F950" s="6" t="s">
        <v>288</v>
      </c>
    </row>
    <row r="951" spans="1:6">
      <c r="A951" s="22" t="s">
        <v>886</v>
      </c>
      <c r="B951" s="33" t="s">
        <v>930</v>
      </c>
      <c r="C951" s="33" t="s">
        <v>888</v>
      </c>
      <c r="D951" s="64" t="s">
        <v>124</v>
      </c>
      <c r="E951" s="34">
        <v>85</v>
      </c>
      <c r="F951" s="6" t="s">
        <v>288</v>
      </c>
    </row>
    <row r="952" spans="1:6">
      <c r="A952" s="22" t="s">
        <v>886</v>
      </c>
      <c r="B952" s="33" t="s">
        <v>931</v>
      </c>
      <c r="C952" s="33" t="s">
        <v>888</v>
      </c>
      <c r="D952" s="64" t="s">
        <v>124</v>
      </c>
      <c r="E952" s="34">
        <v>60</v>
      </c>
      <c r="F952" s="6" t="s">
        <v>288</v>
      </c>
    </row>
    <row r="953" spans="1:6">
      <c r="A953" s="22" t="s">
        <v>886</v>
      </c>
      <c r="B953" s="33" t="s">
        <v>932</v>
      </c>
      <c r="C953" s="33" t="s">
        <v>888</v>
      </c>
      <c r="D953" s="64" t="s">
        <v>124</v>
      </c>
      <c r="E953" s="34">
        <v>85</v>
      </c>
      <c r="F953" s="6" t="s">
        <v>288</v>
      </c>
    </row>
    <row r="954" spans="1:6">
      <c r="A954" s="22" t="s">
        <v>886</v>
      </c>
      <c r="B954" s="33" t="s">
        <v>933</v>
      </c>
      <c r="C954" s="33" t="s">
        <v>888</v>
      </c>
      <c r="D954" s="64" t="s">
        <v>124</v>
      </c>
      <c r="E954" s="34">
        <v>65</v>
      </c>
      <c r="F954" s="6" t="s">
        <v>288</v>
      </c>
    </row>
    <row r="955" spans="1:6">
      <c r="A955" s="22" t="s">
        <v>886</v>
      </c>
      <c r="B955" s="33" t="s">
        <v>929</v>
      </c>
      <c r="C955" s="33" t="s">
        <v>888</v>
      </c>
      <c r="D955" s="64" t="s">
        <v>124</v>
      </c>
      <c r="E955" s="34">
        <v>50</v>
      </c>
      <c r="F955" s="6" t="s">
        <v>288</v>
      </c>
    </row>
    <row r="956" spans="1:6">
      <c r="A956" s="22" t="s">
        <v>886</v>
      </c>
      <c r="B956" s="33" t="s">
        <v>934</v>
      </c>
      <c r="C956" s="33" t="s">
        <v>888</v>
      </c>
      <c r="D956" s="64" t="s">
        <v>124</v>
      </c>
      <c r="E956" s="34">
        <v>55</v>
      </c>
      <c r="F956" s="6" t="s">
        <v>288</v>
      </c>
    </row>
    <row r="957" spans="1:6">
      <c r="A957" s="22" t="s">
        <v>886</v>
      </c>
      <c r="B957" s="33" t="s">
        <v>935</v>
      </c>
      <c r="C957" s="33" t="s">
        <v>888</v>
      </c>
      <c r="D957" s="64" t="s">
        <v>124</v>
      </c>
      <c r="E957" s="34">
        <v>45</v>
      </c>
      <c r="F957" s="6" t="s">
        <v>288</v>
      </c>
    </row>
    <row r="958" spans="1:6">
      <c r="A958" s="22" t="s">
        <v>886</v>
      </c>
      <c r="B958" s="33" t="s">
        <v>936</v>
      </c>
      <c r="C958" s="33" t="s">
        <v>888</v>
      </c>
      <c r="D958" s="64" t="s">
        <v>124</v>
      </c>
      <c r="E958" s="34">
        <v>55</v>
      </c>
      <c r="F958" s="6" t="s">
        <v>288</v>
      </c>
    </row>
    <row r="959" spans="1:6">
      <c r="A959" s="22" t="s">
        <v>886</v>
      </c>
      <c r="B959" s="33" t="s">
        <v>937</v>
      </c>
      <c r="C959" s="33" t="s">
        <v>888</v>
      </c>
      <c r="D959" s="64" t="s">
        <v>124</v>
      </c>
      <c r="E959" s="34">
        <v>95</v>
      </c>
      <c r="F959" s="6" t="s">
        <v>288</v>
      </c>
    </row>
    <row r="960" spans="1:6">
      <c r="A960" s="22" t="s">
        <v>886</v>
      </c>
      <c r="B960" s="33" t="s">
        <v>938</v>
      </c>
      <c r="C960" s="33" t="s">
        <v>888</v>
      </c>
      <c r="D960" s="64" t="s">
        <v>124</v>
      </c>
      <c r="E960" s="34">
        <v>95</v>
      </c>
      <c r="F960" s="6" t="s">
        <v>288</v>
      </c>
    </row>
    <row r="961" spans="1:6">
      <c r="A961" s="22" t="s">
        <v>886</v>
      </c>
      <c r="B961" s="33" t="s">
        <v>939</v>
      </c>
      <c r="C961" s="33" t="s">
        <v>888</v>
      </c>
      <c r="D961" s="64" t="s">
        <v>124</v>
      </c>
      <c r="E961" s="34">
        <v>60</v>
      </c>
      <c r="F961" s="6" t="s">
        <v>288</v>
      </c>
    </row>
    <row r="962" spans="1:6">
      <c r="A962" s="22" t="s">
        <v>886</v>
      </c>
      <c r="B962" s="33" t="s">
        <v>940</v>
      </c>
      <c r="C962" s="33" t="s">
        <v>888</v>
      </c>
      <c r="D962" s="64" t="s">
        <v>124</v>
      </c>
      <c r="E962" s="34">
        <v>65</v>
      </c>
      <c r="F962" s="6" t="s">
        <v>288</v>
      </c>
    </row>
    <row r="963" spans="1:6">
      <c r="A963" s="22" t="s">
        <v>886</v>
      </c>
      <c r="B963" s="33" t="s">
        <v>941</v>
      </c>
      <c r="C963" s="33" t="s">
        <v>888</v>
      </c>
      <c r="D963" s="64" t="s">
        <v>124</v>
      </c>
      <c r="E963" s="34">
        <v>17</v>
      </c>
      <c r="F963" s="6" t="s">
        <v>288</v>
      </c>
    </row>
    <row r="964" spans="1:6">
      <c r="A964" s="22" t="s">
        <v>886</v>
      </c>
      <c r="B964" s="33" t="s">
        <v>942</v>
      </c>
      <c r="C964" s="33" t="s">
        <v>888</v>
      </c>
      <c r="D964" s="64" t="s">
        <v>124</v>
      </c>
      <c r="E964" s="34">
        <v>18</v>
      </c>
      <c r="F964" s="6" t="s">
        <v>288</v>
      </c>
    </row>
    <row r="965" spans="1:6">
      <c r="A965" s="22" t="s">
        <v>886</v>
      </c>
      <c r="B965" s="33" t="s">
        <v>943</v>
      </c>
      <c r="C965" s="33" t="s">
        <v>888</v>
      </c>
      <c r="D965" s="64" t="s">
        <v>124</v>
      </c>
      <c r="E965" s="34">
        <v>75</v>
      </c>
      <c r="F965" s="6" t="s">
        <v>288</v>
      </c>
    </row>
    <row r="966" spans="1:6">
      <c r="A966" s="22" t="s">
        <v>886</v>
      </c>
      <c r="B966" s="33" t="s">
        <v>944</v>
      </c>
      <c r="C966" s="33" t="s">
        <v>888</v>
      </c>
      <c r="D966" s="64" t="s">
        <v>124</v>
      </c>
      <c r="E966" s="34">
        <v>75</v>
      </c>
      <c r="F966" s="6" t="s">
        <v>288</v>
      </c>
    </row>
    <row r="967" spans="1:6">
      <c r="A967" s="22" t="s">
        <v>886</v>
      </c>
      <c r="B967" s="33" t="s">
        <v>945</v>
      </c>
      <c r="C967" s="33" t="s">
        <v>888</v>
      </c>
      <c r="D967" s="64" t="s">
        <v>124</v>
      </c>
      <c r="E967" s="34">
        <v>75</v>
      </c>
      <c r="F967" s="6" t="s">
        <v>288</v>
      </c>
    </row>
    <row r="968" spans="1:6">
      <c r="A968" s="22" t="s">
        <v>886</v>
      </c>
      <c r="B968" s="33" t="s">
        <v>946</v>
      </c>
      <c r="C968" s="33" t="s">
        <v>888</v>
      </c>
      <c r="D968" s="64" t="s">
        <v>124</v>
      </c>
      <c r="E968" s="34">
        <v>75</v>
      </c>
      <c r="F968" s="6" t="s">
        <v>288</v>
      </c>
    </row>
    <row r="969" spans="1:6">
      <c r="A969" s="22" t="s">
        <v>886</v>
      </c>
      <c r="B969" s="33" t="s">
        <v>947</v>
      </c>
      <c r="C969" s="33" t="s">
        <v>888</v>
      </c>
      <c r="D969" s="64" t="s">
        <v>124</v>
      </c>
      <c r="E969" s="34">
        <v>95</v>
      </c>
      <c r="F969" s="6" t="s">
        <v>288</v>
      </c>
    </row>
    <row r="970" spans="1:6">
      <c r="A970" s="22" t="s">
        <v>886</v>
      </c>
      <c r="B970" s="33" t="s">
        <v>948</v>
      </c>
      <c r="C970" s="33" t="s">
        <v>888</v>
      </c>
      <c r="D970" s="64" t="s">
        <v>124</v>
      </c>
      <c r="E970" s="34">
        <v>95</v>
      </c>
      <c r="F970" s="6" t="s">
        <v>288</v>
      </c>
    </row>
    <row r="971" spans="1:6">
      <c r="A971" s="22" t="s">
        <v>886</v>
      </c>
      <c r="B971" s="33" t="s">
        <v>949</v>
      </c>
      <c r="C971" s="33" t="s">
        <v>888</v>
      </c>
      <c r="D971" s="64" t="s">
        <v>124</v>
      </c>
      <c r="E971" s="34">
        <v>85</v>
      </c>
      <c r="F971" s="6" t="s">
        <v>288</v>
      </c>
    </row>
    <row r="972" spans="1:6">
      <c r="A972" s="22" t="s">
        <v>886</v>
      </c>
      <c r="B972" s="33" t="s">
        <v>950</v>
      </c>
      <c r="C972" s="33" t="s">
        <v>888</v>
      </c>
      <c r="D972" s="64" t="s">
        <v>124</v>
      </c>
      <c r="E972" s="34">
        <v>120</v>
      </c>
      <c r="F972" s="6" t="s">
        <v>288</v>
      </c>
    </row>
    <row r="973" spans="1:6">
      <c r="A973" s="22" t="s">
        <v>886</v>
      </c>
      <c r="B973" s="33" t="s">
        <v>951</v>
      </c>
      <c r="C973" s="33" t="s">
        <v>888</v>
      </c>
      <c r="D973" s="64" t="s">
        <v>124</v>
      </c>
      <c r="E973" s="34">
        <v>120</v>
      </c>
      <c r="F973" s="6" t="s">
        <v>288</v>
      </c>
    </row>
    <row r="974" spans="1:6">
      <c r="A974" s="22" t="s">
        <v>886</v>
      </c>
      <c r="B974" s="33" t="s">
        <v>952</v>
      </c>
      <c r="C974" s="33" t="s">
        <v>888</v>
      </c>
      <c r="D974" s="64" t="s">
        <v>124</v>
      </c>
      <c r="E974" s="34">
        <v>375</v>
      </c>
      <c r="F974" s="6" t="s">
        <v>288</v>
      </c>
    </row>
    <row r="975" spans="1:6">
      <c r="A975" s="22" t="s">
        <v>886</v>
      </c>
      <c r="B975" s="33" t="s">
        <v>953</v>
      </c>
      <c r="C975" s="33" t="s">
        <v>888</v>
      </c>
      <c r="D975" s="64" t="s">
        <v>124</v>
      </c>
      <c r="E975" s="34">
        <v>275</v>
      </c>
      <c r="F975" s="6" t="s">
        <v>288</v>
      </c>
    </row>
    <row r="976" spans="1:6">
      <c r="A976" s="22" t="s">
        <v>886</v>
      </c>
      <c r="B976" s="33" t="s">
        <v>954</v>
      </c>
      <c r="C976" s="33" t="s">
        <v>888</v>
      </c>
      <c r="D976" s="64" t="s">
        <v>124</v>
      </c>
      <c r="E976" s="34">
        <v>170</v>
      </c>
      <c r="F976" s="6" t="s">
        <v>288</v>
      </c>
    </row>
    <row r="977" spans="1:6">
      <c r="A977" s="22" t="s">
        <v>886</v>
      </c>
      <c r="B977" s="33" t="s">
        <v>955</v>
      </c>
      <c r="C977" s="33" t="s">
        <v>888</v>
      </c>
      <c r="D977" s="64" t="s">
        <v>124</v>
      </c>
      <c r="E977" s="34">
        <v>120</v>
      </c>
      <c r="F977" s="6" t="s">
        <v>288</v>
      </c>
    </row>
    <row r="978" spans="1:6">
      <c r="A978" s="22" t="s">
        <v>886</v>
      </c>
      <c r="B978" s="33" t="s">
        <v>956</v>
      </c>
      <c r="C978" s="33" t="s">
        <v>888</v>
      </c>
      <c r="D978" s="64" t="s">
        <v>124</v>
      </c>
      <c r="E978" s="34">
        <v>1400</v>
      </c>
      <c r="F978" s="6" t="s">
        <v>288</v>
      </c>
    </row>
    <row r="979" spans="1:6">
      <c r="A979" s="22" t="s">
        <v>886</v>
      </c>
      <c r="B979" s="33" t="s">
        <v>957</v>
      </c>
      <c r="C979" s="33" t="s">
        <v>888</v>
      </c>
      <c r="D979" s="64" t="s">
        <v>124</v>
      </c>
      <c r="E979" s="34">
        <v>1200</v>
      </c>
      <c r="F979" s="6" t="s">
        <v>288</v>
      </c>
    </row>
    <row r="980" spans="1:6">
      <c r="A980" s="22" t="s">
        <v>886</v>
      </c>
      <c r="B980" s="33" t="s">
        <v>958</v>
      </c>
      <c r="C980" s="33" t="s">
        <v>888</v>
      </c>
      <c r="D980" s="64" t="s">
        <v>124</v>
      </c>
      <c r="E980" s="34">
        <v>1000</v>
      </c>
      <c r="F980" s="6" t="s">
        <v>288</v>
      </c>
    </row>
    <row r="981" spans="1:6">
      <c r="A981" s="22" t="s">
        <v>886</v>
      </c>
      <c r="B981" s="33" t="s">
        <v>959</v>
      </c>
      <c r="C981" s="33" t="s">
        <v>888</v>
      </c>
      <c r="D981" s="64" t="s">
        <v>124</v>
      </c>
      <c r="E981" s="34">
        <v>85</v>
      </c>
      <c r="F981" s="6" t="s">
        <v>288</v>
      </c>
    </row>
    <row r="982" spans="1:6">
      <c r="A982" s="22" t="s">
        <v>886</v>
      </c>
      <c r="B982" s="33" t="s">
        <v>960</v>
      </c>
      <c r="C982" s="33" t="s">
        <v>888</v>
      </c>
      <c r="D982" s="64" t="s">
        <v>124</v>
      </c>
      <c r="E982" s="34">
        <v>85</v>
      </c>
      <c r="F982" s="6" t="s">
        <v>288</v>
      </c>
    </row>
    <row r="983" spans="1:6">
      <c r="A983" s="22" t="s">
        <v>886</v>
      </c>
      <c r="B983" s="33" t="s">
        <v>961</v>
      </c>
      <c r="C983" s="33" t="s">
        <v>888</v>
      </c>
      <c r="D983" s="64" t="s">
        <v>124</v>
      </c>
      <c r="E983" s="34">
        <v>85</v>
      </c>
      <c r="F983" s="6" t="s">
        <v>288</v>
      </c>
    </row>
    <row r="984" spans="1:6">
      <c r="A984" s="22" t="s">
        <v>886</v>
      </c>
      <c r="B984" s="33" t="s">
        <v>962</v>
      </c>
      <c r="C984" s="33" t="s">
        <v>888</v>
      </c>
      <c r="D984" s="64" t="s">
        <v>124</v>
      </c>
      <c r="E984" s="34">
        <v>85</v>
      </c>
      <c r="F984" s="6" t="s">
        <v>288</v>
      </c>
    </row>
    <row r="985" spans="1:6">
      <c r="A985" s="22" t="s">
        <v>886</v>
      </c>
      <c r="B985" s="33" t="s">
        <v>963</v>
      </c>
      <c r="C985" s="33" t="s">
        <v>888</v>
      </c>
      <c r="D985" s="64" t="s">
        <v>124</v>
      </c>
      <c r="E985" s="34">
        <v>85</v>
      </c>
      <c r="F985" s="6" t="s">
        <v>288</v>
      </c>
    </row>
    <row r="986" spans="1:6">
      <c r="A986" s="22" t="s">
        <v>886</v>
      </c>
      <c r="B986" s="33" t="s">
        <v>964</v>
      </c>
      <c r="C986" s="33" t="s">
        <v>888</v>
      </c>
      <c r="D986" s="64" t="s">
        <v>124</v>
      </c>
      <c r="E986" s="34">
        <v>50</v>
      </c>
      <c r="F986" s="6" t="s">
        <v>288</v>
      </c>
    </row>
    <row r="987" spans="1:6">
      <c r="A987" s="22" t="s">
        <v>886</v>
      </c>
      <c r="B987" s="33" t="s">
        <v>961</v>
      </c>
      <c r="C987" s="33" t="s">
        <v>888</v>
      </c>
      <c r="D987" s="64" t="s">
        <v>124</v>
      </c>
      <c r="E987" s="34">
        <v>80</v>
      </c>
      <c r="F987" s="6" t="s">
        <v>288</v>
      </c>
    </row>
    <row r="988" spans="1:6">
      <c r="A988" s="22" t="s">
        <v>886</v>
      </c>
      <c r="B988" s="33" t="s">
        <v>962</v>
      </c>
      <c r="C988" s="33" t="s">
        <v>888</v>
      </c>
      <c r="D988" s="64" t="s">
        <v>124</v>
      </c>
      <c r="E988" s="34">
        <v>65</v>
      </c>
      <c r="F988" s="6" t="s">
        <v>288</v>
      </c>
    </row>
    <row r="989" spans="1:6">
      <c r="A989" s="22" t="s">
        <v>886</v>
      </c>
      <c r="B989" s="33" t="s">
        <v>963</v>
      </c>
      <c r="C989" s="33" t="s">
        <v>888</v>
      </c>
      <c r="D989" s="64" t="s">
        <v>124</v>
      </c>
      <c r="E989" s="34">
        <v>65</v>
      </c>
      <c r="F989" s="6" t="s">
        <v>288</v>
      </c>
    </row>
    <row r="990" spans="1:6">
      <c r="A990" s="22" t="s">
        <v>886</v>
      </c>
      <c r="B990" s="33" t="s">
        <v>965</v>
      </c>
      <c r="C990" s="33" t="s">
        <v>888</v>
      </c>
      <c r="D990" s="64" t="s">
        <v>124</v>
      </c>
      <c r="E990" s="34">
        <v>400</v>
      </c>
      <c r="F990" s="6" t="s">
        <v>288</v>
      </c>
    </row>
    <row r="991" spans="1:6">
      <c r="A991" s="22" t="s">
        <v>886</v>
      </c>
      <c r="B991" s="33" t="s">
        <v>966</v>
      </c>
      <c r="C991" s="33" t="s">
        <v>888</v>
      </c>
      <c r="D991" s="64" t="s">
        <v>124</v>
      </c>
      <c r="E991" s="34">
        <v>100</v>
      </c>
      <c r="F991" s="6" t="s">
        <v>288</v>
      </c>
    </row>
    <row r="992" spans="1:6">
      <c r="A992" s="22" t="s">
        <v>886</v>
      </c>
      <c r="B992" s="33" t="s">
        <v>967</v>
      </c>
      <c r="C992" s="33" t="s">
        <v>968</v>
      </c>
      <c r="D992" s="64" t="s">
        <v>124</v>
      </c>
      <c r="E992" s="34">
        <v>150</v>
      </c>
      <c r="F992" s="6" t="s">
        <v>288</v>
      </c>
    </row>
    <row r="993" spans="1:6">
      <c r="A993" s="22" t="s">
        <v>886</v>
      </c>
      <c r="B993" s="33" t="s">
        <v>969</v>
      </c>
      <c r="C993" s="33" t="s">
        <v>968</v>
      </c>
      <c r="D993" s="64" t="s">
        <v>124</v>
      </c>
      <c r="E993" s="34">
        <v>150</v>
      </c>
      <c r="F993" s="6" t="s">
        <v>288</v>
      </c>
    </row>
    <row r="994" spans="1:6">
      <c r="A994" s="22" t="s">
        <v>886</v>
      </c>
      <c r="B994" s="33" t="s">
        <v>970</v>
      </c>
      <c r="C994" s="33" t="s">
        <v>968</v>
      </c>
      <c r="D994" s="64" t="s">
        <v>124</v>
      </c>
      <c r="E994" s="34">
        <v>150</v>
      </c>
      <c r="F994" s="6" t="s">
        <v>288</v>
      </c>
    </row>
    <row r="995" spans="1:6">
      <c r="A995" s="22" t="s">
        <v>886</v>
      </c>
      <c r="B995" s="33" t="s">
        <v>971</v>
      </c>
      <c r="C995" s="33" t="s">
        <v>968</v>
      </c>
      <c r="D995" s="64" t="s">
        <v>124</v>
      </c>
      <c r="E995" s="34">
        <v>150</v>
      </c>
      <c r="F995" s="6" t="s">
        <v>288</v>
      </c>
    </row>
    <row r="996" spans="1:6">
      <c r="A996" s="22" t="s">
        <v>886</v>
      </c>
      <c r="B996" s="33" t="s">
        <v>972</v>
      </c>
      <c r="C996" s="33" t="s">
        <v>968</v>
      </c>
      <c r="D996" s="64" t="s">
        <v>124</v>
      </c>
      <c r="E996" s="34">
        <v>150</v>
      </c>
      <c r="F996" s="6" t="s">
        <v>288</v>
      </c>
    </row>
    <row r="997" spans="1:6">
      <c r="A997" s="22" t="s">
        <v>886</v>
      </c>
      <c r="B997" s="33" t="s">
        <v>973</v>
      </c>
      <c r="C997" s="33" t="s">
        <v>968</v>
      </c>
      <c r="D997" s="64" t="s">
        <v>124</v>
      </c>
      <c r="E997" s="34">
        <v>150</v>
      </c>
      <c r="F997" s="6" t="s">
        <v>288</v>
      </c>
    </row>
    <row r="998" spans="1:6">
      <c r="A998" s="22" t="s">
        <v>886</v>
      </c>
      <c r="B998" s="33" t="s">
        <v>974</v>
      </c>
      <c r="C998" s="33" t="s">
        <v>968</v>
      </c>
      <c r="D998" s="64" t="s">
        <v>124</v>
      </c>
      <c r="E998" s="34">
        <v>150</v>
      </c>
      <c r="F998" s="6" t="s">
        <v>288</v>
      </c>
    </row>
    <row r="999" spans="1:6">
      <c r="A999" s="22" t="s">
        <v>886</v>
      </c>
      <c r="B999" s="33" t="s">
        <v>975</v>
      </c>
      <c r="C999" s="33" t="s">
        <v>968</v>
      </c>
      <c r="D999" s="64" t="s">
        <v>124</v>
      </c>
      <c r="E999" s="34">
        <v>500</v>
      </c>
      <c r="F999" s="6" t="s">
        <v>288</v>
      </c>
    </row>
    <row r="1000" spans="1:6">
      <c r="A1000" s="22" t="s">
        <v>886</v>
      </c>
      <c r="B1000" s="6" t="s">
        <v>976</v>
      </c>
      <c r="C1000" s="6" t="s">
        <v>977</v>
      </c>
      <c r="D1000" s="64" t="s">
        <v>124</v>
      </c>
      <c r="E1000" s="10">
        <v>200</v>
      </c>
      <c r="F1000" s="6" t="s">
        <v>288</v>
      </c>
    </row>
    <row r="1001" spans="1:6">
      <c r="A1001" s="22" t="s">
        <v>886</v>
      </c>
      <c r="B1001" s="6" t="s">
        <v>978</v>
      </c>
      <c r="C1001" s="6" t="s">
        <v>977</v>
      </c>
      <c r="D1001" s="64" t="s">
        <v>124</v>
      </c>
      <c r="E1001" s="10">
        <v>150</v>
      </c>
      <c r="F1001" s="6" t="s">
        <v>288</v>
      </c>
    </row>
    <row r="1002" spans="1:6">
      <c r="A1002" s="22" t="s">
        <v>886</v>
      </c>
      <c r="B1002" s="6" t="s">
        <v>979</v>
      </c>
      <c r="C1002" s="6" t="s">
        <v>977</v>
      </c>
      <c r="D1002" s="64" t="s">
        <v>124</v>
      </c>
      <c r="E1002" s="10">
        <v>150</v>
      </c>
      <c r="F1002" s="6" t="s">
        <v>288</v>
      </c>
    </row>
    <row r="1003" spans="1:6">
      <c r="A1003" s="22" t="s">
        <v>886</v>
      </c>
      <c r="B1003" s="6" t="s">
        <v>980</v>
      </c>
      <c r="C1003" s="6" t="s">
        <v>981</v>
      </c>
      <c r="D1003" s="64" t="s">
        <v>124</v>
      </c>
      <c r="E1003" s="10">
        <v>50</v>
      </c>
      <c r="F1003" s="6" t="s">
        <v>288</v>
      </c>
    </row>
    <row r="1004" spans="1:6">
      <c r="A1004" s="22" t="s">
        <v>886</v>
      </c>
      <c r="B1004" s="6" t="s">
        <v>982</v>
      </c>
      <c r="C1004" s="6" t="s">
        <v>981</v>
      </c>
      <c r="D1004" s="64" t="s">
        <v>124</v>
      </c>
      <c r="E1004" s="10">
        <v>80</v>
      </c>
      <c r="F1004" s="6" t="s">
        <v>288</v>
      </c>
    </row>
    <row r="1005" spans="1:6">
      <c r="A1005" s="22" t="s">
        <v>886</v>
      </c>
      <c r="B1005" s="6" t="s">
        <v>983</v>
      </c>
      <c r="C1005" s="6" t="s">
        <v>981</v>
      </c>
      <c r="D1005" s="64" t="s">
        <v>124</v>
      </c>
      <c r="E1005" s="10">
        <v>80</v>
      </c>
      <c r="F1005" s="6" t="s">
        <v>288</v>
      </c>
    </row>
    <row r="1006" spans="1:6">
      <c r="A1006" s="22" t="s">
        <v>886</v>
      </c>
      <c r="B1006" s="6" t="s">
        <v>984</v>
      </c>
      <c r="C1006" s="6" t="s">
        <v>981</v>
      </c>
      <c r="D1006" s="64" t="s">
        <v>124</v>
      </c>
      <c r="E1006" s="10">
        <v>80</v>
      </c>
      <c r="F1006" s="6" t="s">
        <v>288</v>
      </c>
    </row>
    <row r="1007" spans="1:6">
      <c r="A1007" s="22" t="s">
        <v>886</v>
      </c>
      <c r="B1007" s="6" t="s">
        <v>985</v>
      </c>
      <c r="C1007" s="6" t="s">
        <v>981</v>
      </c>
      <c r="D1007" s="64" t="s">
        <v>124</v>
      </c>
      <c r="E1007" s="10">
        <v>80</v>
      </c>
      <c r="F1007" s="6" t="s">
        <v>288</v>
      </c>
    </row>
    <row r="1008" spans="1:6">
      <c r="A1008" s="22" t="s">
        <v>886</v>
      </c>
      <c r="B1008" s="6" t="s">
        <v>986</v>
      </c>
      <c r="C1008" s="6" t="s">
        <v>981</v>
      </c>
      <c r="D1008" s="64" t="s">
        <v>124</v>
      </c>
      <c r="E1008" s="10">
        <v>80</v>
      </c>
      <c r="F1008" s="6" t="s">
        <v>288</v>
      </c>
    </row>
    <row r="1009" spans="1:6">
      <c r="A1009" s="22" t="s">
        <v>886</v>
      </c>
      <c r="B1009" s="6" t="s">
        <v>987</v>
      </c>
      <c r="C1009" s="6" t="s">
        <v>981</v>
      </c>
      <c r="D1009" s="64" t="s">
        <v>124</v>
      </c>
      <c r="E1009" s="10">
        <v>80</v>
      </c>
      <c r="F1009" s="6" t="s">
        <v>288</v>
      </c>
    </row>
    <row r="1010" spans="1:6">
      <c r="A1010" s="22" t="s">
        <v>886</v>
      </c>
      <c r="B1010" s="6" t="s">
        <v>988</v>
      </c>
      <c r="C1010" s="6" t="s">
        <v>981</v>
      </c>
      <c r="D1010" s="64" t="s">
        <v>124</v>
      </c>
      <c r="E1010" s="10">
        <v>80</v>
      </c>
      <c r="F1010" s="6" t="s">
        <v>288</v>
      </c>
    </row>
    <row r="1011" spans="1:6">
      <c r="A1011" s="22" t="s">
        <v>886</v>
      </c>
      <c r="B1011" s="6" t="s">
        <v>989</v>
      </c>
      <c r="C1011" s="6" t="s">
        <v>981</v>
      </c>
      <c r="D1011" s="64" t="s">
        <v>124</v>
      </c>
      <c r="E1011" s="10">
        <v>80</v>
      </c>
      <c r="F1011" s="6" t="s">
        <v>288</v>
      </c>
    </row>
    <row r="1012" spans="1:6">
      <c r="A1012" s="6"/>
      <c r="B1012" s="20" t="s">
        <v>990</v>
      </c>
      <c r="C1012" s="6"/>
      <c r="D1012" s="9"/>
      <c r="E1012" s="10"/>
      <c r="F1012" s="6"/>
    </row>
    <row r="1013" spans="1:6">
      <c r="A1013" s="11" t="s">
        <v>1</v>
      </c>
      <c r="B1013" s="12" t="s">
        <v>2</v>
      </c>
      <c r="C1013" s="13" t="s">
        <v>3</v>
      </c>
      <c r="D1013" s="14" t="s">
        <v>4</v>
      </c>
      <c r="E1013" s="15" t="s">
        <v>5</v>
      </c>
      <c r="F1013" s="6"/>
    </row>
    <row r="1014" spans="1:6">
      <c r="A1014" s="22" t="s">
        <v>990</v>
      </c>
      <c r="B1014" s="33" t="s">
        <v>991</v>
      </c>
      <c r="C1014" s="33" t="s">
        <v>992</v>
      </c>
      <c r="D1014" s="33" t="s">
        <v>250</v>
      </c>
      <c r="E1014" s="34">
        <v>126</v>
      </c>
      <c r="F1014" s="6" t="s">
        <v>265</v>
      </c>
    </row>
    <row r="1015" spans="1:6">
      <c r="A1015" s="22" t="s">
        <v>990</v>
      </c>
      <c r="B1015" s="33" t="s">
        <v>993</v>
      </c>
      <c r="C1015" s="33" t="s">
        <v>992</v>
      </c>
      <c r="D1015" s="33" t="s">
        <v>124</v>
      </c>
      <c r="E1015" s="34">
        <v>170</v>
      </c>
      <c r="F1015" s="6" t="s">
        <v>259</v>
      </c>
    </row>
    <row r="1016" spans="1:6">
      <c r="A1016" s="22" t="s">
        <v>990</v>
      </c>
      <c r="B1016" s="33" t="s">
        <v>994</v>
      </c>
      <c r="C1016" s="33" t="s">
        <v>992</v>
      </c>
      <c r="D1016" s="33" t="s">
        <v>124</v>
      </c>
      <c r="E1016" s="34">
        <v>200</v>
      </c>
      <c r="F1016" s="6" t="s">
        <v>259</v>
      </c>
    </row>
    <row r="1017" spans="1:6">
      <c r="A1017" s="22" t="s">
        <v>990</v>
      </c>
      <c r="B1017" s="33" t="s">
        <v>995</v>
      </c>
      <c r="C1017" s="33" t="s">
        <v>992</v>
      </c>
      <c r="D1017" s="33" t="s">
        <v>124</v>
      </c>
      <c r="E1017" s="34">
        <v>40</v>
      </c>
      <c r="F1017" s="6" t="s">
        <v>265</v>
      </c>
    </row>
    <row r="1018" spans="1:6">
      <c r="A1018" s="22" t="s">
        <v>990</v>
      </c>
      <c r="B1018" s="33" t="s">
        <v>996</v>
      </c>
      <c r="C1018" s="33" t="s">
        <v>997</v>
      </c>
      <c r="D1018" s="33" t="s">
        <v>124</v>
      </c>
      <c r="E1018" s="34">
        <v>320</v>
      </c>
      <c r="F1018" s="6" t="s">
        <v>259</v>
      </c>
    </row>
    <row r="1019" spans="1:6">
      <c r="A1019" s="22" t="s">
        <v>990</v>
      </c>
      <c r="B1019" s="33" t="s">
        <v>998</v>
      </c>
      <c r="C1019" s="33" t="s">
        <v>997</v>
      </c>
      <c r="D1019" s="33" t="s">
        <v>124</v>
      </c>
      <c r="E1019" s="34">
        <v>123</v>
      </c>
      <c r="F1019" s="6" t="s">
        <v>265</v>
      </c>
    </row>
    <row r="1020" spans="1:6">
      <c r="A1020" s="22" t="s">
        <v>990</v>
      </c>
      <c r="B1020" s="6" t="s">
        <v>993</v>
      </c>
      <c r="C1020" s="33" t="s">
        <v>997</v>
      </c>
      <c r="D1020" s="33" t="s">
        <v>124</v>
      </c>
      <c r="E1020" s="10">
        <v>145</v>
      </c>
      <c r="F1020" s="6" t="s">
        <v>259</v>
      </c>
    </row>
    <row r="1021" spans="1:6">
      <c r="B1021" s="29" t="s">
        <v>3229</v>
      </c>
      <c r="C1021" s="65"/>
      <c r="D1021" s="65"/>
      <c r="E1021" s="46"/>
    </row>
    <row r="1022" customFormat="1" spans="1:6">
      <c r="A1022" s="11" t="s">
        <v>1</v>
      </c>
      <c r="B1022" s="12" t="s">
        <v>2</v>
      </c>
      <c r="C1022" s="13" t="s">
        <v>3</v>
      </c>
      <c r="D1022" s="14" t="s">
        <v>4</v>
      </c>
      <c r="E1022" s="15" t="s">
        <v>5</v>
      </c>
      <c r="F1022" s="6"/>
    </row>
    <row r="1023" spans="1:6">
      <c r="A1023" s="28" t="s">
        <v>3229</v>
      </c>
      <c r="B1023" s="66" t="s">
        <v>3230</v>
      </c>
      <c r="C1023" s="66" t="s">
        <v>3347</v>
      </c>
      <c r="D1023" s="66" t="s">
        <v>124</v>
      </c>
      <c r="E1023" s="34">
        <v>240</v>
      </c>
      <c r="F1023" s="6" t="s">
        <v>288</v>
      </c>
    </row>
    <row r="1024" spans="1:6">
      <c r="A1024" s="28" t="s">
        <v>3229</v>
      </c>
      <c r="B1024" s="66" t="s">
        <v>3348</v>
      </c>
      <c r="C1024" s="66" t="s">
        <v>3347</v>
      </c>
      <c r="D1024" s="66" t="s">
        <v>124</v>
      </c>
      <c r="E1024" s="34">
        <v>15</v>
      </c>
      <c r="F1024" s="6" t="s">
        <v>288</v>
      </c>
    </row>
    <row r="1025" spans="1:6">
      <c r="A1025" s="28" t="s">
        <v>3229</v>
      </c>
      <c r="B1025" s="66" t="s">
        <v>3230</v>
      </c>
      <c r="C1025" s="66" t="s">
        <v>3347</v>
      </c>
      <c r="D1025" s="66" t="s">
        <v>124</v>
      </c>
      <c r="E1025" s="34">
        <v>220</v>
      </c>
      <c r="F1025" s="6" t="s">
        <v>288</v>
      </c>
    </row>
    <row r="1026" spans="1:6">
      <c r="A1026" s="28" t="s">
        <v>3229</v>
      </c>
      <c r="B1026" s="66" t="s">
        <v>3349</v>
      </c>
      <c r="C1026" s="66" t="s">
        <v>3347</v>
      </c>
      <c r="D1026" s="66" t="s">
        <v>124</v>
      </c>
      <c r="E1026" s="34">
        <v>170</v>
      </c>
      <c r="F1026" s="6" t="s">
        <v>288</v>
      </c>
    </row>
    <row r="1027" spans="1:6">
      <c r="A1027" s="28" t="s">
        <v>3229</v>
      </c>
      <c r="B1027" s="66" t="s">
        <v>3350</v>
      </c>
      <c r="C1027" s="66" t="s">
        <v>3347</v>
      </c>
      <c r="D1027" s="66" t="s">
        <v>124</v>
      </c>
      <c r="E1027" s="34">
        <v>195</v>
      </c>
      <c r="F1027" s="6" t="s">
        <v>288</v>
      </c>
    </row>
    <row r="1028" spans="1:6">
      <c r="A1028" s="28" t="s">
        <v>3229</v>
      </c>
      <c r="B1028" s="66" t="s">
        <v>3351</v>
      </c>
      <c r="C1028" s="66" t="s">
        <v>3347</v>
      </c>
      <c r="D1028" s="66" t="s">
        <v>124</v>
      </c>
      <c r="E1028" s="34">
        <v>230</v>
      </c>
      <c r="F1028" s="6" t="s">
        <v>288</v>
      </c>
    </row>
    <row r="1029" spans="1:6">
      <c r="A1029" s="28" t="s">
        <v>3229</v>
      </c>
      <c r="B1029" s="66" t="s">
        <v>3352</v>
      </c>
      <c r="C1029" s="66" t="s">
        <v>3347</v>
      </c>
      <c r="D1029" s="66" t="s">
        <v>124</v>
      </c>
      <c r="E1029" s="34">
        <v>255</v>
      </c>
      <c r="F1029" s="6" t="s">
        <v>288</v>
      </c>
    </row>
    <row r="1030" spans="1:6">
      <c r="A1030" s="28" t="s">
        <v>3229</v>
      </c>
      <c r="B1030" s="66" t="s">
        <v>3353</v>
      </c>
      <c r="C1030" s="66" t="s">
        <v>3347</v>
      </c>
      <c r="D1030" s="66" t="s">
        <v>124</v>
      </c>
      <c r="E1030" s="34">
        <v>60</v>
      </c>
      <c r="F1030" s="6" t="s">
        <v>288</v>
      </c>
    </row>
    <row r="1031" spans="1:6">
      <c r="A1031" s="28" t="s">
        <v>3229</v>
      </c>
      <c r="B1031" s="66" t="s">
        <v>3348</v>
      </c>
      <c r="C1031" s="66" t="s">
        <v>3347</v>
      </c>
      <c r="D1031" s="66" t="s">
        <v>124</v>
      </c>
      <c r="E1031" s="34">
        <v>15</v>
      </c>
      <c r="F1031" s="6" t="s">
        <v>288</v>
      </c>
    </row>
    <row r="1032" spans="1:6">
      <c r="A1032" s="28" t="s">
        <v>3229</v>
      </c>
      <c r="B1032" s="66" t="s">
        <v>3232</v>
      </c>
      <c r="C1032" s="66" t="s">
        <v>3347</v>
      </c>
      <c r="D1032" s="66" t="s">
        <v>124</v>
      </c>
      <c r="E1032" s="34">
        <v>200</v>
      </c>
      <c r="F1032" s="6" t="s">
        <v>288</v>
      </c>
    </row>
    <row r="1033" spans="1:6">
      <c r="A1033" s="28" t="s">
        <v>3229</v>
      </c>
      <c r="B1033" s="66" t="s">
        <v>3230</v>
      </c>
      <c r="C1033" s="66" t="s">
        <v>3347</v>
      </c>
      <c r="D1033" s="66" t="s">
        <v>124</v>
      </c>
      <c r="E1033" s="34">
        <v>480</v>
      </c>
      <c r="F1033" s="6" t="s">
        <v>288</v>
      </c>
    </row>
    <row r="1034" spans="1:6">
      <c r="A1034" s="28" t="s">
        <v>3229</v>
      </c>
      <c r="B1034" s="66" t="s">
        <v>3232</v>
      </c>
      <c r="C1034" s="66" t="s">
        <v>3347</v>
      </c>
      <c r="D1034" s="66" t="s">
        <v>124</v>
      </c>
      <c r="E1034" s="34">
        <v>245</v>
      </c>
      <c r="F1034" s="6" t="s">
        <v>288</v>
      </c>
    </row>
    <row r="1035" spans="1:6">
      <c r="A1035" s="28" t="s">
        <v>3229</v>
      </c>
      <c r="B1035" s="66" t="s">
        <v>2657</v>
      </c>
      <c r="C1035" s="66" t="s">
        <v>3354</v>
      </c>
      <c r="D1035" s="66" t="s">
        <v>124</v>
      </c>
      <c r="E1035" s="34">
        <v>200</v>
      </c>
      <c r="F1035" s="6" t="s">
        <v>288</v>
      </c>
    </row>
    <row r="1036" spans="1:6">
      <c r="A1036" s="28" t="s">
        <v>3229</v>
      </c>
      <c r="B1036" s="66" t="s">
        <v>2657</v>
      </c>
      <c r="C1036" s="66" t="s">
        <v>3354</v>
      </c>
      <c r="D1036" s="66" t="s">
        <v>124</v>
      </c>
      <c r="E1036" s="34">
        <v>130</v>
      </c>
      <c r="F1036" s="6" t="s">
        <v>288</v>
      </c>
    </row>
    <row r="1037" spans="1:6">
      <c r="A1037" s="28" t="s">
        <v>3229</v>
      </c>
      <c r="B1037" s="66" t="s">
        <v>2657</v>
      </c>
      <c r="C1037" s="66" t="s">
        <v>3354</v>
      </c>
      <c r="D1037" s="66" t="s">
        <v>124</v>
      </c>
      <c r="E1037" s="34">
        <v>260</v>
      </c>
      <c r="F1037" s="6" t="s">
        <v>288</v>
      </c>
    </row>
    <row r="1038" spans="1:6">
      <c r="A1038" s="28" t="s">
        <v>3229</v>
      </c>
      <c r="B1038" s="66" t="s">
        <v>3355</v>
      </c>
      <c r="C1038" s="66" t="s">
        <v>3354</v>
      </c>
      <c r="D1038" s="66" t="s">
        <v>124</v>
      </c>
      <c r="E1038" s="34">
        <v>30</v>
      </c>
      <c r="F1038" s="6" t="s">
        <v>288</v>
      </c>
    </row>
    <row r="1039" spans="1:6">
      <c r="A1039" s="28" t="s">
        <v>3229</v>
      </c>
      <c r="B1039" s="66" t="s">
        <v>3356</v>
      </c>
      <c r="C1039" s="66" t="s">
        <v>3354</v>
      </c>
      <c r="D1039" s="66" t="s">
        <v>124</v>
      </c>
      <c r="E1039" s="34">
        <v>10</v>
      </c>
      <c r="F1039" s="6" t="s">
        <v>288</v>
      </c>
    </row>
    <row r="1040" spans="1:6">
      <c r="A1040" s="28" t="s">
        <v>3229</v>
      </c>
      <c r="B1040" s="66" t="s">
        <v>2657</v>
      </c>
      <c r="C1040" s="66" t="s">
        <v>3354</v>
      </c>
      <c r="D1040" s="66" t="s">
        <v>124</v>
      </c>
      <c r="E1040" s="34">
        <v>280</v>
      </c>
      <c r="F1040" s="6" t="s">
        <v>288</v>
      </c>
    </row>
    <row r="1041" spans="1:6">
      <c r="A1041" s="28" t="s">
        <v>3229</v>
      </c>
      <c r="B1041" s="66" t="s">
        <v>2657</v>
      </c>
      <c r="C1041" s="66" t="s">
        <v>3354</v>
      </c>
      <c r="D1041" s="66" t="s">
        <v>124</v>
      </c>
      <c r="E1041" s="34">
        <v>250</v>
      </c>
      <c r="F1041" s="6" t="s">
        <v>288</v>
      </c>
    </row>
    <row r="1042" spans="1:6">
      <c r="A1042" s="28" t="s">
        <v>3229</v>
      </c>
      <c r="B1042" s="66" t="s">
        <v>2541</v>
      </c>
      <c r="C1042" s="66" t="s">
        <v>3354</v>
      </c>
      <c r="D1042" s="66" t="s">
        <v>124</v>
      </c>
      <c r="E1042" s="34">
        <v>60</v>
      </c>
      <c r="F1042" s="6" t="s">
        <v>288</v>
      </c>
    </row>
    <row r="1043" spans="1:6">
      <c r="A1043" s="28" t="s">
        <v>3229</v>
      </c>
      <c r="B1043" s="66" t="s">
        <v>2657</v>
      </c>
      <c r="C1043" s="66" t="s">
        <v>3354</v>
      </c>
      <c r="D1043" s="66" t="s">
        <v>124</v>
      </c>
      <c r="E1043" s="34">
        <v>210</v>
      </c>
      <c r="F1043" s="6" t="s">
        <v>288</v>
      </c>
    </row>
    <row r="1044" spans="1:6">
      <c r="A1044" s="28" t="s">
        <v>3229</v>
      </c>
      <c r="B1044" s="66" t="s">
        <v>2657</v>
      </c>
      <c r="C1044" s="66" t="s">
        <v>3354</v>
      </c>
      <c r="D1044" s="66" t="s">
        <v>124</v>
      </c>
      <c r="E1044" s="34">
        <v>440</v>
      </c>
      <c r="F1044" s="6" t="s">
        <v>288</v>
      </c>
    </row>
    <row r="1045" spans="1:6">
      <c r="A1045" s="28" t="s">
        <v>3229</v>
      </c>
      <c r="B1045" s="66" t="s">
        <v>2568</v>
      </c>
      <c r="C1045" s="66" t="s">
        <v>3354</v>
      </c>
      <c r="D1045" s="66" t="s">
        <v>124</v>
      </c>
      <c r="E1045" s="34">
        <v>260</v>
      </c>
      <c r="F1045" s="6" t="s">
        <v>288</v>
      </c>
    </row>
    <row r="1046" spans="1:6">
      <c r="A1046" s="28" t="s">
        <v>3229</v>
      </c>
      <c r="B1046" s="66" t="s">
        <v>2657</v>
      </c>
      <c r="C1046" s="66" t="s">
        <v>3354</v>
      </c>
      <c r="D1046" s="66" t="s">
        <v>124</v>
      </c>
      <c r="E1046" s="34">
        <v>310</v>
      </c>
      <c r="F1046" s="6" t="s">
        <v>288</v>
      </c>
    </row>
    <row r="1047" spans="1:6">
      <c r="A1047" s="28" t="s">
        <v>3229</v>
      </c>
      <c r="B1047" s="66" t="s">
        <v>2657</v>
      </c>
      <c r="C1047" s="66" t="s">
        <v>3354</v>
      </c>
      <c r="D1047" s="66" t="s">
        <v>124</v>
      </c>
      <c r="E1047" s="34">
        <v>140</v>
      </c>
      <c r="F1047" s="6" t="s">
        <v>288</v>
      </c>
    </row>
    <row r="1048" spans="1:6">
      <c r="A1048" s="28" t="s">
        <v>3229</v>
      </c>
      <c r="B1048" s="66" t="s">
        <v>2657</v>
      </c>
      <c r="C1048" s="66" t="s">
        <v>3354</v>
      </c>
      <c r="D1048" s="66" t="s">
        <v>124</v>
      </c>
      <c r="E1048" s="34">
        <v>440</v>
      </c>
      <c r="F1048" s="6" t="s">
        <v>288</v>
      </c>
    </row>
    <row r="1049" spans="1:6">
      <c r="A1049" s="28" t="s">
        <v>3229</v>
      </c>
      <c r="B1049" s="66" t="s">
        <v>2657</v>
      </c>
      <c r="C1049" s="66" t="s">
        <v>3354</v>
      </c>
      <c r="D1049" s="66" t="s">
        <v>124</v>
      </c>
      <c r="E1049" s="34">
        <v>90</v>
      </c>
      <c r="F1049" s="6" t="s">
        <v>288</v>
      </c>
    </row>
    <row r="1050" spans="1:6">
      <c r="A1050" s="28" t="s">
        <v>3229</v>
      </c>
      <c r="B1050" s="66" t="s">
        <v>2542</v>
      </c>
      <c r="C1050" s="66" t="s">
        <v>3354</v>
      </c>
      <c r="D1050" s="66" t="s">
        <v>124</v>
      </c>
      <c r="E1050" s="34">
        <v>190</v>
      </c>
      <c r="F1050" s="6" t="s">
        <v>288</v>
      </c>
    </row>
    <row r="1051" spans="1:6">
      <c r="A1051" s="28" t="s">
        <v>3229</v>
      </c>
      <c r="B1051" s="66" t="s">
        <v>2657</v>
      </c>
      <c r="C1051" s="66" t="s">
        <v>3354</v>
      </c>
      <c r="D1051" s="66" t="s">
        <v>124</v>
      </c>
      <c r="E1051" s="34">
        <v>90</v>
      </c>
      <c r="F1051" s="6" t="s">
        <v>288</v>
      </c>
    </row>
    <row r="1052" spans="1:6">
      <c r="A1052" s="28" t="s">
        <v>3229</v>
      </c>
      <c r="B1052" s="66" t="s">
        <v>2568</v>
      </c>
      <c r="C1052" s="66" t="s">
        <v>3354</v>
      </c>
      <c r="D1052" s="66" t="s">
        <v>124</v>
      </c>
      <c r="E1052" s="34">
        <v>40</v>
      </c>
      <c r="F1052" s="6" t="s">
        <v>288</v>
      </c>
    </row>
    <row r="1053" spans="1:6">
      <c r="A1053" s="28" t="s">
        <v>3229</v>
      </c>
      <c r="B1053" s="66" t="s">
        <v>2542</v>
      </c>
      <c r="C1053" s="66" t="s">
        <v>3354</v>
      </c>
      <c r="D1053" s="66" t="s">
        <v>124</v>
      </c>
      <c r="E1053" s="34">
        <v>60</v>
      </c>
      <c r="F1053" s="6" t="s">
        <v>288</v>
      </c>
    </row>
    <row r="1054" spans="1:6">
      <c r="A1054" s="28" t="s">
        <v>3229</v>
      </c>
      <c r="B1054" s="66" t="s">
        <v>2657</v>
      </c>
      <c r="C1054" s="66" t="s">
        <v>3354</v>
      </c>
      <c r="D1054" s="66" t="s">
        <v>124</v>
      </c>
      <c r="E1054" s="34">
        <v>100</v>
      </c>
      <c r="F1054" s="6" t="s">
        <v>288</v>
      </c>
    </row>
    <row r="1055" spans="1:6">
      <c r="A1055" s="28" t="s">
        <v>3229</v>
      </c>
      <c r="B1055" s="66" t="s">
        <v>2542</v>
      </c>
      <c r="C1055" s="66" t="s">
        <v>3354</v>
      </c>
      <c r="D1055" s="66" t="s">
        <v>124</v>
      </c>
      <c r="E1055" s="34">
        <v>200</v>
      </c>
      <c r="F1055" s="6" t="s">
        <v>288</v>
      </c>
    </row>
    <row r="1056" spans="1:6">
      <c r="A1056" s="28" t="s">
        <v>3229</v>
      </c>
      <c r="B1056" s="66" t="s">
        <v>2657</v>
      </c>
      <c r="C1056" s="66" t="s">
        <v>3354</v>
      </c>
      <c r="D1056" s="66" t="s">
        <v>124</v>
      </c>
      <c r="E1056" s="34">
        <v>660</v>
      </c>
      <c r="F1056" s="6" t="s">
        <v>288</v>
      </c>
    </row>
    <row r="1057" spans="1:6">
      <c r="A1057" s="28" t="s">
        <v>3229</v>
      </c>
      <c r="B1057" s="66" t="s">
        <v>2367</v>
      </c>
      <c r="C1057" s="66" t="s">
        <v>3354</v>
      </c>
      <c r="D1057" s="66" t="s">
        <v>124</v>
      </c>
      <c r="E1057" s="34">
        <v>280</v>
      </c>
      <c r="F1057" s="6" t="s">
        <v>288</v>
      </c>
    </row>
    <row r="1058" spans="1:6">
      <c r="A1058" s="28" t="s">
        <v>3229</v>
      </c>
      <c r="B1058" s="66" t="s">
        <v>2542</v>
      </c>
      <c r="C1058" s="66" t="s">
        <v>3354</v>
      </c>
      <c r="D1058" s="66" t="s">
        <v>124</v>
      </c>
      <c r="E1058" s="34">
        <v>260</v>
      </c>
      <c r="F1058" s="6" t="s">
        <v>288</v>
      </c>
    </row>
    <row r="1059" spans="1:6">
      <c r="A1059" s="28" t="s">
        <v>3229</v>
      </c>
      <c r="B1059" s="66" t="s">
        <v>2542</v>
      </c>
      <c r="C1059" s="66" t="s">
        <v>3354</v>
      </c>
      <c r="D1059" s="66" t="s">
        <v>124</v>
      </c>
      <c r="E1059" s="34">
        <v>130</v>
      </c>
      <c r="F1059" s="6" t="s">
        <v>288</v>
      </c>
    </row>
    <row r="1060" spans="1:6">
      <c r="A1060" s="28" t="s">
        <v>3229</v>
      </c>
      <c r="B1060" s="66" t="s">
        <v>2743</v>
      </c>
      <c r="C1060" s="66" t="s">
        <v>3354</v>
      </c>
      <c r="D1060" s="66" t="s">
        <v>124</v>
      </c>
      <c r="E1060" s="34">
        <v>220</v>
      </c>
      <c r="F1060" s="6" t="s">
        <v>288</v>
      </c>
    </row>
    <row r="1061" spans="1:6">
      <c r="A1061" s="28" t="s">
        <v>3229</v>
      </c>
      <c r="B1061" s="66" t="s">
        <v>3357</v>
      </c>
      <c r="C1061" s="66" t="s">
        <v>3358</v>
      </c>
      <c r="D1061" s="66" t="s">
        <v>124</v>
      </c>
      <c r="E1061" s="34">
        <v>230</v>
      </c>
      <c r="F1061" s="6" t="s">
        <v>288</v>
      </c>
    </row>
    <row r="1062" spans="1:6">
      <c r="A1062" s="28" t="s">
        <v>3229</v>
      </c>
      <c r="B1062" s="66" t="s">
        <v>3359</v>
      </c>
      <c r="C1062" s="66" t="s">
        <v>3358</v>
      </c>
      <c r="D1062" s="66" t="s">
        <v>124</v>
      </c>
      <c r="E1062" s="34">
        <v>230</v>
      </c>
      <c r="F1062" s="6" t="s">
        <v>288</v>
      </c>
    </row>
    <row r="1063" spans="1:6">
      <c r="A1063" s="28" t="s">
        <v>3229</v>
      </c>
      <c r="B1063" s="66" t="s">
        <v>3360</v>
      </c>
      <c r="C1063" s="66" t="s">
        <v>3358</v>
      </c>
      <c r="D1063" s="66" t="s">
        <v>124</v>
      </c>
      <c r="E1063" s="34">
        <v>250</v>
      </c>
      <c r="F1063" s="6" t="s">
        <v>288</v>
      </c>
    </row>
    <row r="1064" spans="1:6">
      <c r="A1064" s="28" t="s">
        <v>3229</v>
      </c>
      <c r="B1064" s="66" t="s">
        <v>3361</v>
      </c>
      <c r="C1064" s="66" t="s">
        <v>3358</v>
      </c>
      <c r="D1064" s="66" t="s">
        <v>124</v>
      </c>
      <c r="E1064" s="34">
        <v>50</v>
      </c>
      <c r="F1064" s="6" t="s">
        <v>288</v>
      </c>
    </row>
    <row r="1065" spans="1:6">
      <c r="A1065" s="28" t="s">
        <v>3229</v>
      </c>
      <c r="B1065" s="66" t="s">
        <v>3362</v>
      </c>
      <c r="C1065" s="66" t="s">
        <v>3358</v>
      </c>
      <c r="D1065" s="66" t="s">
        <v>124</v>
      </c>
      <c r="E1065" s="34">
        <v>120</v>
      </c>
      <c r="F1065" s="6" t="s">
        <v>288</v>
      </c>
    </row>
  </sheetData>
  <autoFilter xmlns:etc="http://www.wps.cn/officeDocument/2017/etCustomData" ref="A2:E106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Sheet2 (2)</vt:lpstr>
      <vt:lpstr>ITEM TREE</vt:lpstr>
      <vt:lpstr>Item_Tree_Stock</vt:lpstr>
      <vt:lpstr>Sheet1</vt:lpstr>
      <vt:lpstr>ITEM TREE TEST </vt:lpstr>
      <vt:lpstr>ITEM GROUP LIST </vt:lpstr>
      <vt:lpstr>ITEM GROUP LIST  (2)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Purchase MRG</cp:lastModifiedBy>
  <dcterms:created xsi:type="dcterms:W3CDTF">2026-09-01T10:55:00Z</dcterms:created>
  <dcterms:modified xsi:type="dcterms:W3CDTF">2026-10-07T08:19:15Z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F5DE4BB8FB2346DB8FF8180692B05550_12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