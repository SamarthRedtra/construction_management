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ujib\General Works\Redtra - New Module\Submitted Documents\"/>
    </mc:Choice>
  </mc:AlternateContent>
  <xr:revisionPtr revIDLastSave="0" documentId="13_ncr:1_{5DB1BC3E-34B2-4504-8F3B-169D43B65B8E}" xr6:coauthVersionLast="47" xr6:coauthVersionMax="47" xr10:uidLastSave="{00000000-0000-0000-0000-000000000000}"/>
  <bookViews>
    <workbookView xWindow="-120" yWindow="-120" windowWidth="29040" windowHeight="15720" xr2:uid="{EFC7E831-9D72-4BFF-9D4F-6BD05F7616EF}"/>
  </bookViews>
  <sheets>
    <sheet name="New Item Fetch Sheet" sheetId="6" r:id="rId1"/>
    <sheet name="Decoding Sheet" sheetId="4" state="hidden" r:id="rId2"/>
    <sheet name="Sheet5" sheetId="5" state="hidden" r:id="rId3"/>
    <sheet name="Main Sheet" sheetId="1" state="hidden" r:id="rId4"/>
    <sheet name="Master Data" sheetId="3" state="hidden" r:id="rId5"/>
  </sheets>
  <externalReferences>
    <externalReference r:id="rId6"/>
  </externalReferences>
  <definedNames>
    <definedName name="_xlnm._FilterDatabase" localSheetId="1" hidden="1">'Decoding Sheet'!$A$1:$I$144</definedName>
    <definedName name="_xlnm._FilterDatabase" localSheetId="4" hidden="1">'Master Data'!$A$1:$Q$571</definedName>
    <definedName name="_xlnm._FilterDatabase" localSheetId="0" hidden="1">'New Item Fetch Sheet'!$A$1:$L$127</definedName>
    <definedName name="_xlnm._FilterDatabase" localSheetId="2" hidden="1">Sheet5!$A$1:$G$176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6" l="1"/>
  <c r="I44" i="6"/>
  <c r="F45" i="4" l="1"/>
  <c r="F44" i="4"/>
  <c r="E45" i="4"/>
  <c r="E44" i="4"/>
  <c r="B211" i="3" a="1"/>
  <c r="B211" i="3" s="1"/>
  <c r="A211" i="3" a="1"/>
  <c r="A211" i="3" s="1"/>
  <c r="A212" i="3" s="1" a="1"/>
  <c r="A212" i="3" s="1"/>
  <c r="A213" i="3" l="1" a="1"/>
  <c r="A213" i="3" s="1"/>
  <c r="B212" i="3" a="1"/>
  <c r="B212" i="3" s="1"/>
  <c r="A214" i="3" l="1" a="1"/>
  <c r="A214" i="3" s="1"/>
  <c r="B213" i="3" a="1"/>
  <c r="B213" i="3" s="1"/>
  <c r="B214" i="3" s="1" a="1"/>
  <c r="B214" i="3" s="1"/>
  <c r="B215" i="3" s="1" a="1"/>
  <c r="B215" i="3" s="1"/>
  <c r="A215" i="3" l="1" a="1"/>
  <c r="A215" i="3" s="1"/>
  <c r="B216" i="3" a="1"/>
  <c r="B216" i="3" s="1"/>
  <c r="A216" i="3" l="1" a="1"/>
  <c r="A216" i="3" s="1"/>
  <c r="A217" i="3" s="1" a="1"/>
  <c r="A217" i="3" s="1"/>
  <c r="B217" i="3" a="1"/>
  <c r="B217" i="3" s="1"/>
  <c r="A218" i="3" l="1" a="1"/>
  <c r="A218" i="3" s="1"/>
  <c r="A219" i="3" s="1" a="1"/>
  <c r="A219" i="3" s="1"/>
  <c r="B218" i="3" a="1"/>
  <c r="B218" i="3" s="1"/>
  <c r="A220" i="3" l="1" a="1"/>
  <c r="A220" i="3" s="1"/>
  <c r="A221" i="3" s="1" a="1"/>
  <c r="A221" i="3" s="1"/>
  <c r="B219" i="3" a="1"/>
  <c r="B219" i="3" s="1"/>
  <c r="A222" i="3" l="1" a="1"/>
  <c r="A222" i="3" s="1"/>
  <c r="B220" i="3" a="1"/>
  <c r="B220" i="3" s="1"/>
  <c r="B221" i="3" l="1" a="1"/>
  <c r="B221" i="3" s="1"/>
  <c r="A223" i="3" a="1"/>
  <c r="A223" i="3" s="1"/>
  <c r="A224" i="3" s="1" a="1"/>
  <c r="A224" i="3" s="1"/>
  <c r="A225" i="3" l="1" a="1"/>
  <c r="A225" i="3" s="1"/>
  <c r="B222" i="3" a="1"/>
  <c r="B222" i="3" s="1"/>
  <c r="A226" i="3" l="1" a="1"/>
  <c r="A226" i="3" s="1"/>
  <c r="B223" i="3" a="1"/>
  <c r="B223" i="3" s="1"/>
  <c r="B224" i="3" s="1" a="1"/>
  <c r="B224" i="3" s="1"/>
  <c r="B225" i="3" l="1" a="1"/>
  <c r="B225" i="3" s="1"/>
  <c r="B226" i="3" s="1" a="1"/>
  <c r="B226" i="3" s="1"/>
  <c r="A227" i="3" a="1"/>
  <c r="A227" i="3" s="1"/>
  <c r="B227" i="3" l="1" a="1"/>
  <c r="B227" i="3" s="1"/>
  <c r="B228" i="3" s="1" a="1"/>
  <c r="B228" i="3" s="1"/>
  <c r="A228" i="3" a="1"/>
  <c r="A228" i="3" s="1"/>
  <c r="A229" i="3" s="1" a="1"/>
  <c r="A229" i="3" s="1"/>
  <c r="A230" i="3" l="1" a="1"/>
  <c r="A230" i="3" s="1"/>
  <c r="A231" i="3" s="1" a="1"/>
  <c r="A231" i="3" s="1"/>
  <c r="B229" i="3" a="1"/>
  <c r="B229" i="3" s="1"/>
  <c r="A232" i="3" l="1" a="1"/>
  <c r="A232" i="3" s="1"/>
  <c r="A233" i="3" s="1" a="1"/>
  <c r="A233" i="3" s="1"/>
  <c r="B230" i="3" a="1"/>
  <c r="B230" i="3" s="1"/>
  <c r="B231" i="3" l="1" a="1"/>
  <c r="B231" i="3" s="1"/>
  <c r="A234" i="3" a="1"/>
  <c r="A234" i="3" s="1"/>
  <c r="A235" i="3" s="1" a="1"/>
  <c r="A235" i="3" s="1"/>
  <c r="B232" i="3" l="1" a="1"/>
  <c r="B232" i="3" s="1"/>
  <c r="A236" i="3" a="1"/>
  <c r="A236" i="3" s="1"/>
  <c r="B233" i="3" l="1" a="1"/>
  <c r="B233" i="3" s="1"/>
  <c r="A237" i="3" a="1"/>
  <c r="A237" i="3" s="1"/>
  <c r="A238" i="3" l="1" a="1"/>
  <c r="A238" i="3" s="1"/>
  <c r="B234" i="3" a="1"/>
  <c r="B234" i="3" s="1"/>
  <c r="A239" i="3" l="1" a="1"/>
  <c r="A239" i="3" s="1"/>
  <c r="A240" i="3" s="1" a="1"/>
  <c r="A240" i="3" s="1"/>
  <c r="A241" i="3" s="1" a="1"/>
  <c r="A241" i="3" s="1"/>
  <c r="B235" i="3" a="1"/>
  <c r="B235" i="3" s="1"/>
  <c r="B236" i="3" s="1" a="1"/>
  <c r="B236" i="3" s="1"/>
  <c r="A242" i="3" l="1" a="1"/>
  <c r="A242" i="3" s="1"/>
  <c r="A243" i="3" s="1" a="1"/>
  <c r="A243" i="3" s="1"/>
  <c r="B237" i="3" a="1"/>
  <c r="B237" i="3" s="1"/>
  <c r="A244" i="3" l="1" a="1"/>
  <c r="A244" i="3" s="1"/>
  <c r="A245" i="3" s="1" a="1"/>
  <c r="A245" i="3" s="1"/>
  <c r="B238" i="3" a="1"/>
  <c r="B238" i="3" s="1"/>
  <c r="B239" i="3" s="1" a="1"/>
  <c r="B239" i="3" s="1"/>
  <c r="B240" i="3" l="1" a="1"/>
  <c r="B240" i="3" s="1"/>
  <c r="B241" i="3" s="1" a="1"/>
  <c r="B241" i="3" s="1"/>
  <c r="A246" i="3" a="1"/>
  <c r="A246" i="3" s="1"/>
  <c r="A247" i="3" s="1" a="1"/>
  <c r="A247" i="3" s="1"/>
  <c r="B242" i="3" l="1" a="1"/>
  <c r="B242" i="3" s="1"/>
  <c r="B243" i="3" s="1" a="1"/>
  <c r="B243" i="3" s="1"/>
  <c r="A248" i="3" a="1"/>
  <c r="A248" i="3" s="1"/>
  <c r="B244" i="3" l="1" a="1"/>
  <c r="B244" i="3" s="1"/>
  <c r="B245" i="3" s="1" a="1"/>
  <c r="B245" i="3" s="1"/>
  <c r="A249" i="3" a="1"/>
  <c r="A249" i="3" s="1"/>
  <c r="A250" i="3" s="1" a="1"/>
  <c r="A250" i="3" s="1"/>
  <c r="A251" i="3" l="1" a="1"/>
  <c r="A251" i="3" s="1"/>
  <c r="A252" i="3" s="1" a="1"/>
  <c r="A252" i="3" s="1"/>
  <c r="B246" i="3" a="1"/>
  <c r="B246" i="3" s="1"/>
  <c r="A253" i="3" l="1" a="1"/>
  <c r="A253" i="3" s="1"/>
  <c r="A254" i="3" s="1" a="1"/>
  <c r="A254" i="3" s="1"/>
  <c r="B247" i="3" a="1"/>
  <c r="B247" i="3" s="1"/>
  <c r="A255" i="3" l="1" a="1"/>
  <c r="A255" i="3" s="1"/>
  <c r="B248" i="3" a="1"/>
  <c r="B248" i="3" s="1"/>
  <c r="B249" i="3" l="1" a="1"/>
  <c r="B249" i="3" s="1"/>
  <c r="A256" i="3" a="1"/>
  <c r="A256" i="3" s="1"/>
  <c r="B250" i="3" l="1" a="1"/>
  <c r="B250" i="3" s="1"/>
  <c r="A257" i="3" a="1"/>
  <c r="A257" i="3" s="1"/>
  <c r="B251" i="3" l="1" a="1"/>
  <c r="B251" i="3" s="1"/>
  <c r="A258" i="3" a="1"/>
  <c r="A258" i="3" s="1"/>
  <c r="B252" i="3" l="1" a="1"/>
  <c r="B252" i="3" s="1"/>
  <c r="B253" i="3" s="1" a="1"/>
  <c r="B253" i="3" s="1"/>
  <c r="A259" i="3" a="1"/>
  <c r="A259" i="3" s="1"/>
  <c r="B254" i="3" l="1" a="1"/>
  <c r="B254" i="3" s="1"/>
  <c r="B255" i="3" s="1" a="1"/>
  <c r="B255" i="3" s="1"/>
  <c r="A260" i="3" a="1"/>
  <c r="A260" i="3" s="1"/>
  <c r="B256" i="3" l="1" a="1"/>
  <c r="B256" i="3" s="1"/>
  <c r="B257" i="3" s="1" a="1"/>
  <c r="B257" i="3" s="1"/>
  <c r="A261" i="3" a="1"/>
  <c r="A261" i="3" s="1"/>
  <c r="A262" i="3" s="1" a="1"/>
  <c r="A262" i="3" s="1"/>
  <c r="B258" i="3" l="1" a="1"/>
  <c r="B258" i="3" s="1"/>
  <c r="B259" i="3" s="1" a="1"/>
  <c r="B259" i="3" s="1"/>
  <c r="A263" i="3" a="1"/>
  <c r="A263" i="3" s="1"/>
  <c r="A264" i="3" s="1" a="1"/>
  <c r="A264" i="3" s="1"/>
  <c r="B260" i="3" l="1" a="1"/>
  <c r="B260" i="3" s="1"/>
  <c r="A265" i="3" a="1"/>
  <c r="A265" i="3" s="1"/>
  <c r="A266" i="3" l="1" a="1"/>
  <c r="A266" i="3" s="1"/>
  <c r="B261" i="3" a="1"/>
  <c r="B261" i="3" s="1"/>
  <c r="B262" i="3" s="1" a="1"/>
  <c r="B262" i="3" s="1"/>
  <c r="B263" i="3" l="1" a="1"/>
  <c r="B263" i="3" s="1"/>
  <c r="B264" i="3" s="1" a="1"/>
  <c r="B264" i="3" s="1"/>
  <c r="A267" i="3" a="1"/>
  <c r="A267" i="3" s="1"/>
  <c r="B265" i="3" l="1" a="1"/>
  <c r="B265" i="3" s="1"/>
  <c r="A268" i="3" a="1"/>
  <c r="A268" i="3" s="1"/>
  <c r="A269" i="3" s="1" a="1"/>
  <c r="A269" i="3" s="1"/>
  <c r="A270" i="3" l="1" a="1"/>
  <c r="A270" i="3" s="1"/>
  <c r="B266" i="3" a="1"/>
  <c r="B266" i="3" s="1"/>
  <c r="B267" i="3" l="1" a="1"/>
  <c r="B267" i="3" s="1"/>
  <c r="A271" i="3" a="1"/>
  <c r="A271" i="3" s="1"/>
  <c r="B268" i="3" l="1" a="1"/>
  <c r="B268" i="3" s="1"/>
  <c r="B269" i="3" s="1" a="1"/>
  <c r="B269" i="3" s="1"/>
  <c r="A272" i="3" a="1"/>
  <c r="A272" i="3" s="1"/>
  <c r="A273" i="3" l="1" a="1"/>
  <c r="A273" i="3" s="1"/>
  <c r="A274" i="3" s="1" a="1"/>
  <c r="A274" i="3" s="1"/>
  <c r="B270" i="3" a="1"/>
  <c r="B270" i="3" s="1"/>
  <c r="B271" i="3" l="1" a="1"/>
  <c r="B271" i="3" s="1"/>
  <c r="A275" i="3" a="1"/>
  <c r="A275" i="3" s="1"/>
  <c r="A276" i="3" l="1" a="1"/>
  <c r="A276" i="3" s="1"/>
  <c r="B272" i="3" a="1"/>
  <c r="B272" i="3" s="1"/>
  <c r="B273" i="3" s="1" a="1"/>
  <c r="B273" i="3" s="1"/>
  <c r="A277" i="3" l="1" a="1"/>
  <c r="A277" i="3" s="1"/>
  <c r="B274" i="3" a="1"/>
  <c r="B274" i="3" s="1"/>
  <c r="B275" i="3" l="1" a="1"/>
  <c r="B275" i="3" s="1"/>
  <c r="A278" i="3" a="1"/>
  <c r="A278" i="3" s="1"/>
  <c r="A279" i="3" l="1" a="1"/>
  <c r="A279" i="3" s="1"/>
  <c r="B276" i="3" a="1"/>
  <c r="B276" i="3" s="1"/>
  <c r="A280" i="3" l="1" a="1"/>
  <c r="A280" i="3" s="1"/>
  <c r="A281" i="3" s="1" a="1"/>
  <c r="A281" i="3" s="1"/>
  <c r="B277" i="3" a="1"/>
  <c r="B277" i="3" s="1"/>
  <c r="A282" i="3" l="1" a="1"/>
  <c r="A282" i="3" s="1"/>
  <c r="B278" i="3" a="1"/>
  <c r="B278" i="3" s="1"/>
  <c r="A283" i="3" l="1" a="1"/>
  <c r="A283" i="3" s="1"/>
  <c r="B279" i="3" a="1"/>
  <c r="B279" i="3" s="1"/>
  <c r="A284" i="3" l="1" a="1"/>
  <c r="A284" i="3" s="1"/>
  <c r="A285" i="3" s="1" a="1"/>
  <c r="A285" i="3" s="1"/>
  <c r="B280" i="3" a="1"/>
  <c r="B280" i="3" s="1"/>
  <c r="B281" i="3" l="1" a="1"/>
  <c r="B281" i="3" s="1"/>
  <c r="B282" i="3" s="1" a="1"/>
  <c r="B282" i="3" s="1"/>
  <c r="A286" i="3" a="1"/>
  <c r="A286" i="3" s="1"/>
  <c r="A287" i="3" l="1" a="1"/>
  <c r="A287" i="3" s="1"/>
  <c r="A288" i="3" s="1" a="1"/>
  <c r="A288" i="3" s="1"/>
  <c r="B283" i="3" a="1"/>
  <c r="B283" i="3" s="1"/>
  <c r="B284" i="3" s="1" a="1"/>
  <c r="B284" i="3" s="1"/>
  <c r="A289" i="3" l="1" a="1"/>
  <c r="A289" i="3" s="1"/>
  <c r="A290" i="3" s="1" a="1"/>
  <c r="A290" i="3" s="1"/>
  <c r="B285" i="3" a="1"/>
  <c r="B285" i="3" s="1"/>
  <c r="B286" i="3" s="1" a="1"/>
  <c r="B286" i="3" s="1"/>
  <c r="A291" i="3" l="1" a="1"/>
  <c r="A291" i="3" s="1"/>
  <c r="A292" i="3" s="1" a="1"/>
  <c r="A292" i="3" s="1"/>
  <c r="B287" i="3" a="1"/>
  <c r="B287" i="3" s="1"/>
  <c r="A293" i="3" l="1" a="1"/>
  <c r="A293" i="3" s="1"/>
  <c r="A294" i="3" s="1" a="1"/>
  <c r="A294" i="3" s="1"/>
  <c r="B288" i="3" a="1"/>
  <c r="B288" i="3" s="1"/>
  <c r="B289" i="3" s="1" a="1"/>
  <c r="B289" i="3" s="1"/>
  <c r="B290" i="3" l="1" a="1"/>
  <c r="B290" i="3" s="1"/>
  <c r="B291" i="3" s="1" a="1"/>
  <c r="B291" i="3" s="1"/>
  <c r="A295" i="3" a="1"/>
  <c r="A295" i="3" s="1"/>
  <c r="A296" i="3" l="1" a="1"/>
  <c r="A296" i="3" s="1"/>
  <c r="B292" i="3" a="1"/>
  <c r="B292" i="3" s="1"/>
  <c r="B293" i="3" s="1" a="1"/>
  <c r="B293" i="3" s="1"/>
  <c r="A297" i="3" l="1" a="1"/>
  <c r="A297" i="3" s="1"/>
  <c r="B294" i="3" a="1"/>
  <c r="B294" i="3" s="1"/>
  <c r="B295" i="3" s="1" a="1"/>
  <c r="B295" i="3" s="1"/>
  <c r="A298" i="3" l="1" a="1"/>
  <c r="A298" i="3" s="1"/>
  <c r="A299" i="3" s="1" a="1"/>
  <c r="A299" i="3" s="1"/>
  <c r="B296" i="3" a="1"/>
  <c r="B296" i="3" s="1"/>
  <c r="A300" i="3" l="1" a="1"/>
  <c r="A300" i="3" s="1"/>
  <c r="A301" i="3" s="1" a="1"/>
  <c r="A301" i="3" s="1"/>
  <c r="A302" i="3" s="1" a="1"/>
  <c r="A302" i="3" s="1"/>
  <c r="B297" i="3" a="1"/>
  <c r="B297" i="3" s="1"/>
  <c r="B298" i="3" s="1" a="1"/>
  <c r="B298" i="3" s="1"/>
  <c r="A303" i="3" l="1" a="1"/>
  <c r="A303" i="3" s="1"/>
  <c r="A304" i="3" s="1" a="1"/>
  <c r="A304" i="3" s="1"/>
  <c r="B299" i="3" a="1"/>
  <c r="B299" i="3" s="1"/>
  <c r="B300" i="3" l="1" a="1"/>
  <c r="B300" i="3" s="1"/>
  <c r="A305" i="3" a="1"/>
  <c r="A305" i="3" s="1"/>
  <c r="A306" i="3" s="1" a="1"/>
  <c r="A306" i="3" s="1"/>
  <c r="A307" i="3" l="1" a="1"/>
  <c r="A307" i="3" s="1"/>
  <c r="B301" i="3" a="1"/>
  <c r="B301" i="3" s="1"/>
  <c r="B302" i="3" l="1" a="1"/>
  <c r="B302" i="3" s="1"/>
  <c r="A308" i="3" a="1"/>
  <c r="A308" i="3" s="1"/>
  <c r="B303" i="3" l="1" a="1"/>
  <c r="B303" i="3" s="1"/>
  <c r="A309" i="3" a="1"/>
  <c r="A309" i="3" s="1"/>
  <c r="A310" i="3" l="1" a="1"/>
  <c r="A310" i="3" s="1"/>
  <c r="B304" i="3" a="1"/>
  <c r="B304" i="3" s="1"/>
  <c r="A311" i="3" l="1" a="1"/>
  <c r="A311" i="3" s="1"/>
  <c r="B305" i="3" a="1"/>
  <c r="B305" i="3" s="1"/>
  <c r="A312" i="3" l="1" a="1"/>
  <c r="A312" i="3" s="1"/>
  <c r="B306" i="3" a="1"/>
  <c r="B306" i="3" s="1"/>
  <c r="B307" i="3" l="1" a="1"/>
  <c r="B307" i="3" s="1"/>
  <c r="A313" i="3" a="1"/>
  <c r="A313" i="3" s="1"/>
  <c r="A314" i="3" l="1" a="1"/>
  <c r="A314" i="3" s="1"/>
  <c r="B308" i="3" a="1"/>
  <c r="B308" i="3" s="1"/>
  <c r="A315" i="3" l="1" a="1"/>
  <c r="A315" i="3" s="1"/>
  <c r="B309" i="3" a="1"/>
  <c r="B309" i="3" s="1"/>
  <c r="A316" i="3" l="1" a="1"/>
  <c r="A316" i="3" s="1"/>
  <c r="A317" i="3" s="1" a="1"/>
  <c r="A317" i="3" s="1"/>
  <c r="B310" i="3" a="1"/>
  <c r="B310" i="3" s="1"/>
  <c r="B311" i="3" l="1" a="1"/>
  <c r="B311" i="3" s="1"/>
  <c r="B312" i="3" s="1" a="1"/>
  <c r="B312" i="3" s="1"/>
  <c r="A318" i="3" a="1"/>
  <c r="A318" i="3" s="1"/>
  <c r="A319" i="3" l="1" a="1"/>
  <c r="A319" i="3" s="1"/>
  <c r="B313" i="3" a="1"/>
  <c r="B313" i="3" s="1"/>
  <c r="A320" i="3" l="1" a="1"/>
  <c r="A320" i="3" s="1"/>
  <c r="B314" i="3" a="1"/>
  <c r="B314" i="3" s="1"/>
  <c r="B315" i="3" s="1" a="1"/>
  <c r="B315" i="3" s="1"/>
  <c r="B316" i="3" l="1" a="1"/>
  <c r="B316" i="3" s="1"/>
  <c r="B317" i="3" s="1" a="1"/>
  <c r="B317" i="3" s="1"/>
  <c r="A321" i="3" a="1"/>
  <c r="A321" i="3" s="1"/>
  <c r="A322" i="3" l="1" a="1"/>
  <c r="A322" i="3" s="1"/>
  <c r="B318" i="3" a="1"/>
  <c r="B318" i="3" s="1"/>
  <c r="B319" i="3" l="1" a="1"/>
  <c r="B319" i="3" s="1"/>
  <c r="A323" i="3" a="1"/>
  <c r="A323" i="3" s="1"/>
  <c r="A324" i="3" l="1" a="1"/>
  <c r="A324" i="3" s="1"/>
  <c r="B320" i="3" a="1"/>
  <c r="B320" i="3" s="1"/>
  <c r="B321" i="3" l="1" a="1"/>
  <c r="B321" i="3" s="1"/>
  <c r="B322" i="3" s="1" a="1"/>
  <c r="B322" i="3" s="1"/>
  <c r="A325" i="3" a="1"/>
  <c r="A325" i="3" s="1"/>
  <c r="B323" i="3" l="1" a="1"/>
  <c r="B323" i="3" s="1"/>
  <c r="A326" i="3" a="1"/>
  <c r="A326" i="3" s="1"/>
  <c r="B324" i="3" l="1" a="1"/>
  <c r="B324" i="3" s="1"/>
  <c r="A327" i="3" a="1"/>
  <c r="A327" i="3" s="1"/>
  <c r="A328" i="3" l="1" a="1"/>
  <c r="A328" i="3" s="1"/>
  <c r="B325" i="3" a="1"/>
  <c r="B325" i="3" s="1"/>
  <c r="A329" i="3" l="1" a="1"/>
  <c r="A329" i="3" s="1"/>
  <c r="B326" i="3" a="1"/>
  <c r="B326" i="3" s="1"/>
  <c r="B327" i="3" l="1" a="1"/>
  <c r="B327" i="3" s="1"/>
  <c r="A330" i="3" a="1"/>
  <c r="A330" i="3" s="1"/>
  <c r="B328" i="3" l="1" a="1"/>
  <c r="B328" i="3" s="1"/>
  <c r="A331" i="3" a="1"/>
  <c r="A331" i="3" s="1"/>
  <c r="B329" i="3" l="1" a="1"/>
  <c r="B329" i="3" s="1"/>
  <c r="A332" i="3" a="1"/>
  <c r="A332" i="3" s="1"/>
  <c r="A333" i="3" s="1" a="1"/>
  <c r="A333" i="3" s="1"/>
  <c r="A334" i="3" l="1" a="1"/>
  <c r="A334" i="3" s="1"/>
  <c r="B330" i="3" a="1"/>
  <c r="B330" i="3" s="1"/>
  <c r="A335" i="3" l="1" a="1"/>
  <c r="A335" i="3" s="1"/>
  <c r="B331" i="3" a="1"/>
  <c r="B331" i="3" s="1"/>
  <c r="A336" i="3" l="1" a="1"/>
  <c r="A336" i="3" s="1"/>
  <c r="B332" i="3" a="1"/>
  <c r="B332" i="3" s="1"/>
  <c r="B333" i="3" s="1" a="1"/>
  <c r="B333" i="3" s="1"/>
  <c r="A337" i="3" l="1" a="1"/>
  <c r="A337" i="3" s="1"/>
  <c r="B334" i="3" a="1"/>
  <c r="B334" i="3" s="1"/>
  <c r="B335" i="3" l="1" a="1"/>
  <c r="B335" i="3" s="1"/>
  <c r="A338" i="3" a="1"/>
  <c r="A338" i="3" s="1"/>
  <c r="B336" i="3" l="1" a="1"/>
  <c r="B336" i="3" s="1"/>
  <c r="A339" i="3" a="1"/>
  <c r="A339" i="3" s="1"/>
  <c r="B337" i="3" l="1" a="1"/>
  <c r="B337" i="3" s="1"/>
  <c r="A340" i="3" a="1"/>
  <c r="A340" i="3" s="1"/>
  <c r="A341" i="3" s="1" a="1"/>
  <c r="A341" i="3" s="1"/>
  <c r="A342" i="3" l="1" a="1"/>
  <c r="A342" i="3" s="1"/>
  <c r="B338" i="3" a="1"/>
  <c r="B338" i="3" s="1"/>
  <c r="B339" i="3" s="1" a="1"/>
  <c r="B339" i="3" s="1"/>
  <c r="B340" i="3" l="1" a="1"/>
  <c r="B340" i="3" s="1"/>
  <c r="A343" i="3" a="1"/>
  <c r="A343" i="3" s="1"/>
  <c r="A344" i="3" s="1" a="1"/>
  <c r="A344" i="3" s="1"/>
  <c r="B341" i="3" a="1"/>
  <c r="B341" i="3" s="1"/>
  <c r="A345" i="3" l="1" a="1"/>
  <c r="A345" i="3" s="1"/>
  <c r="B342" i="3" a="1"/>
  <c r="B342" i="3" s="1"/>
  <c r="B343" i="3" l="1" a="1"/>
  <c r="B343" i="3" s="1"/>
  <c r="B344" i="3" s="1" a="1"/>
  <c r="B344" i="3" s="1"/>
  <c r="A346" i="3" a="1"/>
  <c r="A346" i="3" s="1"/>
  <c r="A347" i="3" s="1" a="1"/>
  <c r="A347" i="3" s="1"/>
  <c r="A348" i="3" l="1" a="1"/>
  <c r="A348" i="3" s="1"/>
  <c r="B345" i="3" a="1"/>
  <c r="B345" i="3" s="1"/>
  <c r="B346" i="3" l="1" a="1"/>
  <c r="B346" i="3" s="1"/>
  <c r="A349" i="3" a="1"/>
  <c r="A349" i="3" s="1"/>
  <c r="B347" i="3" l="1" a="1"/>
  <c r="B347" i="3" s="1"/>
  <c r="A350" i="3" a="1"/>
  <c r="A350" i="3" s="1"/>
  <c r="A351" i="3" l="1" a="1"/>
  <c r="A351" i="3" s="1"/>
  <c r="B348" i="3" a="1"/>
  <c r="B348" i="3" s="1"/>
  <c r="B349" i="3" l="1" a="1"/>
  <c r="B349" i="3" s="1"/>
  <c r="A352" i="3" a="1"/>
  <c r="A352" i="3" s="1"/>
  <c r="B350" i="3" l="1" a="1"/>
  <c r="B350" i="3" s="1"/>
  <c r="A353" i="3" a="1"/>
  <c r="A353" i="3" s="1"/>
  <c r="B351" i="3" l="1" a="1"/>
  <c r="B351" i="3" s="1"/>
  <c r="B352" i="3" s="1" a="1"/>
  <c r="B352" i="3" s="1"/>
  <c r="A354" i="3" a="1"/>
  <c r="A354" i="3" s="1"/>
  <c r="B353" i="3" l="1" a="1"/>
  <c r="B353" i="3" s="1"/>
  <c r="B354" i="3" s="1" a="1"/>
  <c r="B354" i="3" s="1"/>
  <c r="A355" i="3" a="1"/>
  <c r="A355" i="3" s="1"/>
  <c r="A356" i="3" s="1" a="1"/>
  <c r="A356" i="3" s="1"/>
  <c r="A357" i="3" l="1" a="1"/>
  <c r="A357" i="3" s="1"/>
  <c r="B355" i="3" a="1"/>
  <c r="B355" i="3" s="1"/>
  <c r="B356" i="3" s="1" a="1"/>
  <c r="B356" i="3" s="1"/>
  <c r="B357" i="3" l="1" a="1"/>
  <c r="B357" i="3" s="1"/>
  <c r="A358" i="3" a="1"/>
  <c r="A358" i="3" s="1"/>
  <c r="B358" i="3" l="1" a="1"/>
  <c r="B358" i="3" s="1"/>
  <c r="A359" i="3" a="1"/>
  <c r="A359" i="3" s="1"/>
  <c r="B359" i="3" l="1" a="1"/>
  <c r="B359" i="3" s="1"/>
  <c r="A360" i="3" a="1"/>
  <c r="A360" i="3" s="1"/>
  <c r="A361" i="3" l="1" a="1"/>
  <c r="A361" i="3" s="1"/>
  <c r="A362" i="3" s="1" a="1"/>
  <c r="A362" i="3" s="1"/>
  <c r="B360" i="3" a="1"/>
  <c r="B360" i="3" s="1"/>
  <c r="B361" i="3" l="1" a="1"/>
  <c r="B361" i="3" s="1"/>
  <c r="B362" i="3" s="1" a="1"/>
  <c r="B362" i="3" s="1"/>
  <c r="A363" i="3" a="1"/>
  <c r="A363" i="3" s="1"/>
  <c r="A364" i="3" l="1" a="1"/>
  <c r="A364" i="3" s="1"/>
  <c r="A365" i="3" s="1" a="1"/>
  <c r="A365" i="3" s="1"/>
  <c r="B363" i="3" a="1"/>
  <c r="B363" i="3" s="1"/>
  <c r="B364" i="3" l="1" a="1"/>
  <c r="B364" i="3" s="1"/>
  <c r="B365" i="3" s="1" a="1"/>
  <c r="B365" i="3" s="1"/>
  <c r="A366" i="3" a="1"/>
  <c r="A366" i="3" s="1"/>
  <c r="A367" i="3" l="1" a="1"/>
  <c r="A367" i="3" s="1"/>
  <c r="A368" i="3" s="1" a="1"/>
  <c r="A368" i="3" s="1"/>
  <c r="B366" i="3" a="1"/>
  <c r="B366" i="3" s="1"/>
  <c r="A369" i="3" l="1" a="1"/>
  <c r="A369" i="3" s="1"/>
  <c r="B367" i="3" a="1"/>
  <c r="B367" i="3" s="1"/>
  <c r="B368" i="3" s="1" a="1"/>
  <c r="B368" i="3" s="1"/>
  <c r="B369" i="3" l="1" a="1"/>
  <c r="B369" i="3" s="1"/>
  <c r="A370" i="3" a="1"/>
  <c r="A370" i="3" s="1"/>
  <c r="B370" i="3" l="1" a="1"/>
  <c r="B370" i="3" s="1"/>
  <c r="A371" i="3" a="1"/>
  <c r="A371" i="3" s="1"/>
  <c r="B371" i="3" l="1" a="1"/>
  <c r="B371" i="3" s="1"/>
  <c r="A372" i="3" a="1"/>
  <c r="A372" i="3" s="1"/>
  <c r="A373" i="3" l="1" a="1"/>
  <c r="A373" i="3" s="1"/>
  <c r="A374" i="3" s="1" a="1"/>
  <c r="A374" i="3" s="1"/>
  <c r="B372" i="3" a="1"/>
  <c r="B372" i="3" s="1"/>
  <c r="B373" i="3" l="1" a="1"/>
  <c r="B373" i="3" s="1"/>
  <c r="A375" i="3" a="1"/>
  <c r="A375" i="3" s="1"/>
  <c r="B374" i="3" l="1" a="1"/>
  <c r="B374" i="3" s="1"/>
  <c r="A376" i="3" a="1"/>
  <c r="A376" i="3" s="1"/>
  <c r="A377" i="3" s="1" a="1"/>
  <c r="A377" i="3" s="1"/>
  <c r="B375" i="3" l="1" a="1"/>
  <c r="B375" i="3" s="1"/>
  <c r="A378" i="3" a="1"/>
  <c r="A378" i="3" s="1"/>
  <c r="A379" i="3" l="1" a="1"/>
  <c r="A379" i="3" s="1"/>
  <c r="A380" i="3" s="1" a="1"/>
  <c r="A380" i="3" s="1"/>
  <c r="B376" i="3" a="1"/>
  <c r="B376" i="3" s="1"/>
  <c r="A381" i="3" l="1" a="1"/>
  <c r="A381" i="3" s="1"/>
  <c r="B377" i="3" a="1"/>
  <c r="B377" i="3" s="1"/>
  <c r="A382" i="3" l="1" a="1"/>
  <c r="A382" i="3" s="1"/>
  <c r="A383" i="3" s="1" a="1"/>
  <c r="A383" i="3" s="1"/>
  <c r="B378" i="3" a="1"/>
  <c r="B378" i="3" s="1"/>
  <c r="B379" i="3" s="1" a="1"/>
  <c r="B379" i="3" s="1"/>
  <c r="A384" i="3" l="1" a="1"/>
  <c r="A384" i="3" s="1"/>
  <c r="B380" i="3" a="1"/>
  <c r="B380" i="3" s="1"/>
  <c r="B381" i="3" l="1" a="1"/>
  <c r="B381" i="3" s="1"/>
  <c r="A385" i="3" a="1"/>
  <c r="A385" i="3" s="1"/>
  <c r="B382" i="3" l="1" a="1"/>
  <c r="B382" i="3" s="1"/>
  <c r="A386" i="3" a="1"/>
  <c r="A386" i="3" s="1"/>
  <c r="A387" i="3" l="1" a="1"/>
  <c r="A387" i="3" s="1"/>
  <c r="B383" i="3" a="1"/>
  <c r="B383" i="3" s="1"/>
  <c r="A388" i="3" l="1" a="1"/>
  <c r="A388" i="3" s="1"/>
  <c r="B384" i="3" a="1"/>
  <c r="B384" i="3" s="1"/>
  <c r="A389" i="3" l="1" a="1"/>
  <c r="A389" i="3" s="1"/>
  <c r="B385" i="3" a="1"/>
  <c r="B385" i="3" s="1"/>
  <c r="A390" i="3" l="1" a="1"/>
  <c r="A390" i="3" s="1"/>
  <c r="B386" i="3" a="1"/>
  <c r="B386" i="3" s="1"/>
  <c r="A391" i="3" l="1" a="1"/>
  <c r="A391" i="3" s="1"/>
  <c r="B387" i="3" a="1"/>
  <c r="B387" i="3" s="1"/>
  <c r="A392" i="3" l="1" a="1"/>
  <c r="A392" i="3" s="1"/>
  <c r="A393" i="3" s="1" a="1"/>
  <c r="A393" i="3" s="1"/>
  <c r="B388" i="3" a="1"/>
  <c r="B388" i="3" s="1"/>
  <c r="A394" i="3" l="1" a="1"/>
  <c r="A394" i="3" s="1"/>
  <c r="B389" i="3" a="1"/>
  <c r="B389" i="3" s="1"/>
  <c r="B390" i="3" l="1" a="1"/>
  <c r="B390" i="3" s="1"/>
  <c r="B391" i="3" s="1" a="1"/>
  <c r="B391" i="3" s="1"/>
  <c r="A395" i="3" a="1"/>
  <c r="A395" i="3" s="1"/>
  <c r="A396" i="3" s="1" a="1"/>
  <c r="A396" i="3" s="1"/>
  <c r="B392" i="3" l="1" a="1"/>
  <c r="B392" i="3" s="1"/>
  <c r="B393" i="3" s="1" a="1"/>
  <c r="B393" i="3" s="1"/>
  <c r="A397" i="3" a="1"/>
  <c r="A397" i="3" s="1"/>
  <c r="B394" i="3" l="1" a="1"/>
  <c r="B394" i="3" s="1"/>
  <c r="B395" i="3" s="1" a="1"/>
  <c r="B395" i="3" s="1"/>
  <c r="A398" i="3" a="1"/>
  <c r="A398" i="3" s="1"/>
  <c r="B396" i="3" l="1" a="1"/>
  <c r="B396" i="3" s="1"/>
  <c r="A399" i="3" a="1"/>
  <c r="A399" i="3" s="1"/>
  <c r="A400" i="3" l="1" a="1"/>
  <c r="A400" i="3" s="1"/>
  <c r="B397" i="3" a="1"/>
  <c r="B397" i="3" s="1"/>
  <c r="A401" i="3" l="1" a="1"/>
  <c r="A401" i="3" s="1"/>
  <c r="B398" i="3" a="1"/>
  <c r="B398" i="3" s="1"/>
  <c r="A402" i="3" l="1" a="1"/>
  <c r="A402" i="3" s="1"/>
  <c r="B399" i="3" a="1"/>
  <c r="B399" i="3" s="1"/>
  <c r="B400" i="3" s="1" a="1"/>
  <c r="B400" i="3" s="1"/>
  <c r="A403" i="3" l="1" a="1"/>
  <c r="A403" i="3" s="1"/>
  <c r="B401" i="3" a="1"/>
  <c r="B401" i="3" s="1"/>
  <c r="A404" i="3" l="1" a="1"/>
  <c r="A404" i="3" s="1"/>
  <c r="B402" i="3" a="1"/>
  <c r="B402" i="3" s="1"/>
  <c r="A405" i="3" l="1" a="1"/>
  <c r="A405" i="3" s="1"/>
  <c r="B403" i="3" a="1"/>
  <c r="B403" i="3" s="1"/>
  <c r="A406" i="3" l="1" a="1"/>
  <c r="A406" i="3" s="1"/>
  <c r="B404" i="3" a="1"/>
  <c r="B404" i="3" s="1"/>
  <c r="B405" i="3" s="1" a="1"/>
  <c r="B405" i="3" s="1"/>
  <c r="A407" i="3" l="1" a="1"/>
  <c r="A407" i="3" s="1"/>
  <c r="B406" i="3" a="1"/>
  <c r="B406" i="3" s="1"/>
  <c r="A408" i="3" l="1" a="1"/>
  <c r="A408" i="3" s="1"/>
  <c r="B407" i="3" a="1"/>
  <c r="B407" i="3" s="1"/>
  <c r="A409" i="3" l="1" a="1"/>
  <c r="A409" i="3" s="1"/>
  <c r="B408" i="3" a="1"/>
  <c r="B408" i="3" s="1"/>
  <c r="A410" i="3" l="1" a="1"/>
  <c r="A410" i="3" s="1"/>
  <c r="B409" i="3" a="1"/>
  <c r="B409" i="3" s="1"/>
  <c r="A411" i="3" l="1" a="1"/>
  <c r="A411" i="3" s="1"/>
  <c r="B410" i="3" a="1"/>
  <c r="B410" i="3" s="1"/>
  <c r="A412" i="3" l="1" a="1"/>
  <c r="A412" i="3" s="1"/>
  <c r="B411" i="3" a="1"/>
  <c r="B411" i="3" s="1"/>
  <c r="A413" i="3" l="1" a="1"/>
  <c r="A413" i="3" s="1"/>
  <c r="B412" i="3" a="1"/>
  <c r="B412" i="3" s="1"/>
  <c r="A414" i="3" l="1" a="1"/>
  <c r="A414" i="3" s="1"/>
  <c r="B413" i="3" a="1"/>
  <c r="B413" i="3" s="1"/>
  <c r="A415" i="3" l="1" a="1"/>
  <c r="A415" i="3" s="1"/>
  <c r="B414" i="3" a="1"/>
  <c r="B414" i="3" s="1"/>
  <c r="A416" i="3" l="1" a="1"/>
  <c r="A416" i="3" s="1"/>
  <c r="A417" i="3" s="1" a="1"/>
  <c r="A417" i="3" s="1"/>
  <c r="B415" i="3" a="1"/>
  <c r="B415" i="3" s="1"/>
  <c r="B416" i="3" l="1" a="1"/>
  <c r="B416" i="3" s="1"/>
  <c r="A418" i="3" a="1"/>
  <c r="A418" i="3" s="1"/>
  <c r="B417" i="3" l="1" a="1"/>
  <c r="B417" i="3" s="1"/>
  <c r="B418" i="3" s="1" a="1"/>
  <c r="B418" i="3" s="1"/>
  <c r="A419" i="3" a="1"/>
  <c r="A419" i="3" s="1"/>
  <c r="B419" i="3" l="1" a="1"/>
  <c r="B419" i="3" s="1"/>
  <c r="B420" i="3" s="1" a="1"/>
  <c r="B420" i="3" s="1"/>
  <c r="A420" i="3" a="1"/>
  <c r="A420" i="3" s="1"/>
  <c r="B421" i="3" l="1" a="1"/>
  <c r="B421" i="3" s="1"/>
  <c r="B422" i="3" s="1" a="1"/>
  <c r="B422" i="3" s="1"/>
  <c r="A421" i="3" a="1"/>
  <c r="A421" i="3" s="1"/>
  <c r="B423" i="3" l="1" a="1"/>
  <c r="B423" i="3" s="1"/>
  <c r="A422" i="3" a="1"/>
  <c r="A422" i="3" s="1"/>
  <c r="A423" i="3" l="1" a="1"/>
  <c r="A423" i="3" s="1"/>
  <c r="B424" i="3" a="1"/>
  <c r="B424" i="3" s="1"/>
  <c r="B425" i="3" l="1" a="1"/>
  <c r="B425" i="3" s="1"/>
  <c r="B426" i="3" s="1" a="1"/>
  <c r="B426" i="3" s="1"/>
  <c r="A424" i="3" a="1"/>
  <c r="A424" i="3" s="1"/>
  <c r="A425" i="3" l="1" a="1"/>
  <c r="A425" i="3" s="1"/>
  <c r="B427" i="3" a="1"/>
  <c r="B427" i="3" s="1"/>
  <c r="A426" i="3" l="1" a="1"/>
  <c r="A426" i="3" s="1"/>
  <c r="B428" i="3" a="1"/>
  <c r="B428" i="3" s="1"/>
  <c r="A427" i="3" l="1" a="1"/>
  <c r="A427" i="3" s="1"/>
  <c r="B429" i="3" a="1"/>
  <c r="B429" i="3" s="1"/>
  <c r="A428" i="3" l="1" a="1"/>
  <c r="A428" i="3" s="1"/>
  <c r="B430" i="3" a="1"/>
  <c r="B430" i="3" s="1"/>
  <c r="A429" i="3" l="1" a="1"/>
  <c r="A429" i="3" s="1"/>
  <c r="B431" i="3" a="1"/>
  <c r="B431" i="3" s="1"/>
  <c r="A430" i="3" l="1" a="1"/>
  <c r="A430" i="3" s="1"/>
  <c r="A431" i="3" s="1" a="1"/>
  <c r="A431" i="3" s="1"/>
  <c r="B432" i="3" a="1"/>
  <c r="B432" i="3" s="1"/>
  <c r="B433" i="3" l="1" a="1"/>
  <c r="B433" i="3" s="1"/>
  <c r="B434" i="3" s="1" a="1"/>
  <c r="B434" i="3" s="1"/>
  <c r="A432" i="3" a="1"/>
  <c r="A432" i="3" s="1"/>
  <c r="A433" i="3" l="1" a="1"/>
  <c r="A433" i="3" s="1"/>
  <c r="A434" i="3" s="1" a="1"/>
  <c r="A434" i="3" s="1"/>
  <c r="B435" i="3" a="1"/>
  <c r="B435" i="3" s="1"/>
  <c r="A435" i="3" l="1" a="1"/>
  <c r="A435" i="3" s="1"/>
  <c r="B436" i="3" a="1"/>
  <c r="B436" i="3" s="1"/>
  <c r="B437" i="3" l="1" a="1"/>
  <c r="B437" i="3" s="1"/>
  <c r="B438" i="3" s="1" a="1"/>
  <c r="B438" i="3" s="1"/>
  <c r="A436" i="3" a="1"/>
  <c r="A436" i="3" s="1"/>
  <c r="B439" i="3" l="1" a="1"/>
  <c r="B439" i="3" s="1"/>
  <c r="A437" i="3" a="1"/>
  <c r="A437" i="3" s="1"/>
  <c r="A438" i="3" l="1" a="1"/>
  <c r="A438" i="3" s="1"/>
  <c r="A439" i="3" s="1" a="1"/>
  <c r="A439" i="3" s="1"/>
  <c r="B440" i="3" a="1"/>
  <c r="B440" i="3" s="1"/>
  <c r="B441" i="3" l="1" a="1"/>
  <c r="B441" i="3" s="1"/>
  <c r="A440" i="3" a="1"/>
  <c r="A440" i="3" s="1"/>
  <c r="A441" i="3" s="1" a="1"/>
  <c r="A441" i="3" s="1"/>
  <c r="A442" i="3" l="1" a="1"/>
  <c r="A442" i="3" s="1"/>
  <c r="B442" i="3" a="1"/>
  <c r="B442" i="3" s="1"/>
  <c r="B443" i="3" l="1" a="1"/>
  <c r="B443" i="3" s="1"/>
  <c r="A443" i="3" a="1"/>
  <c r="A443" i="3" s="1"/>
  <c r="B444" i="3" l="1" a="1"/>
  <c r="B444" i="3" s="1"/>
  <c r="A444" i="3" a="1"/>
  <c r="A444" i="3" s="1"/>
  <c r="B445" i="3" l="1" a="1"/>
  <c r="B445" i="3" s="1"/>
  <c r="A445" i="3" a="1"/>
  <c r="A445" i="3" s="1"/>
  <c r="B446" i="3" l="1" a="1"/>
  <c r="B446" i="3" s="1"/>
  <c r="B447" i="3" s="1" a="1"/>
  <c r="B447" i="3" s="1"/>
  <c r="A446" i="3" a="1"/>
  <c r="A446" i="3" s="1"/>
  <c r="A447" i="3" l="1" a="1"/>
  <c r="A447" i="3" s="1"/>
  <c r="A448" i="3" s="1" a="1"/>
  <c r="A448" i="3" s="1"/>
  <c r="B448" i="3" a="1"/>
  <c r="B448" i="3" s="1"/>
  <c r="A449" i="3" l="1" a="1"/>
  <c r="A449" i="3" s="1"/>
  <c r="A450" i="3" s="1" a="1"/>
  <c r="A450" i="3" s="1"/>
  <c r="B449" i="3" a="1"/>
  <c r="B449" i="3" s="1"/>
  <c r="B450" i="3" s="1" a="1"/>
  <c r="B450" i="3" s="1"/>
  <c r="A451" i="3" l="1" a="1"/>
  <c r="A451" i="3" s="1"/>
  <c r="A452" i="3" s="1" a="1"/>
  <c r="A452" i="3" s="1"/>
  <c r="B451" i="3" a="1"/>
  <c r="B451" i="3" s="1"/>
  <c r="A453" i="3" l="1" a="1"/>
  <c r="A453" i="3" s="1"/>
  <c r="A454" i="3" s="1" a="1"/>
  <c r="A454" i="3" s="1"/>
  <c r="B452" i="3" a="1"/>
  <c r="B452" i="3" s="1"/>
  <c r="B453" i="3" s="1" a="1"/>
  <c r="B453" i="3" s="1"/>
  <c r="A455" i="3" l="1" a="1"/>
  <c r="A455" i="3" s="1"/>
  <c r="B454" i="3" a="1"/>
  <c r="B454" i="3" s="1"/>
  <c r="A456" i="3" l="1" a="1"/>
  <c r="A456" i="3" s="1"/>
  <c r="A457" i="3" s="1" a="1"/>
  <c r="A457" i="3" s="1"/>
  <c r="B455" i="3" a="1"/>
  <c r="B455" i="3" s="1"/>
  <c r="A458" i="3" l="1" a="1"/>
  <c r="A458" i="3" s="1"/>
  <c r="B456" i="3" a="1"/>
  <c r="B456" i="3" s="1"/>
  <c r="B457" i="3" l="1" a="1"/>
  <c r="B457" i="3" s="1"/>
  <c r="A459" i="3" a="1"/>
  <c r="A459" i="3" s="1"/>
  <c r="B458" i="3" l="1" a="1"/>
  <c r="B458" i="3" s="1"/>
  <c r="B459" i="3" s="1" a="1"/>
  <c r="B459" i="3" s="1"/>
  <c r="A460" i="3" a="1"/>
  <c r="A460" i="3" s="1"/>
  <c r="B460" i="3" l="1" a="1"/>
  <c r="B460" i="3" s="1"/>
  <c r="B461" i="3" s="1" a="1"/>
  <c r="B461" i="3" s="1"/>
  <c r="A461" i="3" a="1"/>
  <c r="A461" i="3" s="1"/>
  <c r="B462" i="3" l="1" a="1"/>
  <c r="B462" i="3" s="1"/>
  <c r="A462" i="3" a="1"/>
  <c r="A462" i="3" s="1"/>
  <c r="A463" i="3" l="1" a="1"/>
  <c r="A463" i="3" s="1"/>
  <c r="B463" i="3" a="1"/>
  <c r="B463" i="3" s="1"/>
  <c r="A464" i="3" l="1" a="1"/>
  <c r="A464" i="3" s="1"/>
  <c r="B464" i="3" a="1"/>
  <c r="B464" i="3" s="1"/>
  <c r="A465" i="3" l="1" a="1"/>
  <c r="A465" i="3" s="1"/>
  <c r="B465" i="3" a="1"/>
  <c r="B465" i="3" s="1"/>
  <c r="B466" i="3" l="1" a="1"/>
  <c r="B466" i="3" s="1"/>
  <c r="B467" i="3" s="1" a="1"/>
  <c r="B467" i="3" s="1"/>
  <c r="A466" i="3" a="1"/>
  <c r="A466" i="3" s="1"/>
  <c r="A467" i="3" l="1" a="1"/>
  <c r="A467" i="3" s="1"/>
  <c r="B468" i="3" a="1"/>
  <c r="B468" i="3" s="1"/>
  <c r="A468" i="3" l="1" a="1"/>
  <c r="A468" i="3" s="1"/>
  <c r="B469" i="3" a="1"/>
  <c r="B469" i="3" s="1"/>
  <c r="A469" i="3" l="1" a="1"/>
  <c r="A469" i="3" s="1"/>
  <c r="B470" i="3" a="1"/>
  <c r="B470" i="3" s="1"/>
  <c r="A470" i="3" l="1" a="1"/>
  <c r="A470" i="3" s="1"/>
  <c r="B471" i="3" a="1"/>
  <c r="B471" i="3" s="1"/>
  <c r="A471" i="3" l="1" a="1"/>
  <c r="A471" i="3" s="1"/>
  <c r="B472" i="3" a="1"/>
  <c r="B472" i="3" s="1"/>
  <c r="A472" i="3" l="1" a="1"/>
  <c r="A472" i="3" s="1"/>
  <c r="B473" i="3" a="1"/>
  <c r="B473" i="3" s="1"/>
  <c r="A473" i="3" l="1" a="1"/>
  <c r="A473" i="3" s="1"/>
  <c r="B474" i="3" a="1"/>
  <c r="B474" i="3" s="1"/>
  <c r="A474" i="3" l="1" a="1"/>
  <c r="A474" i="3" s="1"/>
  <c r="A475" i="3" s="1" a="1"/>
  <c r="A475" i="3" s="1"/>
  <c r="B475" i="3" a="1"/>
  <c r="B475" i="3" s="1"/>
  <c r="A476" i="3" l="1" a="1"/>
  <c r="A476" i="3" s="1"/>
  <c r="B476" i="3" a="1"/>
  <c r="B476" i="3" s="1"/>
  <c r="B477" i="3" l="1" a="1"/>
  <c r="B477" i="3" s="1"/>
  <c r="A477" i="3" a="1"/>
  <c r="A477" i="3" s="1"/>
  <c r="A478" i="3" l="1" a="1"/>
  <c r="A478" i="3" s="1"/>
  <c r="B478" i="3" a="1"/>
  <c r="B478" i="3" s="1"/>
  <c r="B479" i="3" l="1" a="1"/>
  <c r="B479" i="3" s="1"/>
  <c r="A479" i="3" a="1"/>
  <c r="A479" i="3" s="1"/>
  <c r="A480" i="3" l="1" a="1"/>
  <c r="A480" i="3" s="1"/>
  <c r="B480" i="3" a="1"/>
  <c r="B480" i="3" s="1"/>
  <c r="B481" i="3" l="1" a="1"/>
  <c r="B481" i="3" s="1"/>
  <c r="A481" i="3" a="1"/>
  <c r="A481" i="3" s="1"/>
  <c r="A482" i="3" l="1" a="1"/>
  <c r="A482" i="3" s="1"/>
  <c r="A483" i="3" s="1" a="1"/>
  <c r="A483" i="3" s="1"/>
  <c r="B482" i="3" a="1"/>
  <c r="B482" i="3" s="1"/>
  <c r="B483" i="3" s="1" a="1"/>
  <c r="B483" i="3" s="1"/>
  <c r="B484" i="3" l="1" a="1"/>
  <c r="B484" i="3" s="1"/>
  <c r="B485" i="3" s="1" a="1"/>
  <c r="B485" i="3" s="1"/>
  <c r="A484" i="3" a="1"/>
  <c r="A484" i="3" s="1"/>
  <c r="A485" i="3" s="1" a="1"/>
  <c r="A485" i="3" s="1"/>
  <c r="A486" i="3" l="1" a="1"/>
  <c r="A486" i="3" s="1"/>
  <c r="A487" i="3" s="1" a="1"/>
  <c r="A487" i="3" s="1"/>
  <c r="B486" i="3" a="1"/>
  <c r="B486" i="3" s="1"/>
  <c r="A488" i="3" l="1" a="1"/>
  <c r="A488" i="3" s="1"/>
  <c r="B487" i="3" a="1"/>
  <c r="B487" i="3" s="1"/>
  <c r="B488" i="3" s="1" a="1"/>
  <c r="B488" i="3" s="1"/>
  <c r="B489" i="3" l="1" a="1"/>
  <c r="B489" i="3" s="1"/>
  <c r="A489" i="3" a="1"/>
  <c r="A489" i="3" s="1"/>
  <c r="A490" i="3" l="1" a="1"/>
  <c r="A490" i="3" s="1"/>
  <c r="B490" i="3" a="1"/>
  <c r="B490" i="3" s="1"/>
  <c r="B491" i="3" l="1" a="1"/>
  <c r="B491" i="3" s="1"/>
  <c r="A491" i="3" a="1"/>
  <c r="A491" i="3" s="1"/>
  <c r="A492" i="3" l="1" a="1"/>
  <c r="A492" i="3" s="1"/>
  <c r="B492" i="3" a="1"/>
  <c r="B492" i="3" s="1"/>
  <c r="B493" i="3" l="1" a="1"/>
  <c r="B493" i="3" s="1"/>
  <c r="A493" i="3" a="1"/>
  <c r="A493" i="3" s="1"/>
  <c r="A494" i="3" l="1" a="1"/>
  <c r="A494" i="3" s="1"/>
  <c r="B494" i="3" a="1"/>
  <c r="B494" i="3" s="1"/>
  <c r="B495" i="3" l="1" a="1"/>
  <c r="B495" i="3" s="1"/>
  <c r="A495" i="3" a="1"/>
  <c r="A495" i="3" s="1"/>
  <c r="A496" i="3" l="1" a="1"/>
  <c r="A496" i="3" s="1"/>
  <c r="B496" i="3" a="1"/>
  <c r="B496" i="3" s="1"/>
  <c r="B497" i="3" l="1" a="1"/>
  <c r="B497" i="3" s="1"/>
  <c r="B498" i="3" s="1" a="1"/>
  <c r="B498" i="3" s="1"/>
  <c r="A497" i="3" a="1"/>
  <c r="A497" i="3" s="1"/>
  <c r="B499" i="3" l="1" a="1"/>
  <c r="B499" i="3" s="1"/>
  <c r="B500" i="3" s="1" a="1"/>
  <c r="B500" i="3" s="1"/>
  <c r="A498" i="3" a="1"/>
  <c r="A498" i="3" s="1"/>
  <c r="B501" i="3" l="1" a="1"/>
  <c r="B501" i="3" s="1"/>
  <c r="A499" i="3" a="1"/>
  <c r="A499" i="3" s="1"/>
  <c r="A500" i="3" s="1" a="1"/>
  <c r="A500" i="3" s="1"/>
  <c r="A501" i="3" l="1" a="1"/>
  <c r="A501" i="3" s="1"/>
  <c r="B502" i="3" a="1"/>
  <c r="B502" i="3" s="1"/>
  <c r="B503" i="3" l="1" a="1"/>
  <c r="B503" i="3" s="1"/>
  <c r="A502" i="3" a="1"/>
  <c r="A502" i="3" s="1"/>
  <c r="A503" i="3" l="1" a="1"/>
  <c r="A503" i="3" s="1"/>
  <c r="B504" i="3" a="1"/>
  <c r="B504" i="3" s="1"/>
  <c r="B505" i="3" l="1" a="1"/>
  <c r="B505" i="3" s="1"/>
  <c r="A504" i="3" a="1"/>
  <c r="A504" i="3" s="1"/>
  <c r="A505" i="3" l="1" a="1"/>
  <c r="A505" i="3" s="1"/>
  <c r="B506" i="3" a="1"/>
  <c r="B506" i="3" s="1"/>
  <c r="B507" i="3" l="1" a="1"/>
  <c r="B507" i="3" s="1"/>
  <c r="A506" i="3" a="1"/>
  <c r="A506" i="3" s="1"/>
  <c r="A507" i="3" l="1" a="1"/>
  <c r="A507" i="3" s="1"/>
  <c r="B508" i="3" a="1"/>
  <c r="B508" i="3" s="1"/>
  <c r="B509" i="3" l="1" a="1"/>
  <c r="B509" i="3" s="1"/>
  <c r="A508" i="3" a="1"/>
  <c r="A508" i="3" s="1"/>
  <c r="A509" i="3" l="1" a="1"/>
  <c r="A509" i="3" s="1"/>
  <c r="B510" i="3" a="1"/>
  <c r="B510" i="3" s="1"/>
  <c r="B511" i="3" l="1" a="1"/>
  <c r="B511" i="3" s="1"/>
  <c r="B512" i="3" s="1" a="1"/>
  <c r="B512" i="3" s="1"/>
  <c r="A510" i="3" a="1"/>
  <c r="A510" i="3" s="1"/>
  <c r="A511" i="3" l="1" a="1"/>
  <c r="A511" i="3" s="1"/>
  <c r="A512" i="3" s="1" a="1"/>
  <c r="A512" i="3" s="1"/>
  <c r="B513" i="3" a="1"/>
  <c r="B513" i="3" s="1"/>
  <c r="B514" i="3" l="1" a="1"/>
  <c r="B514" i="3" s="1"/>
  <c r="B515" i="3" s="1" a="1"/>
  <c r="B515" i="3" s="1"/>
  <c r="A513" i="3" a="1"/>
  <c r="A513" i="3" s="1"/>
  <c r="A514" i="3" l="1" a="1"/>
  <c r="A514" i="3" s="1"/>
  <c r="A515" i="3" s="1" a="1"/>
  <c r="A515" i="3" s="1"/>
  <c r="B516" i="3" a="1"/>
  <c r="B516" i="3" s="1"/>
  <c r="B517" i="3" l="1" a="1"/>
  <c r="B517" i="3" s="1"/>
  <c r="A516" i="3" a="1"/>
  <c r="A516" i="3" s="1"/>
  <c r="B518" i="3" l="1" a="1"/>
  <c r="B518" i="3" s="1"/>
  <c r="A517" i="3" a="1"/>
  <c r="A517" i="3" s="1"/>
  <c r="A518" i="3" l="1" a="1"/>
  <c r="A518" i="3" s="1"/>
  <c r="B519" i="3" a="1"/>
  <c r="B519" i="3" s="1"/>
  <c r="B520" i="3" l="1" a="1"/>
  <c r="B520" i="3" s="1"/>
  <c r="A519" i="3" a="1"/>
  <c r="A519" i="3" s="1"/>
  <c r="A520" i="3" l="1" a="1"/>
  <c r="A520" i="3" s="1"/>
  <c r="B521" i="3" a="1"/>
  <c r="B521" i="3" s="1"/>
  <c r="A521" i="3" l="1" a="1"/>
  <c r="A521" i="3" s="1"/>
  <c r="B522" i="3" a="1"/>
  <c r="B522" i="3" s="1"/>
  <c r="A522" i="3" l="1" a="1"/>
  <c r="A522" i="3" s="1"/>
  <c r="B523" i="3" a="1"/>
  <c r="B523" i="3" s="1"/>
  <c r="B524" i="3" l="1" a="1"/>
  <c r="B524" i="3" s="1"/>
  <c r="B525" i="3" s="1" a="1"/>
  <c r="B525" i="3" s="1"/>
  <c r="A523" i="3" a="1"/>
  <c r="A523" i="3" s="1"/>
  <c r="B526" i="3" l="1" a="1"/>
  <c r="B526" i="3" s="1"/>
  <c r="A524" i="3" a="1"/>
  <c r="A524" i="3" s="1"/>
  <c r="B527" i="3" l="1" a="1"/>
  <c r="B527" i="3" s="1"/>
  <c r="A525" i="3" a="1"/>
  <c r="A525" i="3" s="1"/>
  <c r="A526" i="3" l="1" a="1"/>
  <c r="A526" i="3" s="1"/>
  <c r="A527" i="3" s="1" a="1"/>
  <c r="A527" i="3" s="1"/>
  <c r="B528" i="3" a="1"/>
  <c r="B528" i="3" s="1"/>
  <c r="A528" i="3" l="1" a="1"/>
  <c r="A528" i="3" s="1"/>
  <c r="B529" i="3" a="1"/>
  <c r="B529" i="3" s="1"/>
  <c r="A529" i="3" l="1" a="1"/>
  <c r="A529" i="3" s="1"/>
  <c r="B530" i="3" a="1"/>
  <c r="B530" i="3" s="1"/>
  <c r="B531" i="3" s="1" a="1"/>
  <c r="B531" i="3" s="1"/>
  <c r="A530" i="3" l="1" a="1"/>
  <c r="A530" i="3" s="1"/>
  <c r="B532" i="3" a="1"/>
  <c r="B532" i="3" s="1"/>
  <c r="B533" i="3" l="1" a="1"/>
  <c r="B533" i="3" s="1"/>
  <c r="A531" i="3" a="1"/>
  <c r="A531" i="3" s="1"/>
  <c r="B534" i="3" l="1" a="1"/>
  <c r="B534" i="3" s="1"/>
  <c r="A532" i="3" a="1"/>
  <c r="A532" i="3" s="1"/>
  <c r="A533" i="3" l="1" a="1"/>
  <c r="A533" i="3" s="1"/>
  <c r="A534" i="3" s="1" a="1"/>
  <c r="A534" i="3" s="1"/>
  <c r="B535" i="3" a="1"/>
  <c r="B535" i="3" s="1"/>
  <c r="B536" i="3" l="1" a="1"/>
  <c r="B536" i="3" s="1"/>
  <c r="A535" i="3" a="1"/>
  <c r="A535" i="3" s="1"/>
  <c r="A536" i="3" l="1" a="1"/>
  <c r="A536" i="3" s="1"/>
  <c r="B537" i="3" a="1"/>
  <c r="B537" i="3" s="1"/>
  <c r="A537" i="3" l="1" a="1"/>
  <c r="A537" i="3" s="1"/>
  <c r="B538" i="3" a="1"/>
  <c r="B538" i="3" s="1"/>
  <c r="A538" i="3" l="1" a="1"/>
  <c r="A538" i="3" s="1"/>
  <c r="B539" i="3" a="1"/>
  <c r="B539" i="3" s="1"/>
  <c r="B540" i="3" l="1" a="1"/>
  <c r="B540" i="3" s="1"/>
  <c r="B541" i="3" s="1" a="1"/>
  <c r="B541" i="3" s="1"/>
  <c r="A539" i="3" a="1"/>
  <c r="A539" i="3" s="1"/>
  <c r="A540" i="3" l="1" a="1"/>
  <c r="A540" i="3" s="1"/>
  <c r="A541" i="3" s="1" a="1"/>
  <c r="A541" i="3" s="1"/>
  <c r="B542" i="3" a="1"/>
  <c r="B542" i="3" s="1"/>
  <c r="B543" i="3" l="1" a="1"/>
  <c r="B543" i="3" s="1"/>
  <c r="B544" i="3" s="1" a="1"/>
  <c r="B544" i="3" s="1"/>
  <c r="A542" i="3" a="1"/>
  <c r="A542" i="3" s="1"/>
  <c r="B545" i="3" l="1" a="1"/>
  <c r="B545" i="3" s="1"/>
  <c r="A543" i="3" a="1"/>
  <c r="A543" i="3" s="1"/>
  <c r="A544" i="3" s="1" a="1"/>
  <c r="A544" i="3" s="1"/>
  <c r="A545" i="3" l="1" a="1"/>
  <c r="A545" i="3" s="1"/>
  <c r="B546" i="3" a="1"/>
  <c r="B546" i="3" s="1"/>
  <c r="A546" i="3" l="1" a="1"/>
  <c r="A546" i="3" s="1"/>
  <c r="B547" i="3" a="1"/>
  <c r="B547" i="3" s="1"/>
  <c r="A547" i="3" l="1" a="1"/>
  <c r="A547" i="3" s="1"/>
  <c r="B548" i="3" a="1"/>
  <c r="B548" i="3" s="1"/>
  <c r="B549" i="3" l="1" a="1"/>
  <c r="B549" i="3" s="1"/>
  <c r="B550" i="3" s="1" a="1"/>
  <c r="B550" i="3" s="1"/>
  <c r="A548" i="3" a="1"/>
  <c r="A548" i="3" s="1"/>
  <c r="B551" i="3" l="1" a="1"/>
  <c r="B551" i="3" s="1"/>
  <c r="A549" i="3" a="1"/>
  <c r="A549" i="3" s="1"/>
  <c r="A550" i="3" s="1" a="1"/>
  <c r="A550" i="3" s="1"/>
  <c r="A551" i="3" l="1" a="1"/>
  <c r="A551" i="3" s="1"/>
  <c r="B552" i="3" a="1"/>
  <c r="B552" i="3" s="1"/>
  <c r="A552" i="3" l="1" a="1"/>
  <c r="A552" i="3" s="1"/>
  <c r="B553" i="3" a="1"/>
  <c r="B553" i="3" s="1"/>
  <c r="J519" i="3" a="1"/>
  <c r="J519" i="3" s="1"/>
  <c r="A553" i="3" l="1" a="1"/>
  <c r="A553" i="3" s="1"/>
  <c r="B554" i="3" a="1"/>
  <c r="B554" i="3" s="1"/>
  <c r="L49" i="1" a="1"/>
  <c r="L49" i="1" s="1"/>
  <c r="L104" i="1" a="1"/>
  <c r="L104" i="1" s="1"/>
  <c r="L102" i="1" a="1"/>
  <c r="L102" i="1" s="1"/>
  <c r="L26" i="1" a="1"/>
  <c r="L26" i="1" s="1"/>
  <c r="L14" i="1" a="1"/>
  <c r="L14" i="1" s="1"/>
  <c r="L9" i="1" a="1"/>
  <c r="L9" i="1" s="1"/>
  <c r="L42" i="1" a="1"/>
  <c r="L42" i="1" s="1"/>
  <c r="L6" i="1" a="1"/>
  <c r="L6" i="1" s="1"/>
  <c r="L38" i="1" a="1"/>
  <c r="L38" i="1" s="1"/>
  <c r="L76" i="1" a="1"/>
  <c r="L76" i="1" s="1"/>
  <c r="L8" i="1" a="1"/>
  <c r="L8" i="1" s="1"/>
  <c r="L90" i="1" a="1"/>
  <c r="L90" i="1" s="1"/>
  <c r="L100" i="1" a="1"/>
  <c r="L100" i="1" s="1"/>
  <c r="L73" i="1" a="1"/>
  <c r="L73" i="1" s="1"/>
  <c r="L106" i="1" a="1"/>
  <c r="L106" i="1" s="1"/>
  <c r="L32" i="1" a="1"/>
  <c r="L32" i="1" s="1"/>
  <c r="L7" i="1" a="1"/>
  <c r="L7" i="1" s="1"/>
  <c r="L44" i="1" a="1"/>
  <c r="L44" i="1" s="1"/>
  <c r="L15" i="1" a="1"/>
  <c r="L15" i="1" s="1"/>
  <c r="L30" i="1" a="1"/>
  <c r="L30" i="1" s="1"/>
  <c r="L20" i="1" a="1"/>
  <c r="L20" i="1" s="1"/>
  <c r="L43" i="1" a="1"/>
  <c r="L43" i="1" s="1"/>
  <c r="L45" i="1" a="1"/>
  <c r="L45" i="1" s="1"/>
  <c r="L50" i="1" a="1"/>
  <c r="L50" i="1" s="1"/>
  <c r="L34" i="1" a="1"/>
  <c r="L34" i="1" s="1"/>
  <c r="L16" i="1" a="1"/>
  <c r="L16" i="1" s="1"/>
  <c r="L94" i="1" a="1"/>
  <c r="L94" i="1" s="1"/>
  <c r="L86" i="1" a="1"/>
  <c r="L86" i="1" s="1"/>
  <c r="L83" i="1" a="1"/>
  <c r="L83" i="1" s="1"/>
  <c r="L10" i="1" a="1"/>
  <c r="L10" i="1" s="1"/>
  <c r="L84" i="1" a="1"/>
  <c r="L84" i="1" s="1"/>
  <c r="L28" i="1" a="1"/>
  <c r="L28" i="1" s="1"/>
  <c r="L36" i="1" a="1"/>
  <c r="L36" i="1" s="1"/>
  <c r="L92" i="1" a="1"/>
  <c r="L92" i="1" s="1"/>
  <c r="L60" i="1" a="1"/>
  <c r="L60" i="1" s="1"/>
  <c r="L81" i="1" a="1"/>
  <c r="L81" i="1" s="1"/>
  <c r="L88" i="1" a="1"/>
  <c r="L88" i="1" s="1"/>
  <c r="L48" i="1" a="1"/>
  <c r="L48" i="1" s="1"/>
  <c r="L23" i="1" a="1"/>
  <c r="L23" i="1" s="1"/>
  <c r="L51" i="1" a="1"/>
  <c r="L51" i="1" s="1"/>
  <c r="L25" i="1" a="1"/>
  <c r="L25" i="1" s="1"/>
  <c r="L71" i="1" a="1"/>
  <c r="L71" i="1" s="1"/>
  <c r="L89" i="1" a="1"/>
  <c r="L89" i="1" s="1"/>
  <c r="L19" i="1" a="1"/>
  <c r="L19" i="1" s="1"/>
  <c r="L72" i="1" a="1"/>
  <c r="L72" i="1" s="1"/>
  <c r="L4" i="1" a="1"/>
  <c r="L4" i="1" s="1"/>
  <c r="L3" i="1" a="1"/>
  <c r="L3" i="1" s="1"/>
  <c r="L29" i="1" a="1"/>
  <c r="L29" i="1" s="1"/>
  <c r="L97" i="1" a="1"/>
  <c r="L97" i="1" s="1"/>
  <c r="L105" i="1" a="1"/>
  <c r="L105" i="1" s="1"/>
  <c r="L66" i="1" a="1"/>
  <c r="L66" i="1" s="1"/>
  <c r="L57" i="1" a="1"/>
  <c r="L57" i="1" s="1"/>
  <c r="L103" i="1" a="1"/>
  <c r="L103" i="1" s="1"/>
  <c r="L21" i="1" a="1"/>
  <c r="L21" i="1" s="1"/>
  <c r="L87" i="1" a="1"/>
  <c r="L87" i="1" s="1"/>
  <c r="L18" i="1" a="1"/>
  <c r="L18" i="1" s="1"/>
  <c r="L17" i="1" a="1"/>
  <c r="L17" i="1" s="1"/>
  <c r="L67" i="1" a="1"/>
  <c r="L67" i="1" s="1"/>
  <c r="L33" i="1" a="1"/>
  <c r="L33" i="1" s="1"/>
  <c r="L54" i="1" a="1"/>
  <c r="L54" i="1" s="1"/>
  <c r="L75" i="1" a="1"/>
  <c r="L75" i="1" s="1"/>
  <c r="L99" i="1" a="1"/>
  <c r="L99" i="1" s="1"/>
  <c r="L40" i="1" a="1"/>
  <c r="L40" i="1" s="1"/>
  <c r="L77" i="1" a="1"/>
  <c r="L77" i="1" s="1"/>
  <c r="L82" i="1" a="1"/>
  <c r="L82" i="1" s="1"/>
  <c r="L69" i="1" a="1"/>
  <c r="L69" i="1" s="1"/>
  <c r="L52" i="1" a="1"/>
  <c r="L52" i="1" s="1"/>
  <c r="L61" i="1" a="1"/>
  <c r="L61" i="1" s="1"/>
  <c r="L59" i="1" a="1"/>
  <c r="L59" i="1" s="1"/>
  <c r="L70" i="1" a="1"/>
  <c r="L70" i="1" s="1"/>
  <c r="L63" i="1" a="1"/>
  <c r="L63" i="1" s="1"/>
  <c r="L101" i="1" a="1"/>
  <c r="L101" i="1" s="1"/>
  <c r="L24" i="1" a="1"/>
  <c r="L24" i="1" s="1"/>
  <c r="L39" i="1" a="1"/>
  <c r="L39" i="1" s="1"/>
  <c r="L85" i="1" a="1"/>
  <c r="L85" i="1" s="1"/>
  <c r="L53" i="1" a="1"/>
  <c r="L53" i="1" s="1"/>
  <c r="L35" i="1" a="1"/>
  <c r="L35" i="1" s="1"/>
  <c r="L11" i="1" a="1"/>
  <c r="L11" i="1" s="1"/>
  <c r="L37" i="1" a="1"/>
  <c r="L37" i="1" s="1"/>
  <c r="L74" i="1" a="1"/>
  <c r="L74" i="1" s="1"/>
  <c r="L68" i="1" a="1"/>
  <c r="L68" i="1" s="1"/>
  <c r="L27" i="1" a="1"/>
  <c r="L27" i="1" s="1"/>
  <c r="L47" i="1" a="1"/>
  <c r="L47" i="1" s="1"/>
  <c r="L65" i="1" a="1"/>
  <c r="L65" i="1" s="1"/>
  <c r="L31" i="1" a="1"/>
  <c r="L31" i="1" s="1"/>
  <c r="L80" i="1" a="1"/>
  <c r="L80" i="1" s="1"/>
  <c r="L46" i="1" a="1"/>
  <c r="L46" i="1" s="1"/>
  <c r="L2" i="1" a="1"/>
  <c r="L2" i="1" s="1"/>
  <c r="L12" i="1" a="1"/>
  <c r="L12" i="1" s="1"/>
  <c r="L93" i="1" a="1"/>
  <c r="L93" i="1" s="1"/>
  <c r="L91" i="1" a="1"/>
  <c r="L91" i="1" s="1"/>
  <c r="L56" i="1" a="1"/>
  <c r="L56" i="1" s="1"/>
  <c r="L64" i="1" a="1"/>
  <c r="L64" i="1" s="1"/>
  <c r="L78" i="1" a="1"/>
  <c r="L78" i="1" s="1"/>
  <c r="L13" i="1" a="1"/>
  <c r="L13" i="1" s="1"/>
  <c r="L22" i="1" a="1"/>
  <c r="L22" i="1" s="1"/>
  <c r="L55" i="1" a="1"/>
  <c r="L55" i="1" s="1"/>
  <c r="L62" i="1" a="1"/>
  <c r="L62" i="1" s="1"/>
  <c r="L79" i="1" a="1"/>
  <c r="L79" i="1" s="1"/>
  <c r="L98" i="1" a="1"/>
  <c r="L98" i="1" s="1"/>
  <c r="L41" i="1" a="1"/>
  <c r="L41" i="1" s="1"/>
  <c r="L58" i="1" a="1"/>
  <c r="L58" i="1" s="1"/>
  <c r="L5" i="1" a="1"/>
  <c r="L5" i="1" s="1"/>
  <c r="L96" i="1" a="1"/>
  <c r="L96" i="1" s="1"/>
  <c r="L95" i="1" a="1"/>
  <c r="L95" i="1" s="1"/>
  <c r="B555" i="3" l="1" a="1"/>
  <c r="B555" i="3" s="1"/>
  <c r="A554" i="3" a="1"/>
  <c r="A554" i="3" s="1"/>
  <c r="H9" i="4" a="1"/>
  <c r="H9" i="4" s="1"/>
  <c r="H6" i="4" a="1"/>
  <c r="H6" i="4" s="1"/>
  <c r="H7" i="4" a="1"/>
  <c r="H7" i="4" s="1"/>
  <c r="L2" i="6" a="1"/>
  <c r="L2" i="6" s="1"/>
  <c r="H8" i="4" a="1"/>
  <c r="H8" i="4" s="1"/>
  <c r="I2" i="4" a="1"/>
  <c r="I2" i="4" s="1"/>
  <c r="A555" i="3" l="1" a="1"/>
  <c r="A555" i="3" s="1"/>
  <c r="B556" i="3" a="1"/>
  <c r="B556" i="3" s="1"/>
  <c r="A556" i="3" l="1" a="1"/>
  <c r="A556" i="3" s="1"/>
  <c r="A557" i="3" s="1" a="1"/>
  <c r="A557" i="3" s="1"/>
  <c r="B557" i="3" a="1"/>
  <c r="B557" i="3" s="1"/>
  <c r="A558" i="3" l="1" a="1"/>
  <c r="A558" i="3" s="1"/>
  <c r="B558" i="3" a="1"/>
  <c r="B558" i="3" s="1"/>
  <c r="B559" i="3" s="1" a="1"/>
  <c r="B559" i="3" s="1"/>
  <c r="B560" i="3" l="1" a="1"/>
  <c r="B560" i="3" s="1"/>
  <c r="B561" i="3" s="1" a="1"/>
  <c r="B561" i="3" s="1"/>
  <c r="A559" i="3" a="1"/>
  <c r="A559" i="3" s="1"/>
  <c r="B562" i="3" l="1" a="1"/>
  <c r="B562" i="3" s="1"/>
  <c r="B563" i="3" s="1" a="1"/>
  <c r="B563" i="3" s="1"/>
  <c r="A560" i="3" a="1"/>
  <c r="A560" i="3" s="1"/>
  <c r="B564" i="3" l="1" a="1"/>
  <c r="B564" i="3" s="1"/>
  <c r="A561" i="3" a="1"/>
  <c r="A561" i="3" s="1"/>
  <c r="A562" i="3" l="1" a="1"/>
  <c r="A562" i="3" s="1"/>
  <c r="A563" i="3" s="1" a="1"/>
  <c r="A563" i="3" s="1"/>
  <c r="B565" i="3" a="1"/>
  <c r="B565" i="3" s="1"/>
  <c r="B566" i="3" s="1" a="1"/>
  <c r="B566" i="3" s="1"/>
  <c r="A564" i="3" l="1" a="1"/>
  <c r="A564" i="3" s="1"/>
  <c r="B567" i="3" a="1"/>
  <c r="B567" i="3" s="1"/>
  <c r="B568" i="3" s="1" a="1"/>
  <c r="B568" i="3" s="1"/>
  <c r="B569" i="3" s="1" a="1"/>
  <c r="B569" i="3" s="1"/>
  <c r="B570" i="3" s="1" a="1"/>
  <c r="B570" i="3" s="1"/>
  <c r="B571" i="3" l="1" a="1"/>
  <c r="B571" i="3" s="1"/>
  <c r="A565" i="3" a="1"/>
  <c r="A565" i="3" s="1"/>
  <c r="A566" i="3" s="1" a="1"/>
  <c r="A566" i="3" s="1"/>
  <c r="A567" i="3" l="1" a="1"/>
  <c r="A567" i="3" s="1"/>
  <c r="A568" i="3" s="1" a="1"/>
  <c r="A568" i="3" s="1"/>
  <c r="A569" i="3" s="1" a="1"/>
  <c r="A569" i="3" s="1"/>
  <c r="A570" i="3" s="1" a="1"/>
  <c r="A570" i="3" s="1"/>
  <c r="A571" i="3" l="1" a="1"/>
  <c r="A57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<sst xmlns="http://schemas.openxmlformats.org/spreadsheetml/2006/main" count="6026" uniqueCount="1047">
  <si>
    <t>PO References</t>
  </si>
  <si>
    <t>Supplier Name</t>
  </si>
  <si>
    <t>Old Name</t>
  </si>
  <si>
    <t>Presence check</t>
  </si>
  <si>
    <t>Validate</t>
  </si>
  <si>
    <t>Item Code</t>
  </si>
  <si>
    <t>Item Name</t>
  </si>
  <si>
    <t>Test Qty</t>
  </si>
  <si>
    <t>Qty</t>
  </si>
  <si>
    <t>Difference</t>
  </si>
  <si>
    <t>Unit Fetch</t>
  </si>
  <si>
    <t>Project/Warehouse</t>
  </si>
  <si>
    <t>MRG-LPO-00022, MRG-LPO-00079</t>
  </si>
  <si>
    <t>AJMAN GAS LLC</t>
  </si>
  <si>
    <t>WATERPRROFING GAS 22 KG</t>
  </si>
  <si>
    <t>Match</t>
  </si>
  <si>
    <t>CP-WATERPRROFING_GAS_(22KG)</t>
  </si>
  <si>
    <t>WATERPRROFING GAS (22KG)</t>
  </si>
  <si>
    <t>Nos</t>
  </si>
  <si>
    <t>Stores - MRG</t>
  </si>
  <si>
    <t>PROPANE HIGH PRESSURE REGULATOR WITH GUAGE</t>
  </si>
  <si>
    <t xml:space="preserve">PROPANE HIGH PRESSURE REGULATOR WITH GUAGE </t>
  </si>
  <si>
    <t>MRG-LPO-00610</t>
  </si>
  <si>
    <t>Al Gurg Fosroc LLC</t>
  </si>
  <si>
    <t>NITOCOTE CM210 GREY KIT</t>
  </si>
  <si>
    <t>CP-NITOCOTE_CM210_GREY_(_PART_A_15KG+_PART_B_5KG)</t>
  </si>
  <si>
    <t>NITOCOTE CM210 GREY ( PART A 15KG+ PART B 5KG)</t>
  </si>
  <si>
    <t>MRG-LPO-00133</t>
  </si>
  <si>
    <t>Al Nawras Printing Press Services</t>
  </si>
  <si>
    <t>STICKER 20 X 15 CM</t>
  </si>
  <si>
    <t xml:space="preserve">STICKER 20 X 15 CM </t>
  </si>
  <si>
    <t>STICKER 10 X 5 CM</t>
  </si>
  <si>
    <t xml:space="preserve">STICKER 10 X 5 CM </t>
  </si>
  <si>
    <t>CP-STICKER_10_X_5_CM</t>
  </si>
  <si>
    <t>MRG-LPO-00168</t>
  </si>
  <si>
    <t>AL YASIN EQUIPMENT RENTAL LLC</t>
  </si>
  <si>
    <t>POWER FLOAT</t>
  </si>
  <si>
    <t>HIRE OF POWER FLOAT</t>
  </si>
  <si>
    <t>Day</t>
  </si>
  <si>
    <t>MRG-LPO-00413</t>
  </si>
  <si>
    <t>ANCHOR ALLIED FACTORY L.L.C</t>
  </si>
  <si>
    <t>ASMACO PUF 4040 (220KG) DRUM</t>
  </si>
  <si>
    <t>CP-ASMACO_PUF_4040_(220KG_DRUM)</t>
  </si>
  <si>
    <t>ASMACO PUF 4040 (220KG DRUM)</t>
  </si>
  <si>
    <t>ASMACO PUF MDI (250KG) DRUM</t>
  </si>
  <si>
    <t>CP-ASMACO_PUF_MDI_(250KG_DRUM)</t>
  </si>
  <si>
    <t>ASMACO PUF MDI (250KG DRUM)</t>
  </si>
  <si>
    <t>MRG-LPO-00132-1, MRG-LPO-00211, MRG-LPO-00220, MRG-LPO-00231, MRG-LPO-00232, MRG-LPO-00333, MRG-LPO-00351, MRG-LPO-00522, MRG-LPO-00577, MRG-LPO-00600, MRG-LPO-00615, PUR-ORD-2026-00011</t>
  </si>
  <si>
    <t>AWAZEL INTERNATIONAL CO LLC</t>
  </si>
  <si>
    <t>AWAZEL PU 4045 POLYOL (220KG) DRUM</t>
  </si>
  <si>
    <t>CP-AWAZEL_PU_4045_POLYOL_(220KG_DRUM)</t>
  </si>
  <si>
    <t>AWAZEL PU 4045 POLYOL (220KG DRUM)</t>
  </si>
  <si>
    <t>AWAZEL PU 111 ISOCYNATE (250KG) DRUM</t>
  </si>
  <si>
    <t>CP-AWAZEL_PU_111_ISOCYNATE_(250KG_DRUM)</t>
  </si>
  <si>
    <t>AWAZEL PU 111 ISOCYNATE (250KG DRUM)</t>
  </si>
  <si>
    <t>AWAZEL PU 4048 POLYOL (220KG) DRUM</t>
  </si>
  <si>
    <t>CP-AWAZEL_PU_4048_POLYOL_(220KG_DRUM)</t>
  </si>
  <si>
    <t>AWAZEL PU 4048 POLYOL (220KG DRUM)</t>
  </si>
  <si>
    <t>PY40200L BSP 10 M MEMBRANE SBS MODIFIED 200G</t>
  </si>
  <si>
    <t>CP-PY40200L_BSP_10_M_MEMBRANE_SBS_MODIFIED_200G___(1M*10M_ROLL)</t>
  </si>
  <si>
    <t>PY40200L BSP 10 M MEMBRANE SBS MODIFIED 200G (1M*10M ROLL)</t>
  </si>
  <si>
    <t>MS 60 6mm Protection Board (1x2m)</t>
  </si>
  <si>
    <t>CP-MS_60_6MM_PROTECTION_BOARD_(1M*2M_)</t>
  </si>
  <si>
    <t>MS 60 6MM PROTECTION BOARD (1M*2M )</t>
  </si>
  <si>
    <t>AWAZELBOND BS 1000</t>
  </si>
  <si>
    <t>CP-AWAZELBOND_BS_1000_(1M*10M_ROLL)</t>
  </si>
  <si>
    <t>AWAZELBOND BS 1000 (1M*10M ROLL)</t>
  </si>
  <si>
    <t>PY40L BSP 10 M MEMBRANE SBS MODIFIED POLYES 180G</t>
  </si>
  <si>
    <t>CP-PY40L_BSP_10_M_MEMBRANE_SBS_MODIFIED_POLYES_180G___(1M*10M_ROLL)</t>
  </si>
  <si>
    <t>PY40L BSP 10 M MEMBRANE SBS MODIFIED POLYES 180G (1M*10M ROLL)</t>
  </si>
  <si>
    <t>AWAZEL FABRIC 1M X  50M ROLL</t>
  </si>
  <si>
    <t>CP-AWAZEL_FABRIC_(1M*50M)</t>
  </si>
  <si>
    <t>AWAZEL FABRIC (1M*50M)</t>
  </si>
  <si>
    <t>MRG-LPO-00008, MRG-LPO-00118, MRG-LPO-00314, MRG-LPO-00554-2</t>
  </si>
  <si>
    <t>CORROTECH CONSTRUCTION CHEMICALS  L.L.C</t>
  </si>
  <si>
    <t>CORROPRUFE SBS 4180</t>
  </si>
  <si>
    <t>CP-CORROPRUFE_SBS_4180__(1M*10M_ROLL)</t>
  </si>
  <si>
    <t>CORROPRUFE SBS 4180 (1M*10M ROLL)</t>
  </si>
  <si>
    <t>CORROBOARD 3.2 MM</t>
  </si>
  <si>
    <t>CP-CORROBOARD_3.2_MM__(1M*2M_)</t>
  </si>
  <si>
    <t>CORROBOARD 3.2 MM (1M*2M )</t>
  </si>
  <si>
    <t>D</t>
  </si>
  <si>
    <t>CORROPRIME SB 200LTRS</t>
  </si>
  <si>
    <t>CP-CORROPRIME_SB(200LTR_/DRUM)</t>
  </si>
  <si>
    <t>CORROPRIME SB(200LTR /DRUM)</t>
  </si>
  <si>
    <t>MRG-LPO-00274-1, MRG-LPO-00602</t>
  </si>
  <si>
    <t>Duproof L.L.C</t>
  </si>
  <si>
    <t>DUPRIME 200 LTR DRUM</t>
  </si>
  <si>
    <t xml:space="preserve">DUPRIME 200 LTR DRUM </t>
  </si>
  <si>
    <t>CP-DUPRIME_(200LTR_/DRUM)</t>
  </si>
  <si>
    <t>DUPRIME (200LTR /DRUM)</t>
  </si>
  <si>
    <t>DUPLAST P 270 4MM APP MEMBRANE  1M X 10 MTR ROLL</t>
  </si>
  <si>
    <t>CP-DUPLAST_P_270_4MM_APP_MEMBRANE_(1M*10M_ROLL)</t>
  </si>
  <si>
    <t>DUPLAST P 270 4MM APP MEMBRANE (1M*10M ROLL)</t>
  </si>
  <si>
    <t>DUMASTIC 20 KG</t>
  </si>
  <si>
    <t xml:space="preserve">DUMASTIC 20 KG </t>
  </si>
  <si>
    <t>CP-DUMASTIC_(20KG_PAIL)</t>
  </si>
  <si>
    <t>DUMASTIC (20KG PAIL)</t>
  </si>
  <si>
    <t>DUPLAST P-MEMBRANE 4MM 1M X 10 MTR ROLL</t>
  </si>
  <si>
    <t>CP-DUPLAST_P_MEMBRANE_4MM___(1M*10M_ROLL)</t>
  </si>
  <si>
    <t>DUPLAST P-MEMBRANE 4MM (1M*10M ROLL)</t>
  </si>
  <si>
    <t>MRG-LPO-00045-1</t>
  </si>
  <si>
    <t>GEOBIT INDUSTRIES L.L.C</t>
  </si>
  <si>
    <t>BETOFLEX PU-POLY BETOL 220 KG</t>
  </si>
  <si>
    <t>CP-BETOFLEX_PU_PPLY_BETOL_220KG_DRUM)</t>
  </si>
  <si>
    <t>BETOFLEX PU-PPLY BETOL 220KG DRUM)</t>
  </si>
  <si>
    <t>BETOFLEX PU-ISO BETOL 250 KG</t>
  </si>
  <si>
    <t>CP-BETOFLEX_PU_ISO_BETOL_(250KG_DRUM)</t>
  </si>
  <si>
    <t>BETOFLEX PU-ISO BETOL (250KG DRUM)</t>
  </si>
  <si>
    <t>BETOFLEX 4P</t>
  </si>
  <si>
    <t>CP-BETOFLEX_4P_(1*10_MTR_ROLL)</t>
  </si>
  <si>
    <t>BETOFLEX 4P (1*10 MTR ROLL)</t>
  </si>
  <si>
    <t>MRG-LPO-00197</t>
  </si>
  <si>
    <t>GREEN FUSION COMPUTER TRADING LLC</t>
  </si>
  <si>
    <t>PRINTER</t>
  </si>
  <si>
    <t>CP-LEASE_CHARGES_FOR_PRINTER_(MONTHLY)</t>
  </si>
  <si>
    <t>LEASE CHARGES FOR PRINTER (MONTHLY)</t>
  </si>
  <si>
    <t>MRG-LPO-00056, MRG-LPO-00277, MRG-LPO-00307-1, MRG-LPO-00545, MRG-LPO-00588, PUR-ORD-2026-00018</t>
  </si>
  <si>
    <t>GS ENTERPRISES FZ LLC</t>
  </si>
  <si>
    <t>NW 120 GSM PET -WHITE (3 MTR *100 MTR)</t>
  </si>
  <si>
    <t>CP-NW_120_GSM_PET__WHITE_(3_M_*100_M)</t>
  </si>
  <si>
    <t>NW 120 GSM PET -WHITE (3 M *100 M)</t>
  </si>
  <si>
    <t>NW 250 GSM PET -WHITE (3 MTR *100 MTR)</t>
  </si>
  <si>
    <t>CP-NW_250_GSM_PET__WHITE_(3_M_*100_M)</t>
  </si>
  <si>
    <t>NW 250 GSM PET -WHITE (3 M *100 M)</t>
  </si>
  <si>
    <t>MRG-LPO-00017, MRG-LPO-00057</t>
  </si>
  <si>
    <t>HUNTSMAN UAE FZE</t>
  </si>
  <si>
    <t>HUNSTMAN SP 45 (220KG) DRUM</t>
  </si>
  <si>
    <t>CP-HUNTSMAN_SP_45_(220KG_DRUM)</t>
  </si>
  <si>
    <t>HUNTSMAN SP 45 (220KG DRUM)</t>
  </si>
  <si>
    <t>HUNSTMAN 200 (250KG) DRUM</t>
  </si>
  <si>
    <t>CP-HUNTSMAN_200_(250KG_DRUM)</t>
  </si>
  <si>
    <t>HUNTSMAN 200 (250KG DRUM)</t>
  </si>
  <si>
    <t>MRG-LPO-00607</t>
  </si>
  <si>
    <t>IRSHAD KASHIM AND MOHAMMED AMEER STATIONERY  LLC</t>
  </si>
  <si>
    <t>Box File -PVC (Green)</t>
  </si>
  <si>
    <t>CP-BOX_FILE__PVC_(GREEN)</t>
  </si>
  <si>
    <t>BOX FILE -PVC (GREEN)</t>
  </si>
  <si>
    <t>CTN</t>
  </si>
  <si>
    <t>WHITE BOARD MARKER</t>
  </si>
  <si>
    <t xml:space="preserve">WHITE BOARD MARKER </t>
  </si>
  <si>
    <t>CP-WHITE_BOARD__MARKER</t>
  </si>
  <si>
    <t>Highlighter Assorted Color(5 Pcs/Pkt)</t>
  </si>
  <si>
    <t>PKT</t>
  </si>
  <si>
    <t>Stapler</t>
  </si>
  <si>
    <t>STAPLER</t>
  </si>
  <si>
    <t>STAPLER PIN 20 PKT / BOX</t>
  </si>
  <si>
    <t>Box</t>
  </si>
  <si>
    <t>PEN KRISH</t>
  </si>
  <si>
    <t xml:space="preserve">PEN KRISH </t>
  </si>
  <si>
    <t>CP-KRISH_BALL_PEN_RED_(50PCS/PKT)</t>
  </si>
  <si>
    <t>KRISH BALL PEN RED (50PCS/PKT)</t>
  </si>
  <si>
    <t>PAPER CLIP</t>
  </si>
  <si>
    <t xml:space="preserve">PAPER CLIP </t>
  </si>
  <si>
    <t>CP-PAPER_CLIP_233_(10_PKT/BOX)</t>
  </si>
  <si>
    <t>PAPER CLIP 233 (10 PKT/BOX)</t>
  </si>
  <si>
    <t>ERASER</t>
  </si>
  <si>
    <t xml:space="preserve">ERASER </t>
  </si>
  <si>
    <t>Divider 1-12</t>
  </si>
  <si>
    <t>CP-DIVIDER_01___12_(30_SETS/BOX)</t>
  </si>
  <si>
    <t>DIVIDER 01 - 12 (30 SETS/BOX)</t>
  </si>
  <si>
    <t>Divider 1-15</t>
  </si>
  <si>
    <t>CP-DIVIDER_01___15_(25_SETS/BOX)</t>
  </si>
  <si>
    <t>DIVIDER 01 - 15 (25 SETS/BOX)</t>
  </si>
  <si>
    <t>A4 Paper80 GSM (5 Ream/Box) (2500 Sheets)</t>
  </si>
  <si>
    <t>CP-A4_PAPER80_GSM_(5_REAM/BOX)_(2500_SHEETS)</t>
  </si>
  <si>
    <t>A4 PAPER80 GSM (5 REAM/BOX) (2500 SHEETS)</t>
  </si>
  <si>
    <t>PUNCH</t>
  </si>
  <si>
    <t>CLOTH SCISSOR</t>
  </si>
  <si>
    <t>MESH CUTTER SCISSOR 7"</t>
  </si>
  <si>
    <t>Metal Fastner (50pcs/pkt)</t>
  </si>
  <si>
    <t>CP-METAL_FASTNER_(50_PCS/PKT)</t>
  </si>
  <si>
    <t>METAL FASTNER (50 PCS/PKT)</t>
  </si>
  <si>
    <t>PAPER A3</t>
  </si>
  <si>
    <t xml:space="preserve">PAPER A3 </t>
  </si>
  <si>
    <t>CP-PAPER_A3__(5_REAM/BOX)_(2500_SHEETS)</t>
  </si>
  <si>
    <t>PAPER A3 (5 REAM/BOX) (2500 SHEETS)</t>
  </si>
  <si>
    <t>FIS note book / diary A5</t>
  </si>
  <si>
    <t>CP-FIS_NOTE_BOOK_/DIARY_A5</t>
  </si>
  <si>
    <t>FIS NOTE BOOK /DIARY A5</t>
  </si>
  <si>
    <t>MRG-LPO-00343, MRG-LPO-00454-1</t>
  </si>
  <si>
    <t>JANNAT AL FERDOS BUILDING MATERIALS TRADING LLC</t>
  </si>
  <si>
    <t>FIRE BLANKET</t>
  </si>
  <si>
    <t>MRG-LPO-00052, MRG-LPO-00081</t>
  </si>
  <si>
    <t>JK CEMENT WORK  ( FUJAIRAH ) FZC</t>
  </si>
  <si>
    <t>JK PROFIX -WPC 11</t>
  </si>
  <si>
    <t>CP-JK_PROFIX__WPC_11_(_PART_A_20KG+_PART_B_10KG)</t>
  </si>
  <si>
    <t>JK PROFIX -WPC 11 ( PART A 20KG+ PART B 10KG)</t>
  </si>
  <si>
    <t>JK PROFIX PU SPRAY 45-A (220KG/DRUM)</t>
  </si>
  <si>
    <t>CP-JK_PROFIX_PU_SPRAY_45_A_(220KG_DRUM)</t>
  </si>
  <si>
    <t>JK PROFIX PU SPRAY 45-A (220KG DRUM)</t>
  </si>
  <si>
    <t>JK PROFIX PU MDI-B (250KG/DRUM)</t>
  </si>
  <si>
    <t>CP-JK_PROFIX_PU_MDI_B_(250KG_DRUM)</t>
  </si>
  <si>
    <t>JK PROFIX PU MDI-B (250KG DRUM)</t>
  </si>
  <si>
    <t>PUR-ORD-2026-00019</t>
  </si>
  <si>
    <t>Kanz Chemical Ind LLC</t>
  </si>
  <si>
    <t>CRESCOAT RBE 10 (200L -CT) (200LTR/DRUM)</t>
  </si>
  <si>
    <t>CP-CRESCOAT_RBE_10__(200LTR_/DRUM)</t>
  </si>
  <si>
    <t>CRESCOAT RBE 10 (200LTR /DRUM)</t>
  </si>
  <si>
    <t>MRG-LPO-00621</t>
  </si>
  <si>
    <t>MMT TRADING LLC</t>
  </si>
  <si>
    <t>CANVAS CLOTH (1 BUNDDLE X 19)</t>
  </si>
  <si>
    <t>CP-CANVAS_CLOTH_(25_PCS_PER_BUNDLE_)</t>
  </si>
  <si>
    <t>CANVAS CLOTH (25 PCS PER BUNDLE )</t>
  </si>
  <si>
    <t>MASKING TAPE 2''</t>
  </si>
  <si>
    <t>CP-MASKING_TAPE_2''X_25_YRD</t>
  </si>
  <si>
    <t>MASKING TAPE 2''X 25 YRD</t>
  </si>
  <si>
    <t xml:space="preserve">POLYTHENE SHEET 100G </t>
  </si>
  <si>
    <t>POLYTHENE SHEET 100G</t>
  </si>
  <si>
    <t>ROLL</t>
  </si>
  <si>
    <t>WELDING APRON</t>
  </si>
  <si>
    <t>SCRAPER 2''</t>
  </si>
  <si>
    <t>SCRAPER 3''</t>
  </si>
  <si>
    <t>SCRAPPER 3</t>
  </si>
  <si>
    <t>BAKING ROD 20MM</t>
  </si>
  <si>
    <t>CP-BAKING_ROD_20MM__(200_LM_X_20MM)</t>
  </si>
  <si>
    <t>BAKING ROD 20MM (200 LM X 20MM)</t>
  </si>
  <si>
    <t>MRG-LPO-00111-1, MRG-LPO-00450</t>
  </si>
  <si>
    <t>Petrozo Energy L.L.C</t>
  </si>
  <si>
    <t>RHEOSEAL 4S -200 GSM SL APP</t>
  </si>
  <si>
    <t>CP-RHEOSEAL_4S__200_GSM_SL_APP__(1M*10M_ROLL)</t>
  </si>
  <si>
    <t>RHEOSEAL 4S -200 GSM SL APP (1M*10M ROLL)</t>
  </si>
  <si>
    <t xml:space="preserve">RHEOSEAL  SBS 4S 200 -5  </t>
  </si>
  <si>
    <t>CP-RHEOSEAL__SBS_4S_200__5___(_(1M*10M_ROLL)</t>
  </si>
  <si>
    <t>RHEOSEAL  SBS 4S 200 -5   ( (1M*10M ROLL)</t>
  </si>
  <si>
    <t>MRG-LPO-00018</t>
  </si>
  <si>
    <t>Reva International General Trading LLC</t>
  </si>
  <si>
    <t>SIKA TOP 550 SEAL J (FORMERLY KNOWN AS MASTERSEAL 550J LIGHT GREY) (15KG+5KG) SET</t>
  </si>
  <si>
    <t>CP-SIKA_TOP_550_SEAL_J__(_PART_A_15KG+_PART_B_5KG)</t>
  </si>
  <si>
    <t>SIKA TOP 550 SEAL J ( PART A 15KG+ PART B 5KG)</t>
  </si>
  <si>
    <t>PUR-ORD-2026-00013</t>
  </si>
  <si>
    <t>RUKN AL GHUWAIR TRADING</t>
  </si>
  <si>
    <t>PAINT ROLLER 9" WITH REFILL</t>
  </si>
  <si>
    <t>CP-PAINT_ROLLER_WITH__REFILL_9"</t>
  </si>
  <si>
    <t>PAINT ROLLER WITH  REFILL 9"</t>
  </si>
  <si>
    <t>PAINT REFILL 9"</t>
  </si>
  <si>
    <t>MASON TROWEL 6''</t>
  </si>
  <si>
    <t>SAFETY GOGGLES BLACK</t>
  </si>
  <si>
    <t>CP-SAFETY_GOGGLES_BLACK</t>
  </si>
  <si>
    <t>MRG-LPO-00006, MRG-LPO-00023, MRG-LPO-00024, MRG-LPO-00025, MRG-LPO-00044, MRG-LPO-00055, MRG-LPO-00062, MRG-LPO-00080, MRG-LPO-00084-1, MRG-LPO-00089, MRG-LPO-00099, MRG-LPO-00208-1, MRG-LPO-00229, MRG-LPO-00263, MRG-LPO-00287, MRG-LPO-00483, MRG-LPO-00516, MRG-LPO-00536, MRG-LPO-00568, MRG-LPO-00574, MRG-LPO-00575, MRG-LPO-00578, MRG-LPO-00596, MRG-LPO-00623, MRG-LPO-00624, MRG-LPO-00626</t>
  </si>
  <si>
    <t>SHERIDAN SPECIALIZED BUILDING PRODUCTS  L.L.C</t>
  </si>
  <si>
    <t>NEOSEAL FLEX 550 - WHITE (PART A 15KG+ PART B 5KG)</t>
  </si>
  <si>
    <t>NEOSEAL FLEX 550 - WHITE  (PART A 15KG+ PART B 5KG)</t>
  </si>
  <si>
    <t>CP-NEOSEAL_FLEX_550___WHITE__(_PART_A_15KG+_PART_B_5KG)</t>
  </si>
  <si>
    <t>NEOSEAL FLEX 550 - WHITE ( PART A 15KG+ PART B 5KG)</t>
  </si>
  <si>
    <t>NEONATE MDI (250KG) DRUM</t>
  </si>
  <si>
    <t>CP-NEONATE_MDI_(250KG_DRUM)</t>
  </si>
  <si>
    <t>NEONATE MDI (250KG DRUM)</t>
  </si>
  <si>
    <t>NEOPOL SRS 45  (220KG) DRUM</t>
  </si>
  <si>
    <t>CP-NEOPOL_SRS_45__(220KG_DRUM)</t>
  </si>
  <si>
    <t>NEOPOL SRS 45 (220KG DRUM)</t>
  </si>
  <si>
    <t>NEOSULPHIDE SEALANT-GUN GRADE 2.5LTR(PART 4 4KG+PART B 0.250KG)</t>
  </si>
  <si>
    <t>CP-NEOSULPHIDE_SEALANT_GG_PART_A+PART_B__(_2.5LTR/PACK_)</t>
  </si>
  <si>
    <t>NEOSULPHIDE SEALANT GG PART A+PART B ( 2.5LTR/PACK )</t>
  </si>
  <si>
    <t>BITUMEN IMPEREGNATED BOARD 10 MM -CUTTING</t>
  </si>
  <si>
    <t>FILLER BOARD 10MM THICK WITH 7CM CUTTING PCS</t>
  </si>
  <si>
    <t>FILLER BOARD</t>
  </si>
  <si>
    <t>NEOSEAL FLEX 550 -LIGHT GREY (PART A 15KG+PART B 5KG)</t>
  </si>
  <si>
    <t>CP-NEOSEAL_FLEX_550__LIGHT_GREY_(PART_A_15KG+PART_B_5KG)</t>
  </si>
  <si>
    <t>NEOTEX SP-ELASTOMERIC ACRYLIC COATING (20KG/PAIL) LIGHT GREY</t>
  </si>
  <si>
    <t>CP-NEOTEX_SP_LIGHT_GREY_(20KG/PAIL)</t>
  </si>
  <si>
    <t>NEOTEX SP-LIGHT GREY (20KG/PAIL)</t>
  </si>
  <si>
    <t>NEOSEAL WP 509 -BLACK 24 LTR</t>
  </si>
  <si>
    <t>CP-NEOSEAL_WP_509__BLACK_(24LTR_PAIL)</t>
  </si>
  <si>
    <t>NEOSEAL WP 509 -BLACK (24LTR PAIL)</t>
  </si>
  <si>
    <t>NEOSEAL FLEX 588 -GREY (PART A 25KG+PART B 10KG)</t>
  </si>
  <si>
    <t>CP-NEOSEAL_FLEX_588__GREY_(PART_A_25KG+PART_B_10KG)</t>
  </si>
  <si>
    <t>NEOBOND SBR 250</t>
  </si>
  <si>
    <t>CP-NEOBOND_SBR_250_(_20LTR_/_PAIL_)</t>
  </si>
  <si>
    <t>NEOBOND SBR 250 ( 20LTR / PAIL )</t>
  </si>
  <si>
    <t>GEOTEC -120GSM GEOTEXTILE  (3 X 100)300 MÂ²/ ROLL</t>
  </si>
  <si>
    <t>CP-GEOTEC__120_GSM_GEOTEXTILE__(3_M_*100_M)</t>
  </si>
  <si>
    <t>GEOTEC -120 GSM GEOTEXTILE (3 M *100 M)</t>
  </si>
  <si>
    <t>NEOSEAL FLEX 588 -WHITE (PART A 26.25 KG+PART B 8.75 KG)</t>
  </si>
  <si>
    <t>CP-NEOSEAL_FLEX_588__WHITE_(PART_A_26.25_KG+PART_B_8.75_KG)</t>
  </si>
  <si>
    <t>4MM NEOFLEX S4180 180GSM</t>
  </si>
  <si>
    <t>CP-4MM_NEOFLEX_S4180_180GSM_(1M*10M_ROLL)</t>
  </si>
  <si>
    <t>4MM NEOFLEX S4180 180GSM (1M*10M ROLL)</t>
  </si>
  <si>
    <t>PUR-ORD-2025-00015-1</t>
  </si>
  <si>
    <t>SHINGAK PASSENGERS TRANSPORT BY RENTED BUSES LLC</t>
  </si>
  <si>
    <t>66 SEATER BUS WITH DRIVER &amp; FUEL</t>
  </si>
  <si>
    <t>CP-HIRE_66_SEATER_BUS_WITH_DRIVER_WITH_FUEL</t>
  </si>
  <si>
    <t>HIRE 66 SEATER BUS WITH DRIVER WITH FUEL</t>
  </si>
  <si>
    <t>Months</t>
  </si>
  <si>
    <t>MRG-LPO-00014, MRG-LPO-00016, MRG-LPO-00066-1, MRG-LPO-00096, MRG-LPO-00241, MRG-LPO-00276, MRG-LPO-00334, MRG-LPO-00515, MRG-LPO-00582, MRG-LPO-00597, MRG-LPO-00603</t>
  </si>
  <si>
    <t>SIKA UAE LLC</t>
  </si>
  <si>
    <t>SIKA SHIELD E35 PE SA 4MM ROLL 1MX10M</t>
  </si>
  <si>
    <t>CP-SIKA_SHIELD_E35_PE_SA_4MM__(1M*10M_ROLL)</t>
  </si>
  <si>
    <t>SIKA SHIELD E35 PE SA 4MM (1M*10M ROLL)</t>
  </si>
  <si>
    <t>SIKA SHIELD P26 MG SA 4MM ROLL 1MX10M</t>
  </si>
  <si>
    <t>CP-SIKA_SHIELD_P26_MG_SA_4MM___(1M*10M_ROLL)</t>
  </si>
  <si>
    <t>SIKA SHIELD P26 MG SA 4MM (1M*10M ROLL)</t>
  </si>
  <si>
    <t>SIKALASTIC -152 AE PART A+B SYSTEM CON.33KG</t>
  </si>
  <si>
    <t>CP-SIKALASTIC__152_AE(_PART_A_8KG+_PART_B_25KG)</t>
  </si>
  <si>
    <t>SIKALASTIC -152 AE( PART A 8KG+ PART B 25KG)</t>
  </si>
  <si>
    <t>SIKAFLEX-428 PRECAST CONCRETE GREY</t>
  </si>
  <si>
    <t>CP-SIKAFLEX_428_PRECAST_CONCRETE_GREY_(600_ML_SAUSAGE)</t>
  </si>
  <si>
    <t>SIKAFLEX-428 PRECAST CONCRETE GREY (600 ML SAUSAGE)</t>
  </si>
  <si>
    <t>SIKABIT P -12 AE BITUMENIOUS PRIMER  (180KG) DRUM</t>
  </si>
  <si>
    <t>CP-SIKABIT_P__12_AE_BITUMENIOUS_PRIMER__(200LTR_/DRUM)</t>
  </si>
  <si>
    <t>SIKABIT P -12 AE BITUMENIOUS PRIMER (200LTR /DRUM)</t>
  </si>
  <si>
    <t>SIKALASTIC 311 (AE)</t>
  </si>
  <si>
    <t>CP-SIKALATIC_311__AE_(_20_LTR_PAIL_)</t>
  </si>
  <si>
    <t>SIKALATIC 311- AE ( 20 LTR PAIL )</t>
  </si>
  <si>
    <t>Sikashield E65 PE SA 4mm</t>
  </si>
  <si>
    <t>CP-SIKASHIELD_E65_PE_SA_4MM___(1M*10M_ROLL)</t>
  </si>
  <si>
    <t>Sikashield E65 PE SA 4MM (1M*10M ROLL)</t>
  </si>
  <si>
    <t>MRG-LPO-00153, MRG-LPO-00164-2, MRG-LPO-00353-1, MRG-LPO-00447, MRG-LPO-00448, MRG-LPO-00495</t>
  </si>
  <si>
    <t>SODAMCO S.A.L-Abu Dhabi</t>
  </si>
  <si>
    <t>WEBERDRY 136 FX GREY KIT (22.5KG)</t>
  </si>
  <si>
    <t>CP-WEBERDRY_136_FX_GREY_KIT__(_PART_A_15_KG+_PART_B_7.5_KG)</t>
  </si>
  <si>
    <t>WEBERDRY 136 FX GREY KIT ( PART A 15 KG+ PART B 7.5 KG)</t>
  </si>
  <si>
    <t>WEBERSEAL PS  1000 GG/PG 4 Ltr / PACK</t>
  </si>
  <si>
    <t>CP-WEBERSEAL_PS__1000_GG/PG_(4_LTR/PACK)</t>
  </si>
  <si>
    <t>WEBERSEAL PS 1000 GG/PG (4 Ltr/PACK)</t>
  </si>
  <si>
    <t>PROBOARD BITUMINIOUS PROTECTION BOARD  6MM</t>
  </si>
  <si>
    <t xml:space="preserve"> PROBOARD BITUMINIOUS PROTECTION BOARD  6MM   </t>
  </si>
  <si>
    <t>CP-PROBOARD_BITUMINIOUS_PROTECTION_BOARD__6MM____(1M*2M_)</t>
  </si>
  <si>
    <t>PROBOARD BITUMINIOUS PROTECTION BOARD 6MM (1M*2M )</t>
  </si>
  <si>
    <t>WEBERDRY 116 FX SP WHITE KIT (22.5 KG)</t>
  </si>
  <si>
    <t>WEBERDRY 116 FX SP  WHITE  KIT (22.5 KG)</t>
  </si>
  <si>
    <t>CP-WEBERDRY_116_FX_SP__WHITE___(_PART_A_13.63_KG+_PART_B_4.67_KG)</t>
  </si>
  <si>
    <t>WEBERDRY 116 FX SP WHITE ( PART A 13.63 KG+ PART B 4.67 KG)</t>
  </si>
  <si>
    <t>WEBERDRY 116 FX SP  GREY  KIT (22.5 KG)</t>
  </si>
  <si>
    <t>CP-WEBERDRY_116_FX_SP__GREY____(_PART_A_13.63_KG+_PART_B_4.67_KG)</t>
  </si>
  <si>
    <t>WEBERDRY 116 FX SP GREY ( PART A 13.63 KG+ PART B 4.67 KG)</t>
  </si>
  <si>
    <t>WEBERDRY 116 FX WHITE KIT (18 KG)</t>
  </si>
  <si>
    <t>WEBERDRY 116 FX WHITE  KIT (18 KG)</t>
  </si>
  <si>
    <t>CP-WEBERDRY_116_FX_WHITE__(_PART_A_13.63_KG+_PART_B_4.67_KG)</t>
  </si>
  <si>
    <t>WEBERDRY 116 FX WHITE ( PART A 13.63 KG+ PART B 4.67 KG)</t>
  </si>
  <si>
    <t>WEBERDRY 116 FX GREY KIT (18KG)</t>
  </si>
  <si>
    <t>WEBERDRY 116 FX GREY  KIT (18KG)</t>
  </si>
  <si>
    <t>CP-WEBERDRY_116_FX_GREY___18_KG__(_PART_A_13.63_KG+_PART_B_4.67_KG)</t>
  </si>
  <si>
    <t>WEBERDRY 116 FX GREY 18 KG ( PART A 13.63 KG+ PART B 4.67 KG)</t>
  </si>
  <si>
    <t>WEBER JOINTSEAL PU 300 WHITE (PC) (20 TUBE X 1 BOX)</t>
  </si>
  <si>
    <t>WEBER JOINTSEAL PU 300 WHITE  (PC) (20 TUBE X 1 BOX)</t>
  </si>
  <si>
    <t>CP-WEBER_JOINTSEAL_PU_300_WHITE__(600_ML_SAUSAGE)</t>
  </si>
  <si>
    <t>WEBER JOINTSEAL PU 300 WHITE (600 ML SAUSAGE)</t>
  </si>
  <si>
    <t>MRG-LPO-00026, MRG-LPO-00027, MRG-LPO-00611</t>
  </si>
  <si>
    <t>SOPREMA FOR MANUFACTURING MATERIALS-SOLE PROPRIETORSHIP LLC</t>
  </si>
  <si>
    <t>COLPHENE BSW H 3.5</t>
  </si>
  <si>
    <t>CP-COLPHENE_BSW_H_3.5__(1*10_MTR_ROLL)</t>
  </si>
  <si>
    <t>COLPHENE BSW H 3.5 (1*10 MTR ROLL)</t>
  </si>
  <si>
    <t>SOPRAMASTIC LM</t>
  </si>
  <si>
    <t xml:space="preserve">SOPRAMASTIC LM </t>
  </si>
  <si>
    <t>CP-SOPRAMASTIC_LM_(20KG_PAIL)</t>
  </si>
  <si>
    <t>SOPRAMASTIC LM (20KG PAIL)</t>
  </si>
  <si>
    <t>SOPRABOARD SF 3MM</t>
  </si>
  <si>
    <t>CP-SOPRABOARD_SF_3.0MM__(1M*2M_)</t>
  </si>
  <si>
    <t>SOPRABOARD SF 3.0MM (1M*2M )</t>
  </si>
  <si>
    <t>COLPHENE SP LAP</t>
  </si>
  <si>
    <t>CP-COLPHENE_SP_LAP__(1M*10M_ROLL)</t>
  </si>
  <si>
    <t>COLPHENE SP LAP (1M*10M ROLL)</t>
  </si>
  <si>
    <t>SOPRADERE HT (200LTR /DRUM)</t>
  </si>
  <si>
    <t>CP-PRIMER__SOPRADERE_HT_(200LTR_/DRUM)</t>
  </si>
  <si>
    <t>PRIMER  SOPRADERE HT (200LTR /DRUM)</t>
  </si>
  <si>
    <t>SOPRALENE FLAM JARDIN 200 4P20</t>
  </si>
  <si>
    <t>CP-SOPRALENE_FLAM_JARDIN_200_4P20___(1M*10M_ROLL)</t>
  </si>
  <si>
    <t>SOPRALENE FLAM JARDIN 200 4P20   (1M*10M ROLL)</t>
  </si>
  <si>
    <t>SOPRALENE FLAME 180 4P10</t>
  </si>
  <si>
    <t>CP-SOPRALENE_FLAME_180_4P10___(1M*10M_ROLL)</t>
  </si>
  <si>
    <t>SOPRALENE FLAME 180 4P10 (1M*10M ROLL)</t>
  </si>
  <si>
    <t>SOPRABOARD SF 3.0MM  (1M*2M )</t>
  </si>
  <si>
    <t>SOPRABOARD SF 6MM (1M*2M )</t>
  </si>
  <si>
    <t>CP-SOPRABOARD_SF_6MM_(1M*2M_)</t>
  </si>
  <si>
    <t>ID</t>
  </si>
  <si>
    <t>Supplier</t>
  </si>
  <si>
    <t>Date</t>
  </si>
  <si>
    <t>Company</t>
  </si>
  <si>
    <t>Currency</t>
  </si>
  <si>
    <t>Exchange Rate</t>
  </si>
  <si>
    <t>Status</t>
  </si>
  <si>
    <t>Amount (Company Currency) (Items)</t>
  </si>
  <si>
    <t>Item Code (Items)</t>
  </si>
  <si>
    <t>Item Name (Items)</t>
  </si>
  <si>
    <t>Quantity (Items)</t>
  </si>
  <si>
    <t>Rate (Company Currency) (Items)</t>
  </si>
  <si>
    <t>Required By (Items)</t>
  </si>
  <si>
    <t>Stock UOM (Items)</t>
  </si>
  <si>
    <t>UOM (Items)</t>
  </si>
  <si>
    <t>UOM Conversion Factor (Items)</t>
  </si>
  <si>
    <t>Received Qty (Items)</t>
  </si>
  <si>
    <t>MRG-LPO-00001</t>
  </si>
  <si>
    <t>AL WARDA AL SHAM WATERPROOFING AND INSULATION LLC</t>
  </si>
  <si>
    <t>M R G INSULATION WORKS L.L.C</t>
  </si>
  <si>
    <t>AED</t>
  </si>
  <si>
    <t>To Receive and Bill</t>
  </si>
  <si>
    <t>WET AREA WATER PROOFING</t>
  </si>
  <si>
    <t>M2</t>
  </si>
  <si>
    <t>MRG-LPO-00034</t>
  </si>
  <si>
    <t>MAPLE STAR COMPUTERS   L.L.C</t>
  </si>
  <si>
    <t>USED IMAC CORE I5 8 GB RAM 256GB  21'' MID 2014</t>
  </si>
  <si>
    <t>MRG-LPO-00052</t>
  </si>
  <si>
    <t>Draft</t>
  </si>
  <si>
    <t>KIT</t>
  </si>
  <si>
    <t>MRG-LPO-00055</t>
  </si>
  <si>
    <t>MRG-LPO-00057</t>
  </si>
  <si>
    <t>HUNTSMAN SP 45 (220KG) DRUM</t>
  </si>
  <si>
    <t>Kg</t>
  </si>
  <si>
    <t>HUNTSMAN 200 (250KG) DRUM</t>
  </si>
  <si>
    <t>MRG-LPO-00060</t>
  </si>
  <si>
    <t>PROTECTION BOARD  (6MMX2MX1M) SHEET</t>
  </si>
  <si>
    <t>SHEET</t>
  </si>
  <si>
    <t>STICKER  30 X  21 CM</t>
  </si>
  <si>
    <t xml:space="preserve">STICKER  30 X  21 CM </t>
  </si>
  <si>
    <t>STICKER 36  X  20 CM</t>
  </si>
  <si>
    <t xml:space="preserve">STICKER 36  X  20 CM </t>
  </si>
  <si>
    <t>MRG-LPO-00153</t>
  </si>
  <si>
    <t>MRG-LPO-00179</t>
  </si>
  <si>
    <t>LEAK PROOF TECHNICAL SERVICES L.L.C</t>
  </si>
  <si>
    <t>Superstructure Waterproofing Works</t>
  </si>
  <si>
    <t>LEASE CHARGES ADVANCE FOR PRINTER</t>
  </si>
  <si>
    <t>MRG-LPO-00268</t>
  </si>
  <si>
    <t>FATEHVEER TECHNICALSERVICES L.L.C.</t>
  </si>
  <si>
    <t>LIGHTWEIGHT CONCRETE</t>
  </si>
  <si>
    <t>MRG-LPO-00284</t>
  </si>
  <si>
    <t>ZAITOON AL MADINA</t>
  </si>
  <si>
    <t>COMBO ROOFING SYSTEM</t>
  </si>
  <si>
    <t xml:space="preserve">COMBO ROOFING SYSTEM </t>
  </si>
  <si>
    <t>MRG-LPO-00289</t>
  </si>
  <si>
    <t>MOTOR LAND GARAGE</t>
  </si>
  <si>
    <t>SERVICE CHARGES FOR VEHICLES</t>
  </si>
  <si>
    <t>TRIP</t>
  </si>
  <si>
    <t>MRG-LPO-00336</t>
  </si>
  <si>
    <t>UNIVERSAL WATER ROOFING</t>
  </si>
  <si>
    <t>MRG-LPO-00342</t>
  </si>
  <si>
    <t>MR MD For Project Management Services EST</t>
  </si>
  <si>
    <t>MRG-LPO-00362</t>
  </si>
  <si>
    <t>Alafq Almtqdm Technical Services L.L.C</t>
  </si>
  <si>
    <t>Substructure Waterproofing works</t>
  </si>
  <si>
    <t>MRG-LPO-00374</t>
  </si>
  <si>
    <t>AL IQBAL GRAND INSULATION CONTRACTING</t>
  </si>
  <si>
    <t>MRG-LPO-00375</t>
  </si>
  <si>
    <t>Green Line Insulation Material Fixing</t>
  </si>
  <si>
    <t>MRG-LPO-00405</t>
  </si>
  <si>
    <t>HADI.COM</t>
  </si>
  <si>
    <t>OFFICE AGREEMENT</t>
  </si>
  <si>
    <t xml:space="preserve">OFFICE AGREEMENT </t>
  </si>
  <si>
    <t>LOCATION AMEND</t>
  </si>
  <si>
    <t xml:space="preserve">LOCATION AMEND </t>
  </si>
  <si>
    <t>LICENSE PAYMENT RENEWAL</t>
  </si>
  <si>
    <t>DRUM</t>
  </si>
  <si>
    <t>MRG-LPO-00422</t>
  </si>
  <si>
    <t>MINAHIL FATIMA GENERAL MAINTENCES CONTRACTING</t>
  </si>
  <si>
    <t>LM</t>
  </si>
  <si>
    <t>MRG-LPO-00435</t>
  </si>
  <si>
    <t>L.Z.K INSULATION CONTRACTING CO.L.L.C</t>
  </si>
  <si>
    <t>MRG-LPO-00437</t>
  </si>
  <si>
    <t>AWAZEFOAM CFA 1000</t>
  </si>
  <si>
    <t>MRG-LPO-00447</t>
  </si>
  <si>
    <t>MRG-LPO-00448</t>
  </si>
  <si>
    <t>MRG-LPO-00455</t>
  </si>
  <si>
    <t>JSK &amp; JYMMA</t>
  </si>
  <si>
    <t>To Receive</t>
  </si>
  <si>
    <t>Professional services</t>
  </si>
  <si>
    <t>MRG-LPO-00480</t>
  </si>
  <si>
    <t>ALOSTOOL ALDHAKI BUILDING MAINT.</t>
  </si>
  <si>
    <t>MRG-LPO-00481</t>
  </si>
  <si>
    <t>ASIF SHAFIQUE TECHNICAL SERVICES CO. L.L.C</t>
  </si>
  <si>
    <t>MRG-LPO-00483</t>
  </si>
  <si>
    <t>MRG-LPO-00494</t>
  </si>
  <si>
    <t>STANDLY AIR BLOWER 600W STP 600</t>
  </si>
  <si>
    <t>ANGLR GRINDER 4.5" DWE4212 1200W 220V</t>
  </si>
  <si>
    <t>POWERTREK GROOVE CUTTER 6'' 220 V</t>
  </si>
  <si>
    <t>ANGLE GRINDER 9" DWE492 220V DEWALT</t>
  </si>
  <si>
    <t>STANLEY MUD MIXER</t>
  </si>
  <si>
    <t>MRG-LPO-00495</t>
  </si>
  <si>
    <t>TUBE</t>
  </si>
  <si>
    <t>MRG-LPO-00522</t>
  </si>
  <si>
    <t>MRG-LPO-00524</t>
  </si>
  <si>
    <t>Rukn Al Shahad Technical Services L.L.C</t>
  </si>
  <si>
    <t>MRG-LPO-00531</t>
  </si>
  <si>
    <t>DREAM SCAPE TRANSPORTGENERAL CONTRACTING</t>
  </si>
  <si>
    <t>TRANSPORT CHARGES</t>
  </si>
  <si>
    <t xml:space="preserve">TRANSPORT CHARGES </t>
  </si>
  <si>
    <t>MRG-LPO-00582</t>
  </si>
  <si>
    <t>MRG-LPO-00586</t>
  </si>
  <si>
    <t>MONIR (DUABI)</t>
  </si>
  <si>
    <t>RENTAL HELPER</t>
  </si>
  <si>
    <t>MRG-LPO-00590</t>
  </si>
  <si>
    <t>FALCON TRACKERS</t>
  </si>
  <si>
    <t>Falcon Trackers EZ+ Fleet Monitoring Software</t>
  </si>
  <si>
    <t xml:space="preserve">Falcon Trackers EZ+ Fleet Monitoring Software </t>
  </si>
  <si>
    <t>Post Paid SIM, Etisalat</t>
  </si>
  <si>
    <t>MRG-LPO-00591</t>
  </si>
  <si>
    <t>ZAHOOR AL HIRA TRADING LLC</t>
  </si>
  <si>
    <t>MRG-LPO-00592</t>
  </si>
  <si>
    <t>Falcon Trackers Vehicle Tracking Device</t>
  </si>
  <si>
    <t>GPS Installation Charges</t>
  </si>
  <si>
    <t>National 4G Data Charges by Etisalat, Billed Yearly</t>
  </si>
  <si>
    <t>MRG-LPO-00602</t>
  </si>
  <si>
    <t>PAIL</t>
  </si>
  <si>
    <t>MRG-LPO-00603</t>
  </si>
  <si>
    <t>SIKA TOP - 588 SEAL GREY PART A 25KG/PART B 10 KG</t>
  </si>
  <si>
    <t>Gel pen- blue</t>
  </si>
  <si>
    <t>NITOCOTE CM210 GREY  (15KG+5KG) SET</t>
  </si>
  <si>
    <t>MRG-LPO-00611</t>
  </si>
  <si>
    <t>CP-SOPRADERE_HT_(200LTR_/DRUM)</t>
  </si>
  <si>
    <t>SOPRABOARD SF (3.0MM)</t>
  </si>
  <si>
    <t>MRG-LPO-00612</t>
  </si>
  <si>
    <t>S.R.R. Building Material Trading LLC</t>
  </si>
  <si>
    <t>CP-4MM_BITUBOARD_(1M*2M_)</t>
  </si>
  <si>
    <t>4MM BITUBOARD (1M*2M )</t>
  </si>
  <si>
    <t>MRG-LPO-00613</t>
  </si>
  <si>
    <t>EMIRATES EXTRUDED POLYSTRENE L.L.C</t>
  </si>
  <si>
    <t>EXTRUDED POLYSTRENE 50MM DENSITY 32-35</t>
  </si>
  <si>
    <t>MRG-LPO-00614</t>
  </si>
  <si>
    <t>RHEOBOARD  3.2MM 1X2 MTR</t>
  </si>
  <si>
    <t>MRG-LPO-00615</t>
  </si>
  <si>
    <t>BD</t>
  </si>
  <si>
    <t>MRG-LPO-00617</t>
  </si>
  <si>
    <t>Al Qasar Al Shami Workshop Equipments Trading LLC</t>
  </si>
  <si>
    <t>X-102-lV HYDROPHILIC POLYURETHEN (  4 LTR TIN )</t>
  </si>
  <si>
    <t xml:space="preserve"> X-102-lV HYDROPHILIC POLYURETHEN (  4 LTR TIN )</t>
  </si>
  <si>
    <t>X-103-lV HYDROPHILIC POLYURETHEN  ( 4 LTR  PER PACK  )</t>
  </si>
  <si>
    <t xml:space="preserve"> X-103-lV HYDROPHILIC POLYURETHEN  ( 4 LTR  PER TIN ) </t>
  </si>
  <si>
    <t>ALUMINUM INJ PACKER DOUBLE RUBBER 13X115</t>
  </si>
  <si>
    <t>MRG-LPO-00623</t>
  </si>
  <si>
    <t>MRG-LPO-00624</t>
  </si>
  <si>
    <t>MRG-LPO-00626</t>
  </si>
  <si>
    <t>MRG-LPO-00629</t>
  </si>
  <si>
    <t>RHEOSEAL  SBS 4S 200 -5  1M X  10M ROLL</t>
  </si>
  <si>
    <t>MRG-LPO-00630</t>
  </si>
  <si>
    <t>NW 100 GSM PET -WHITE (3 MTR *100 )</t>
  </si>
  <si>
    <t>MRG-LPO-00631</t>
  </si>
  <si>
    <t>CP-WEBERCOL_PRO_GREY__(25KG/_BAG_)</t>
  </si>
  <si>
    <t>WEBERCOL PRO GREY  (25KG/ BAG )</t>
  </si>
  <si>
    <t>BAGS</t>
  </si>
  <si>
    <t>BETOFLEX BETOTECH MESH  65 GSM 0.8M*100M</t>
  </si>
  <si>
    <t xml:space="preserve">BETOFLEX BETOTECH MESH  65 GSM 0.8M*100M </t>
  </si>
  <si>
    <t>BETOFLEX PU-PPLY BETOL 220 KG</t>
  </si>
  <si>
    <t>MRG-LPO-00356-2</t>
  </si>
  <si>
    <t>ROOFTECH INSULATION CONTRACTING LLC</t>
  </si>
  <si>
    <t>MRG-LPO-00421-2</t>
  </si>
  <si>
    <t>SMART MOVE TECHINCAL SERVICES</t>
  </si>
  <si>
    <t>MRG-LPO-00425-1</t>
  </si>
  <si>
    <t>WEBERAD 225 MB 20 LTR PER PAIL</t>
  </si>
  <si>
    <t xml:space="preserve">WEBERAD 225 MB 20 LTR PER PAIL </t>
  </si>
  <si>
    <t>MRG-LPO-00454-1</t>
  </si>
  <si>
    <t>SAFETY GOGGLES CLEAR</t>
  </si>
  <si>
    <t>MRG-LPO-00583-1</t>
  </si>
  <si>
    <t>ROOFMATE   50MM ( 1.25 X 0.60M ) DENSITY 32-35 KG</t>
  </si>
  <si>
    <t>SKD-LPO-00479-1</t>
  </si>
  <si>
    <t>MONOGUM FLAM 270 4P10 1M X  10M ROLL</t>
  </si>
  <si>
    <t>PLASIFLEX FLAM 180 4F  1M X  10M PER ROLL</t>
  </si>
  <si>
    <t>PUR-ORD-2025-00005</t>
  </si>
  <si>
    <t>PUR-ORD-2025-00006</t>
  </si>
  <si>
    <t>PUR-ORD-2025-00008</t>
  </si>
  <si>
    <t>PUR-ORD-2025-00011</t>
  </si>
  <si>
    <t>PUR-ORD-2025-00013</t>
  </si>
  <si>
    <t>LETTER HEAD KLNNARI OFFWHITE FULL COLOR PRINTING</t>
  </si>
  <si>
    <t>PUR-ORD-2025-00016</t>
  </si>
  <si>
    <t>PUR-ORD-2025-00018</t>
  </si>
  <si>
    <t>THREE STAR EQUIPMET RENTAL  L.L.C</t>
  </si>
  <si>
    <t>PUR-ORD-2025-00020</t>
  </si>
  <si>
    <t>BETOCOAT RBE 10  ( 200 LTR DRUM )</t>
  </si>
  <si>
    <t>Litre</t>
  </si>
  <si>
    <t>PUR-ORD-2025-00021</t>
  </si>
  <si>
    <t>COLOR CODE ADV GIFTS TR L.L.C SP</t>
  </si>
  <si>
    <t>PRINTING OF LETTER HEAD SPECIAL PAPER -PLAIN PAPER</t>
  </si>
  <si>
    <t xml:space="preserve">PRINTING OF LETTER HEAD SPECIAL PAPER -PLAIN PAPER </t>
  </si>
  <si>
    <t>PUR-ORD-2026-00001</t>
  </si>
  <si>
    <t>CRESGEO PET -120 GSM  (3 X 100)300 MÂ²/ ROLL</t>
  </si>
  <si>
    <t>CRESROD -WHITE (200 LM X 20MM)</t>
  </si>
  <si>
    <t>BUNDLE</t>
  </si>
  <si>
    <t>PUR-ORD-2026-00002</t>
  </si>
  <si>
    <t>BITUBOARD 3.2 MM (2M X1M X 3.2MM)</t>
  </si>
  <si>
    <t>POLYPRIME SB BITUMEN PRIMER 200 LTR</t>
  </si>
  <si>
    <t>PUR-ORD-2026-00003</t>
  </si>
  <si>
    <t>SIKA TOP 550 SEAL K (FORMERLY KNOWN AS MASTERSEAL 550K WHITE) (23KG+5KG+18KG)</t>
  </si>
  <si>
    <t>PUR-ORD-2026-00004</t>
  </si>
  <si>
    <t>PUR-ORD-2026-00006</t>
  </si>
  <si>
    <t>Proofex Torchseal 4S 180 ( -20)</t>
  </si>
  <si>
    <t>PUR-ORD-2026-00007</t>
  </si>
  <si>
    <t>CITY RANGERS TRADING  LLC</t>
  </si>
  <si>
    <t>COVERALL PREMIUM COTTON 100% WITH ONE COLOUR PRINTING AS PER SAMPLE</t>
  </si>
  <si>
    <t xml:space="preserve">COVERALL PREMIUM COTTON 100% WITH ONE COLOUR PRINTING AS PER SAMPLE </t>
  </si>
  <si>
    <t>PUR-ORD-2026-00008</t>
  </si>
  <si>
    <t>PUR-ORD-2026-00009</t>
  </si>
  <si>
    <t>PROTECTION BOARD 6MM SIKA P-15</t>
  </si>
  <si>
    <t>PUR-ORD-2026-00010</t>
  </si>
  <si>
    <t>ROYAL TOOLS TRADING  L.L.C</t>
  </si>
  <si>
    <t>TARPAULIN COVER 40' X 40'</t>
  </si>
  <si>
    <t>PCS</t>
  </si>
  <si>
    <t>BINDING WIRE 1.0 KG</t>
  </si>
  <si>
    <t>BINDING WIRE 10 KG</t>
  </si>
  <si>
    <t>G.I WIRE 8 GUAGE</t>
  </si>
  <si>
    <t xml:space="preserve">G.I WIRE 8 GUAGE </t>
  </si>
  <si>
    <t>NYLON ROPE 6MM</t>
  </si>
  <si>
    <t>BAR BENDING KEY 6MM</t>
  </si>
  <si>
    <t>BAR BENDING KEY 6M</t>
  </si>
  <si>
    <t>POLYTHENE SHEET 1000 GUAGE 4M X 25 MTR</t>
  </si>
  <si>
    <t>ALLUMINIUM TAPE 2"</t>
  </si>
  <si>
    <t>PUR-ORD-2026-00011</t>
  </si>
  <si>
    <t>PUR-ORD-2026-00012</t>
  </si>
  <si>
    <t>RUKN AL MAJAJ TRADING</t>
  </si>
  <si>
    <t>HEAVY DUTY METAL SHOE RACK WITH DOOR</t>
  </si>
  <si>
    <t>CLARKE KNIFE BLADE 18MM</t>
  </si>
  <si>
    <t>MASON FLOAT INDIA</t>
  </si>
  <si>
    <t>VAULTEX GUM BOOT STEEL TOE 42</t>
  </si>
  <si>
    <t>PUR-ORD-2026-00015</t>
  </si>
  <si>
    <t>PUR-ORD-2026-00022</t>
  </si>
  <si>
    <t>NEOSEAL FLEX 550 - WHITE  ( PART A 15KG+ PART B 5KG)</t>
  </si>
  <si>
    <t>CP-NEOSULPHIDE_SEALANT_PART_A+PART_B__(_2.5LTR/PACK_)</t>
  </si>
  <si>
    <t>NEOSULPHIDE SEALANT PART A+PART B  ( 2.5LTR/PACK )</t>
  </si>
  <si>
    <t>CP-NEOSULPHIDE_SEALANT_PG_PART_A+PART_B_(4LTR/PACK)</t>
  </si>
  <si>
    <t>NEOSULPHIDE SEALANT-PG PART A+PART B (4LTR/PACK)</t>
  </si>
  <si>
    <t>NEOSEAL FLEX 588 - LIGHT GREY (PART A 25KG+PART B 10KG)</t>
  </si>
  <si>
    <t>CP-NEOTEX_SP_WHITE_(20KG/PAIL)</t>
  </si>
  <si>
    <t>NEOTEX SP-WHITE (20KG/PAIL)</t>
  </si>
  <si>
    <t>CP-GEOTEC__100_GSM_GEOTEXTILE_(3_M_*100_M)</t>
  </si>
  <si>
    <t>GEOTEC -100 GSM GEOTEXTILE (3 M *100 M)</t>
  </si>
  <si>
    <t>PUR-ORD-2026-00024</t>
  </si>
  <si>
    <t>CP-SIKASHIELD_PB_P15_PE_SA_3MM_BOARD_(1M*2M_)</t>
  </si>
  <si>
    <t>SIKASHIELD PB P15 PE SA 3MM BOARD (1M*2M )</t>
  </si>
  <si>
    <t>PUR-ORD-2026-00025</t>
  </si>
  <si>
    <t>CP-SIKA_LGOLFLEX_620_(200LTR_/DRUM)</t>
  </si>
  <si>
    <t>SIKA LGOLFLEX-620 (200LTR /DRUM)</t>
  </si>
  <si>
    <t>PUR-ORD-2026-00026</t>
  </si>
  <si>
    <t>CP-RHEOBOARD_6MM__(1M*2M_)</t>
  </si>
  <si>
    <t>RHEOBOARD 6MM  (1M*2M )</t>
  </si>
  <si>
    <t>PUR-ORD-2026-00027</t>
  </si>
  <si>
    <t>CP-WEBERJOINT_112_BONE_WHITE_(5_KG_/_BAG_)</t>
  </si>
  <si>
    <t>WEBERJOINT 112 BONE WHITE (5 KG / BAG )</t>
  </si>
  <si>
    <t>CP-WEBERJOINT_120_IVORY__(5_KG_/_BAG_)</t>
  </si>
  <si>
    <t>WEBERJOINT 120 IVORY  (5 KG / BAG )</t>
  </si>
  <si>
    <t>PUR-ORD-2026-00028</t>
  </si>
  <si>
    <t>ALRIMH AL THAHABI BUILDING MATERIAL TRADING L.L.C</t>
  </si>
  <si>
    <t>CP-GR_246348_REPAIR_KIT_SIDE_SEAL</t>
  </si>
  <si>
    <t>GR-246348 REPAIR KIT SIDE SEAL</t>
  </si>
  <si>
    <t>GR-246356-FLUID VALVE</t>
  </si>
  <si>
    <t>CP-MC_0130_DPM___20_KG</t>
  </si>
  <si>
    <t>MC-0130 DPM - 20 KG</t>
  </si>
  <si>
    <t>CP-GR_AR6060_MIX_CHAMBER_KIT_ROUND_PATTERN</t>
  </si>
  <si>
    <t>GR-AR6060 MIX CHAMBER KIT ROUND PATTERN</t>
  </si>
  <si>
    <t>CP-GR_246355_COMPLETE_ORING_SET_MC</t>
  </si>
  <si>
    <t>GR-246355 COMPLETE ORING SET MC</t>
  </si>
  <si>
    <t>CP-GR_246349_GUN_REPAIR_KIT_A_SIDE_CARTRIDG</t>
  </si>
  <si>
    <t>GR-246349 GUN REPAIR KIT-A SIDE CARTRIDG</t>
  </si>
  <si>
    <t>CP-GR_246350_GUN_REPAIR_KIT_B_SIDE_CATRIDGE</t>
  </si>
  <si>
    <t>GR-246350 GUN REPAIR KIT-B SIDE CATRIDGE</t>
  </si>
  <si>
    <t>CP-KT_00101_GAMA_TRANSFER_PUMB_KIT</t>
  </si>
  <si>
    <t>KT-00101 GAMA TRANSFER PUMB KIT</t>
  </si>
  <si>
    <t>CP-GR_118665_LUBRICANT_GREASE(WB)</t>
  </si>
  <si>
    <t>GR-118665 LUBRICANT GREASE(WB)</t>
  </si>
  <si>
    <t>CP-GR_248133_CHECK_VALVE_FACE_O_RING</t>
  </si>
  <si>
    <t>GR-248133 CHECK VALVE FACE O RING</t>
  </si>
  <si>
    <t>CP-GR_248128_SIDE_SEAL_ORING</t>
  </si>
  <si>
    <t>GR-248128 SIDE SEAL ORING</t>
  </si>
  <si>
    <t>CP-GR_248129_ORING_KIT_(PACK_OF_6)</t>
  </si>
  <si>
    <t>GR-248129 ORING KIT (PACK OF 6)</t>
  </si>
  <si>
    <t>CP-GR_248130_SEAL_ORING(PACK_OF_6)</t>
  </si>
  <si>
    <t>GR-248130 SEAL ORING(PACK OF 6)</t>
  </si>
  <si>
    <t>CP-MC_0127_DOP_20KG</t>
  </si>
  <si>
    <t>MC-0127 DOP-20KG</t>
  </si>
  <si>
    <t>CP-GR_246357_SCREEN_MESH_40</t>
  </si>
  <si>
    <t>GR-246357 SCREEN MESH 40</t>
  </si>
  <si>
    <t>CP-GR_157630_SPRING_TAPERED</t>
  </si>
  <si>
    <t>GR-157630 SPRING TAPERED</t>
  </si>
  <si>
    <t>CP-GR_246354_GUN_REPAIR_KIT,AIR_VALVE_O_RING</t>
  </si>
  <si>
    <t>GR-246354 GUN REPAIR KIT,AIR VALVE O-RING</t>
  </si>
  <si>
    <t>CP-GR_15B210_FUSION_AIR_CAP_ROUND_TIP</t>
  </si>
  <si>
    <t>GR-15B210 FUSION AIR CAP ROUND TIP</t>
  </si>
  <si>
    <t>CP-MC_0112_SCUFF_JACKET_3"X30_MTR</t>
  </si>
  <si>
    <t>MC-0112 SCUFF JACKET 3"X30 MTR</t>
  </si>
  <si>
    <t>CP-MC_0151_OR__00112_O_RING</t>
  </si>
  <si>
    <t>MC-0151 OR -00112 O-RING</t>
  </si>
  <si>
    <t>PUR-ORD-2026-00029</t>
  </si>
  <si>
    <t>PUR-ORD-2026-00030</t>
  </si>
  <si>
    <t>SIKA SHIELD P26 MG SA 4MM   (1M*10M ROLL)</t>
  </si>
  <si>
    <t>PUR-ORD-2026-00031</t>
  </si>
  <si>
    <t>PUR-ORD-2026-00033</t>
  </si>
  <si>
    <t>RHEOSEAL GARDEN 180 APP (1M*10M ROLL)</t>
  </si>
  <si>
    <t>PUR-ORD-2026-00034</t>
  </si>
  <si>
    <t>PUR-ORD-2026-00035</t>
  </si>
  <si>
    <t>SIKA SHIELD E35 PE SA 4MM  (1M*10M ROLL)</t>
  </si>
  <si>
    <t>PUR-ORD-2026-00036</t>
  </si>
  <si>
    <t>supply and installation of grp ladder for underground water tank</t>
  </si>
  <si>
    <t>PUR-ORD-2026-00037</t>
  </si>
  <si>
    <t>CP-ALUMINIUM__FLASHING_(13CM_X_1MM_X_3_BEND_X_2.44M_LONG_)</t>
  </si>
  <si>
    <t>ALUMINIUM  FLASHING (13CM X 1MM X 3 BEND X 2.44M LONG )</t>
  </si>
  <si>
    <t>PUR-ORD-2026-00038</t>
  </si>
  <si>
    <t>BITUMAT COMPANY LIMITED DUBAI BRANCH</t>
  </si>
  <si>
    <t>CP-BITUTHERM_ND__100MM_(_1.25_X_0.60M_)_DENSITY_32_35_KG</t>
  </si>
  <si>
    <t>BITUTHERM ND  100MM ( 1.25 X 0.60M ) DENSITY 32-35 KG</t>
  </si>
  <si>
    <t>PUR-ORD-2026-00039</t>
  </si>
  <si>
    <t>CP-ROOFMATE___100MM_(_1.25_X_0.60M_)_DENSITY_32_35_KG</t>
  </si>
  <si>
    <t>ROOFMATE   100MM ( 1.25 X 0.60M ) DENSITY 32-35 KG</t>
  </si>
  <si>
    <t>PUR-ORD-2026-00040</t>
  </si>
  <si>
    <t>PAINT BRUSH 4"</t>
  </si>
  <si>
    <t>PUR-ORD-2026-00042</t>
  </si>
  <si>
    <t>PUR-ORD-2026-00043</t>
  </si>
  <si>
    <t>TRANS FAST ENGINEERING LABORATORY</t>
  </si>
  <si>
    <t>CP-TENSILE_STRENGTH_AND_ELONGATION_TEST</t>
  </si>
  <si>
    <t>TENSILE STRENGTH AND ELONGATION TEST</t>
  </si>
  <si>
    <t>CP-LOW_TEMPERATURE_FLEXIBILITY_TEST</t>
  </si>
  <si>
    <t>LOW TEMPERATURE FLEXIBILITY TEST</t>
  </si>
  <si>
    <t>CP-HEAT_RESISTANCE_/_FLOW_RESISTANCE_TEST</t>
  </si>
  <si>
    <t>HEAT RESISTANCE / FLOW RESISTANCE TEST</t>
  </si>
  <si>
    <t>CP-WATER_TIGHTNESS_TEST</t>
  </si>
  <si>
    <t>WATER TIGHTNESS TEST</t>
  </si>
  <si>
    <t>CP-TEAR_RESISTANCE_TEST</t>
  </si>
  <si>
    <t>TEAR RESISTANCE TEST</t>
  </si>
  <si>
    <t>PUR-ORD-2026-00044</t>
  </si>
  <si>
    <t>CP-AWAZEL_PU_670__(20LTR_PAIL)</t>
  </si>
  <si>
    <t>AWAZEL PU 670  (20LTR PAIL)</t>
  </si>
  <si>
    <t>CP-AWAZEL_TEX_120_GSM__(2.9_M*100_M)</t>
  </si>
  <si>
    <t>AWAZEL TEX 120 GSM  (2.9 M*100 M)</t>
  </si>
  <si>
    <t>PUR-ORD-2026-00045</t>
  </si>
  <si>
    <t>PY40L BSP 10 M MEMBRANE SBS MODIFIED POLYES 180G   (1M*10M ROLL)</t>
  </si>
  <si>
    <t>PUR-ORD-2026-00048</t>
  </si>
  <si>
    <t>PUR-ORD-2026-00049</t>
  </si>
  <si>
    <t>CP-APPLICATION_OF_ANGLE_FILLET_WITH_MESH</t>
  </si>
  <si>
    <t>Application of angle fillet with mesh</t>
  </si>
  <si>
    <t>CP-APPLICATION_OF_JOINT_CUTTING_AND_SEALANT</t>
  </si>
  <si>
    <t>Application of joint cutting and sealant</t>
  </si>
  <si>
    <t>CP-APPLICATION_OF_GEOTEXTILE_AND_SLOPING</t>
  </si>
  <si>
    <t>Application of geotextile and sloping</t>
  </si>
  <si>
    <t>CP-APPLICATION_OF_SCREED_AND_FINISHING_(INCLUDING_POWER_FLOAT)</t>
  </si>
  <si>
    <t>Application of screed and finishing (including power float)</t>
  </si>
  <si>
    <t>HIRE 66 SEATER BUS WITH DRIVER &amp; WITH FUEL</t>
  </si>
  <si>
    <t>PUR-ORD-2026-00041-1</t>
  </si>
  <si>
    <t>GEOTEC -120 GSM GEOTEXTILE  (3 M *100 M)</t>
  </si>
  <si>
    <t>PUR-ORD-2026-00046-1</t>
  </si>
  <si>
    <t>CP-BUNK_BED_HEAVY_DUTY_32_TO_33_KG___BROAD_SQUARE_TUBE_SILVER__(SIZE_:_1.90_X_0.9M_)</t>
  </si>
  <si>
    <t>BUNK BED HEAVY DUTY 32 TO 33 KG - BROAD SQUARE TUBE SILVER  (SIZE : 1.90 X 0.9M )</t>
  </si>
  <si>
    <t>CP-VENAZIA_FIBER_PILLOW</t>
  </si>
  <si>
    <t>VENAZIA FIBER PILLOW</t>
  </si>
  <si>
    <t>CP-FULL_MEDICAL_MATTRESS</t>
  </si>
  <si>
    <t>FULL MEDICAL MATTRESS</t>
  </si>
  <si>
    <t>CP-SINGLE_BEDSHEET</t>
  </si>
  <si>
    <t>SINGLE BEDSHEET</t>
  </si>
  <si>
    <t>CP-SINGLE_BLANKET___PREMIUM</t>
  </si>
  <si>
    <t>SINGLE BLANKET - PREMIUM</t>
  </si>
  <si>
    <t>MRG-LPO-00526</t>
  </si>
  <si>
    <t>EXTRUDED INSULATION BOARD 60MM  DENSITY 32-35 KG</t>
  </si>
  <si>
    <t xml:space="preserve">EXTRUDED INSULATION BOARD 60MM  DENSITY 32-35 KG </t>
  </si>
  <si>
    <t>MRG-LPO-00016</t>
  </si>
  <si>
    <t>MRG-LPO-00546-1</t>
  </si>
  <si>
    <t>POLYFLEX MS 270 APP MEMBRTANE  ( 1M X  10M PER ROLL )</t>
  </si>
  <si>
    <t>POLYFLEX GN MINERAL 180 ( 1M X 10M PER ROLL )</t>
  </si>
  <si>
    <t>CONCRETE PRIMER D41 ( 200 LTR PER DRUM )</t>
  </si>
  <si>
    <t xml:space="preserve">CONCRETE PRIMER D41 200 LTR PER DRUM </t>
  </si>
  <si>
    <t>EXTRUDED INSULATION BOARD  70MM ( 1.25 X 0.60M )</t>
  </si>
  <si>
    <t xml:space="preserve">EXTRUDED INSULATION BOARD  70MM ( 1.25 X 0.60M ) DENSITY 32-35 KG </t>
  </si>
  <si>
    <t>PREMIERFLEX 200 AD 270 ( 1M X  10M PER ROLL )</t>
  </si>
  <si>
    <t>SUPERSEAL  ( 200 LTR PER DRUM )</t>
  </si>
  <si>
    <t xml:space="preserve">SUPERSEAL  ( 200 LTR PER DRUM ) </t>
  </si>
  <si>
    <t>MRG-LPO-00353-1</t>
  </si>
  <si>
    <t>WEBERDRY SPF 45W -PART A (250KG) DRUM</t>
  </si>
  <si>
    <t>WEBERDRY SPF 45W -PART B (220KG) DRUM</t>
  </si>
  <si>
    <t>GEOTEXTILE WHITE PP 120  (3 X 100)300 MÂ²/ ROLL</t>
  </si>
  <si>
    <t>MRG-LPO-00006</t>
  </si>
  <si>
    <t>MRG-LPO-00014</t>
  </si>
  <si>
    <t>MRG-LPO-00084-1</t>
  </si>
  <si>
    <t>MRG-LPO-00008</t>
  </si>
  <si>
    <t>PUR-ORD-2025-00017</t>
  </si>
  <si>
    <t>MRG-LPO-00571</t>
  </si>
  <si>
    <t>MRG-LPO-00026</t>
  </si>
  <si>
    <t>COLPHENE BSW SP LAP</t>
  </si>
  <si>
    <t>SOPRAJOINT RIH</t>
  </si>
  <si>
    <t xml:space="preserve">SOPRAJOINT RIH </t>
  </si>
  <si>
    <t>SOPRAJOINT HP</t>
  </si>
  <si>
    <t>ALSAN CAP C</t>
  </si>
  <si>
    <t xml:space="preserve">ALSAN CAP C </t>
  </si>
  <si>
    <t>BAG</t>
  </si>
  <si>
    <t>ALSAN CAP E</t>
  </si>
  <si>
    <t xml:space="preserve">ALSAN CAP E </t>
  </si>
  <si>
    <t>ALSAN FLASHING LM</t>
  </si>
  <si>
    <t xml:space="preserve">ALSAN FLASHING LM </t>
  </si>
  <si>
    <t>POLYFLEECE</t>
  </si>
  <si>
    <t>COLPHANE BSW BASE 4.0</t>
  </si>
  <si>
    <t>MRG-LPO-00578</t>
  </si>
  <si>
    <t>MRG-LPO-00335</t>
  </si>
  <si>
    <t>EXTRUDED POLYSTRENE SHEET 100MM DENSITY 32-35 KG</t>
  </si>
  <si>
    <t xml:space="preserve">EXTRUDED POLYSTRENE SHEET 100MM DENSITY 32-35 KG </t>
  </si>
  <si>
    <t>MRG-LPO-00359-1</t>
  </si>
  <si>
    <t>TILE ADHESIVE</t>
  </si>
  <si>
    <t>MRG-LPO-00220</t>
  </si>
  <si>
    <t>MRG-LPO-00544-2</t>
  </si>
  <si>
    <t>AWAZEL PU 670 20 LTR PAIL</t>
  </si>
  <si>
    <t xml:space="preserve">AWAZEL PU 670 20 LTR PAIL </t>
  </si>
  <si>
    <t>EXTRUDED INSULATION BOARD 75MM (SIZE : 1.25 X  0.60M X 75MM  )</t>
  </si>
  <si>
    <t xml:space="preserve">EXTRUDED INSULATION BOARD 75MM (SIZE : 1.25 X  0.60M X 75MM  ) DENSITY 32-35 KG </t>
  </si>
  <si>
    <t>MRG-LPO-00024</t>
  </si>
  <si>
    <t>MRG-LPO-00132-1</t>
  </si>
  <si>
    <t>MRG-LPO-00554-2</t>
  </si>
  <si>
    <t>PUR-ORD-2025-00007</t>
  </si>
  <si>
    <t>SHAHERA STEEL &amp; WELDING W/SHOP</t>
  </si>
  <si>
    <t>DEEP TRAY FOR DIESEL DRUMS ( 4 DRUMS )</t>
  </si>
  <si>
    <t>DEEP TRAY FOR DIESEL DRUMS</t>
  </si>
  <si>
    <t>DEEP TRAY FOR DIESEL DRUMS ( 2 DRUMS )</t>
  </si>
  <si>
    <t>MRG-LPO-00574</t>
  </si>
  <si>
    <t>MRG-LPO-00500</t>
  </si>
  <si>
    <t>AQUADERE HT 200 LTR PER DRUM</t>
  </si>
  <si>
    <t xml:space="preserve">AQUADERE HT 200 LTR PER DRUM </t>
  </si>
  <si>
    <t>MRG-LPO-00231</t>
  </si>
  <si>
    <t>PUR-ORD-2025-00009</t>
  </si>
  <si>
    <t>MRG-LPO-00129-1</t>
  </si>
  <si>
    <t>AWAZEL TEX 120 GSM (2.9 X 100)290 MÂ²/ ROLL</t>
  </si>
  <si>
    <t>MRG-LPO-00536</t>
  </si>
  <si>
    <t>MRG-LPO-00287</t>
  </si>
  <si>
    <t>MRG-LPO-00027</t>
  </si>
  <si>
    <t>MRG-LPO-00081</t>
  </si>
  <si>
    <t>MRG-LPO-00229</t>
  </si>
  <si>
    <t>MRG-LPO-00334</t>
  </si>
  <si>
    <t>MRG-LPO-00528</t>
  </si>
  <si>
    <t>TARISH ATIQ AL QUBAISI GAS DISTRIBUTION</t>
  </si>
  <si>
    <t>CYLINDER 60 LBS</t>
  </si>
  <si>
    <t>CYLINDER 50 LBS REFILLING</t>
  </si>
  <si>
    <t xml:space="preserve">CYLINDER 50 LBS REFILLING </t>
  </si>
  <si>
    <t>MRG-LPO-00577</t>
  </si>
  <si>
    <t>AWAZEL FABRIC 1MX  50M ROLL</t>
  </si>
  <si>
    <t>MRG-LPO-00276</t>
  </si>
  <si>
    <t>SIKA TOP 550 SEAL K (FORMERLY KNOWN AS MASTERSEAL 550K WHITE) (23KG 5KG+18KG)</t>
  </si>
  <si>
    <t>MRG-LPO-00545</t>
  </si>
  <si>
    <t>MRG-LPO-00572</t>
  </si>
  <si>
    <t>GLOW MIXTURE</t>
  </si>
  <si>
    <t xml:space="preserve">GLOW MIXTURE </t>
  </si>
  <si>
    <t>GRINDER SMALL</t>
  </si>
  <si>
    <t>MRG-LPO-00584</t>
  </si>
  <si>
    <t>BIG JACK HEAVY BIT</t>
  </si>
  <si>
    <t>MRG-LPO-00211</t>
  </si>
  <si>
    <t>MRG-LPO-00314</t>
  </si>
  <si>
    <t>MRG-LPO-00515</t>
  </si>
  <si>
    <t>Set</t>
  </si>
  <si>
    <t>PUR-ORD-2026-00018</t>
  </si>
  <si>
    <t>MRG-LPO-00482</t>
  </si>
  <si>
    <t>DOUBLE BLADE GRINDER</t>
  </si>
  <si>
    <t>MRG-LPO-00288-1</t>
  </si>
  <si>
    <t>GRP WORK</t>
  </si>
  <si>
    <t xml:space="preserve">GRP WORK </t>
  </si>
  <si>
    <t>MRG-LPO-00351</t>
  </si>
  <si>
    <t>MRG-LPO-00389</t>
  </si>
  <si>
    <t>AWAZEL DS 40 250 (High Performance APP modified bituminous membrane, reinforced with Polyester) ,</t>
  </si>
  <si>
    <t>MRG-LPO-00079</t>
  </si>
  <si>
    <t>CYLINDER</t>
  </si>
  <si>
    <t>MRG-LPO-00529</t>
  </si>
  <si>
    <t>MRG-LPO-00596</t>
  </si>
  <si>
    <t>NEOTEX SP-ELASTOMERIC ACRYLIC COATING (20KG/PAIL) WHITE</t>
  </si>
  <si>
    <t>MRG-LPO-00568</t>
  </si>
  <si>
    <t>MRG-LPO-00241</t>
  </si>
  <si>
    <t>MRG-LPO-00368</t>
  </si>
  <si>
    <t>LUBE SERVICE</t>
  </si>
  <si>
    <t>FULL WASHING</t>
  </si>
  <si>
    <t>MRG-LPO-00456</t>
  </si>
  <si>
    <t>MRG-LPO-00020</t>
  </si>
  <si>
    <t>DAMP PC 100 MM (10 LM)</t>
  </si>
  <si>
    <t>DAMP PC 200MM ( 10 MTR PER ROLL )</t>
  </si>
  <si>
    <t>DAMP PC 200MM ( 10 LM )</t>
  </si>
  <si>
    <t>MRG-LPO-00274-1</t>
  </si>
  <si>
    <t>MRG-LPO-00333</t>
  </si>
  <si>
    <t>DIEN 40 4mm SBS Membrane 180gsm 180gsm (1x10)</t>
  </si>
  <si>
    <t>PRIMER D41  (180KG) DRUM</t>
  </si>
  <si>
    <t>MRG-LPO-00307-1</t>
  </si>
  <si>
    <t>MRG-LPO-00341</t>
  </si>
  <si>
    <t>RHEOSEAL SBS 4S 180 ( -5 )</t>
  </si>
  <si>
    <t>RHEOBOARD 6MM</t>
  </si>
  <si>
    <t>MRG-LPO-00476</t>
  </si>
  <si>
    <t>MRG-LPO-00463</t>
  </si>
  <si>
    <t>ENGINE OIL</t>
  </si>
  <si>
    <t>MRG-LPO-00022</t>
  </si>
  <si>
    <t>HIGH PRESSURE REGULATOR</t>
  </si>
  <si>
    <t>FLASH BACK ARRESTOR</t>
  </si>
  <si>
    <t>MRG-LPO-00023</t>
  </si>
  <si>
    <t>NEOFLEX PU 25 LM (POLYURETHENE SEALANT) 600 ML-GREY</t>
  </si>
  <si>
    <t>MRG-LPO-00096</t>
  </si>
  <si>
    <t>3mm protection board</t>
  </si>
  <si>
    <t>SIKA SHIELD E36 PE SA 4MM ROLL 1MX10M</t>
  </si>
  <si>
    <t>SIKA SHIELD E36 PE SA 4MM ROLL</t>
  </si>
  <si>
    <t>MRG-LPO-00281</t>
  </si>
  <si>
    <t>MRG-LPO-00605</t>
  </si>
  <si>
    <t>RHEOBOARD  4MM (1M*2M )-PROTECTION BOARD</t>
  </si>
  <si>
    <t>CP-RHEOPRIME_SB__(200LTR_/DRUM)</t>
  </si>
  <si>
    <t>RHEOPRIME SB  (200LTR /DRUM)</t>
  </si>
  <si>
    <t>MRG-LPO-00277</t>
  </si>
  <si>
    <t>MRG-LPO-00450</t>
  </si>
  <si>
    <t>RHEOPRIME SB  ( 200 LTR DRUM )</t>
  </si>
  <si>
    <t>MRG-LPO-00164-2</t>
  </si>
  <si>
    <t>WEBER DRY PRIMER SB 200 LTR</t>
  </si>
  <si>
    <t xml:space="preserve"> WEBER DRY PRIMER SB 200 LTR  </t>
  </si>
  <si>
    <t>BIFLEX PL 4MM /200 GSM</t>
  </si>
  <si>
    <t>MRG-LPO-00089</t>
  </si>
  <si>
    <t xml:space="preserve">NEOSEAL FLEX 588 </t>
  </si>
  <si>
    <t>NEOBOND SBR 250  ( 20 LTR TIN )</t>
  </si>
  <si>
    <t>NEOGROUT NS 20 KG</t>
  </si>
  <si>
    <t xml:space="preserve">NEOGROUT NS </t>
  </si>
  <si>
    <t>MRG-LPO-00025</t>
  </si>
  <si>
    <t>MRG-LPO-00263</t>
  </si>
  <si>
    <t>BACKING ROD 15MM (360 LM/BAG) SHERIDAN</t>
  </si>
  <si>
    <t>BACKING ROD 20MM (200 LM/BAG) SHERIDAN</t>
  </si>
  <si>
    <t>MRG-LPO-00232</t>
  </si>
  <si>
    <t>PRIMER D41 (16 KG) CAN</t>
  </si>
  <si>
    <t>CAN</t>
  </si>
  <si>
    <t>MRG-LPO-00382-1</t>
  </si>
  <si>
    <t>MRG-LPO-00062</t>
  </si>
  <si>
    <t>MRG-LPO-00118</t>
  </si>
  <si>
    <t>MRG-LPO-00080</t>
  </si>
  <si>
    <t>MRG-LPO-00343</t>
  </si>
  <si>
    <t>HOSE CLIP</t>
  </si>
  <si>
    <t>SPIRIT LEVEL 1.00 MTR</t>
  </si>
  <si>
    <t>LEVEL PIPE 1M</t>
  </si>
  <si>
    <t xml:space="preserve">LEVEL PIPE 1M </t>
  </si>
  <si>
    <t>RAPPING ROLL</t>
  </si>
  <si>
    <t>KNIFE</t>
  </si>
  <si>
    <t>MRG-LPO-00044</t>
  </si>
  <si>
    <t>MRG-LPO-00056</t>
  </si>
  <si>
    <t>MRG-LPO-00066-1</t>
  </si>
  <si>
    <t>SIKALASTIC  -152 AE  PART A+B SYSTEM CON.33KG</t>
  </si>
  <si>
    <t>CAR</t>
  </si>
  <si>
    <t>MRG-LPO-00208-1</t>
  </si>
  <si>
    <t>NEOSULPHIDE SEALANT-PG (4LTR/PACK) PART A+PART B</t>
  </si>
  <si>
    <t>PACK</t>
  </si>
  <si>
    <t>NEOCOAT RBE -4010 (200LTR/DRUM)</t>
  </si>
  <si>
    <t>GEOTEC 250 GSM GEOTEXTILE  (4.5 X 200) 900 MÂ² /ROLL</t>
  </si>
  <si>
    <t>MRG-LPO-00111-1</t>
  </si>
  <si>
    <t>RHEOSEAL RBE350 ( 200 LTR PER DRUM )</t>
  </si>
  <si>
    <t>MRG-LPO-00301</t>
  </si>
  <si>
    <t>MRG-LPO-00017</t>
  </si>
  <si>
    <t>To Bill</t>
  </si>
  <si>
    <t>ULTRALOK HARD 40 (GREY)</t>
  </si>
  <si>
    <t>MRG-LPO-00099</t>
  </si>
  <si>
    <t>MRG-LPO-00110</t>
  </si>
  <si>
    <t>RENTAL LABOR-FAIZ</t>
  </si>
  <si>
    <t>RENTAL MASON</t>
  </si>
  <si>
    <t>MRG-LPO-00516</t>
  </si>
  <si>
    <t>MRG-LPO-00553</t>
  </si>
  <si>
    <t>MRG-LPO-00575</t>
  </si>
  <si>
    <t>MRG-LPO-00588</t>
  </si>
  <si>
    <t>MRG-LPO-00597</t>
  </si>
  <si>
    <t>MRG-LPO-00600</t>
  </si>
  <si>
    <t>MRG-LPO-00641</t>
  </si>
  <si>
    <t>MRG-LPO-00644</t>
  </si>
  <si>
    <t>Dilip Das Technical Services Co</t>
  </si>
  <si>
    <t>MRG-LPO-00645</t>
  </si>
  <si>
    <t>MRG-LPO-00135-2</t>
  </si>
  <si>
    <t>LIFE LINE BUS RENTAL L.L.C</t>
  </si>
  <si>
    <t>RENTAL BUS 34 SEATER</t>
  </si>
  <si>
    <t xml:space="preserve">RENTAL BUS 34 SEATER </t>
  </si>
  <si>
    <t>Item Details</t>
  </si>
  <si>
    <t>Unit Price</t>
  </si>
  <si>
    <t>UOM</t>
  </si>
  <si>
    <t>Unit</t>
  </si>
  <si>
    <t>AWAZEL FABRIC 1M X 50M ROLL</t>
  </si>
  <si>
    <t>CORROTECH CONSTRUCTION CHEMICALS L.L.C</t>
  </si>
  <si>
    <t>DUPLAST P 270 4MM APP MEMBRANE 1M X 10 MTR ROLL</t>
  </si>
  <si>
    <t>IRSHAD KASHIM AND MOHAMMED AMEER STATIONERY LLC</t>
  </si>
  <si>
    <t>JK CEMENT WORK ( FUJAIRAH ) FZC</t>
  </si>
  <si>
    <t>RHEOSEAL SBS 4S 200 -5</t>
  </si>
  <si>
    <t>PAINT REFILL 9</t>
  </si>
  <si>
    <t>SHERIDAN SPECIALIZED BUILDING PRODUCTS L.L.C</t>
  </si>
  <si>
    <t>NEOPOL SRS 45 (220KG) DRUM</t>
  </si>
  <si>
    <t>GEOTEC -120GSM GEOTEXTILE (3 X 100)300 MÂ²/ ROLL</t>
  </si>
  <si>
    <t>SIKABIT P -12 AE BITUMENIOUS PRIMER (180KG) DRUM</t>
  </si>
  <si>
    <t>WEBERSEAL PS 1000 GG/PG 4 Ltr / PACK</t>
  </si>
  <si>
    <t>PROBOARD BITUMINIOUS PROTECTION BOARD 6MM</t>
  </si>
  <si>
    <t>WEBERDRY 116 FX SP GREY KIT (22.5 KG)</t>
  </si>
  <si>
    <t>1</t>
  </si>
  <si>
    <t>150</t>
  </si>
  <si>
    <t>20</t>
  </si>
  <si>
    <t>4</t>
  </si>
  <si>
    <t>30</t>
  </si>
  <si>
    <t>184</t>
  </si>
  <si>
    <t>115</t>
  </si>
  <si>
    <t>50</t>
  </si>
  <si>
    <t>100</t>
  </si>
  <si>
    <t>69</t>
  </si>
  <si>
    <t>3448</t>
  </si>
  <si>
    <t>1012</t>
  </si>
  <si>
    <t>506</t>
  </si>
  <si>
    <t>6400</t>
  </si>
  <si>
    <t>200</t>
  </si>
  <si>
    <t>3</t>
  </si>
  <si>
    <t>46</t>
  </si>
  <si>
    <t>2</t>
  </si>
  <si>
    <t>112</t>
  </si>
  <si>
    <t>460</t>
  </si>
  <si>
    <t>7</t>
  </si>
  <si>
    <t>10</t>
  </si>
  <si>
    <t>2640</t>
  </si>
  <si>
    <t>3000</t>
  </si>
  <si>
    <t>8</t>
  </si>
  <si>
    <t>5</t>
  </si>
  <si>
    <t>35</t>
  </si>
  <si>
    <t>92</t>
  </si>
  <si>
    <t>23</t>
  </si>
  <si>
    <t>500</t>
  </si>
  <si>
    <t>300</t>
  </si>
  <si>
    <t>250</t>
  </si>
  <si>
    <t>325</t>
  </si>
  <si>
    <t>6</t>
  </si>
  <si>
    <t>25</t>
  </si>
  <si>
    <t>45</t>
  </si>
  <si>
    <t>253</t>
  </si>
  <si>
    <t>575</t>
  </si>
  <si>
    <t>64</t>
  </si>
  <si>
    <t>120</t>
  </si>
  <si>
    <t>65</t>
  </si>
  <si>
    <t>600</t>
  </si>
  <si>
    <t>650</t>
  </si>
  <si>
    <t>2000</t>
  </si>
  <si>
    <t>55</t>
  </si>
  <si>
    <t>350</t>
  </si>
  <si>
    <t>235</t>
  </si>
  <si>
    <t>822</t>
  </si>
  <si>
    <t>LPO No</t>
  </si>
  <si>
    <t>MRG-LPO-00132-1, MRG-LPO-00211, MRG-LPO-00232, MRG-LPO-00333, MRG-LPO-00351, MRG-LPO-00522, MRG-LPO-00577</t>
  </si>
  <si>
    <t>MRG-LPO-00211, MRG-LPO-00220, MRG-LPO-00351, MRG-LPO-00615</t>
  </si>
  <si>
    <t>MRG-LPO-00220, MRG-LPO-00231, MRG-LPO-00615, PUR-ORD-2026-00011</t>
  </si>
  <si>
    <t>MRG-LPO-00231, PUR-ORD-2025-00005</t>
  </si>
  <si>
    <t>MRG-LPO-00118, MRG-LPO-00314</t>
  </si>
  <si>
    <t>MRG-LPO-00056, MRG-LPO-00545</t>
  </si>
  <si>
    <t>MRG-LPO-00277, PUR-ORD-2026-00018</t>
  </si>
  <si>
    <t>MRG-LPO-00281, MRG-LPO-00621</t>
  </si>
  <si>
    <t>MRG-LPO-00006, MRG-LPO-00023, MRG-LPO-00024, MRG-LPO-00055, MRG-LPO-00080, MRG-LPO-00089, MRG-LPO-00208-1, MRG-LPO-00287, MRG-LPO-00483, MRG-LPO-00536, MRG-LPO-00596</t>
  </si>
  <si>
    <t>MRG-LPO-00024, MRG-LPO-00025, MRG-LPO-00229, MRG-LPO-00483, MRG-LPO-00536, MRG-LPO-00574, MRG-LPO-00623, PUR-ORD-2026-00022</t>
  </si>
  <si>
    <t>MRG-LPO-00044, MRG-LPO-00062, MRG-LPO-00536, MRG-LPO-00624, PUR-ORD-2026-00022</t>
  </si>
  <si>
    <t>MRG-LPO-00062, MRG-LPO-00084-1, MRG-LPO-00568, MRG-LPO-00626</t>
  </si>
  <si>
    <t>MRG-LPO-00208-1, MRG-LPO-00578, MRG-LPO-00596, PUR-ORD-2025-00017</t>
  </si>
  <si>
    <t>MRG-LPO-00596, PUR-ORD-2026-00015</t>
  </si>
  <si>
    <t>MRG-LPO-00596, PUR-ORD-2025-00009</t>
  </si>
  <si>
    <t>MRG-LPO-00014, MRG-LPO-00016, MRG-LPO-00066-1, MRG-LPO-00241, MRG-LPO-00515, MRG-LPO-00582</t>
  </si>
  <si>
    <t>MRG-LPO-00066-1, MRG-LPO-00241, PUR-ORD-2025-00006</t>
  </si>
  <si>
    <t>MRG-LPO-00111-1, MRG-LPO-00450, MRG-LPO-00629</t>
  </si>
  <si>
    <t>New Item Code</t>
  </si>
  <si>
    <t xml:space="preserve"> New Item Name</t>
  </si>
  <si>
    <t>Item Group</t>
  </si>
  <si>
    <t>WATERPROOFING GASS</t>
  </si>
  <si>
    <t>CEMENTITIOUS COATING</t>
  </si>
  <si>
    <t>PRINTING &amp; STATIONERY</t>
  </si>
  <si>
    <t>EQUIPMENT, TRANSPORT &amp; MACHINERY</t>
  </si>
  <si>
    <t>PU FOAM</t>
  </si>
  <si>
    <t>FABRIC MESH</t>
  </si>
  <si>
    <t>MEMBRANE</t>
  </si>
  <si>
    <t>PROTECTION BOARD</t>
  </si>
  <si>
    <t>BITUMEN</t>
  </si>
  <si>
    <t>SEALANT</t>
  </si>
  <si>
    <t>GEOTEXTILE</t>
  </si>
  <si>
    <t>HARDWARE ITEMS</t>
  </si>
  <si>
    <t>BACKING ROD</t>
  </si>
  <si>
    <t>SAFETY ITEMS</t>
  </si>
  <si>
    <t>BONDING AGENT</t>
  </si>
  <si>
    <t>PU COATING</t>
  </si>
  <si>
    <t>ACRYLIC COATING</t>
  </si>
  <si>
    <t>LPO Date</t>
  </si>
  <si>
    <t>4th September 2025</t>
  </si>
  <si>
    <t>Warehouse/Project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</si>
</sst>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FFFFFF"/>
      <name val="Calibri"/>
      <family val="2"/>
    </font>
    <font>
      <sz val="10"/>
      <name val="Aptos"/>
      <family val="2"/>
    </font>
    <font>
      <b/>
      <sz val="10"/>
      <name val="Aptos"/>
      <family val="2"/>
    </font>
    <font>
      <b/>
      <sz val="11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3" fillId="0" borderId="0" xfId="0" applyFont="1"/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6" fillId="4" borderId="0" xfId="0" applyFont="1" applyFill="1" applyAlignment="1">
      <alignment horizontal="left" vertical="center"/>
    </xf>
    <xf numFmtId="2" fontId="6" fillId="4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/>
    <xf numFmtId="3" fontId="7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/>
    <xf numFmtId="3" fontId="7" fillId="7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left"/>
    </xf>
    <xf numFmtId="2" fontId="7" fillId="7" borderId="2" xfId="0" applyNumberFormat="1" applyFont="1" applyFill="1" applyBorder="1" applyAlignment="1">
      <alignment horizontal="center"/>
    </xf>
    <xf numFmtId="0" fontId="7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2" fontId="9" fillId="5" borderId="0" xfId="0" applyNumberFormat="1" applyFont="1" applyFill="1" applyAlignment="1">
      <alignment horizontal="left" vertical="center"/>
    </xf>
    <xf numFmtId="2" fontId="7" fillId="6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7" fillId="6" borderId="4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2" fontId="7" fillId="6" borderId="2" xfId="0" applyNumberFormat="1" applyFont="1" applyFill="1" applyBorder="1" applyAlignment="1">
      <alignment horizontal="left"/>
    </xf>
    <xf numFmtId="2" fontId="7" fillId="7" borderId="2" xfId="0" applyNumberFormat="1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2" fontId="7" fillId="6" borderId="2" xfId="0" applyNumberFormat="1" applyFont="1" applyFill="1" applyBorder="1" applyAlignment="1">
      <alignment horizontal="left" vertical="center"/>
    </xf>
    <xf numFmtId="2" fontId="7" fillId="7" borderId="2" xfId="0" applyNumberFormat="1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center" wrapText="1"/>
    </xf>
    <xf numFmtId="0" fontId="0" fillId="0" borderId="1" xfId="0" applyBorder="1"/>
    <xf numFmtId="0" fontId="8" fillId="6" borderId="3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2" fontId="7" fillId="6" borderId="3" xfId="0" applyNumberFormat="1" applyFont="1" applyFill="1" applyBorder="1" applyAlignment="1">
      <alignment horizontal="center" vertical="center"/>
    </xf>
    <xf numFmtId="2" fontId="7" fillId="6" borderId="5" xfId="0" applyNumberFormat="1" applyFont="1" applyFill="1" applyBorder="1" applyAlignment="1">
      <alignment horizontal="center" vertical="center"/>
    </xf>
    <xf numFmtId="2" fontId="7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PO%20Shortlist%20-%20MRG%20Pending.xlsx" TargetMode="External"/><Relationship Id="rId2" Type="http://schemas.openxmlformats.org/officeDocument/2006/relationships/externalLinkPath" Target="file:///C:\Users\user\Desktop\Mujib\General%20Works\LPO%20Shortlist%20-%20MRG%20Pending.xlsx" TargetMode="External"/><Relationship Id="rId1" Type="http://schemas.openxmlformats.org/officeDocument/2006/relationships/externalLinkPath" Target="/Users/user/Desktop/Mujib/General%20Works/LPO%20Shortlist%20-%20MRG%20Pen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al - Sort Test"/>
      <sheetName val="MRG LPO'S ( Received Qty )"/>
      <sheetName val="Shortlisted LPO - Backup"/>
      <sheetName val="Final - To Submit"/>
      <sheetName val="Final - Test"/>
      <sheetName val="Sheet4"/>
      <sheetName val="Master Sheet - Test"/>
      <sheetName val="Final"/>
      <sheetName val="Final - 2"/>
      <sheetName val="Supplier PO Addition"/>
      <sheetName val="Shortlisted LPO ( Manual Work )"/>
      <sheetName val="MRG Required LPO's"/>
      <sheetName val="Master Sheet - Validation"/>
      <sheetName val="ITEM_LINKING_FULL_STATUS"/>
      <sheetName val="Sorted List"/>
    </sheetNames>
    <sheetDataSet>
      <sheetData sheetId="0"/>
      <sheetData sheetId="1">
        <row r="1">
          <cell r="J1" t="str">
            <v>Item Name (Items)</v>
          </cell>
        </row>
        <row r="2">
          <cell r="J2" t="str">
            <v>WET AREA WATER PROOFING</v>
          </cell>
        </row>
        <row r="3">
          <cell r="J3" t="str">
            <v>USED IMAC CORE I5 8 GB RAM 256GB  21'' MID 2014</v>
          </cell>
        </row>
        <row r="4">
          <cell r="J4" t="str">
            <v>JK PROFIX -WPC 11</v>
          </cell>
        </row>
        <row r="5">
          <cell r="J5" t="str">
            <v>NEOSEAL FLEX 550 -LIGHT GREY (PART A 15KG+PART B 5KG)</v>
          </cell>
        </row>
        <row r="6">
          <cell r="J6" t="str">
            <v>HUNSTMAN SP 45 (220KG) DRUM</v>
          </cell>
        </row>
        <row r="7">
          <cell r="J7" t="str">
            <v>HUNSTMAN 200 (250KG) DRUM</v>
          </cell>
        </row>
        <row r="8">
          <cell r="J8" t="str">
            <v>PROTECTION BOARD  (6MMX2MX1M) SHEET</v>
          </cell>
        </row>
        <row r="9">
          <cell r="J9" t="str">
            <v xml:space="preserve">STICKER  30 X  21 CM </v>
          </cell>
        </row>
        <row r="10">
          <cell r="J10" t="str">
            <v xml:space="preserve">STICKER 36  X  20 CM </v>
          </cell>
        </row>
        <row r="11">
          <cell r="J11" t="str">
            <v xml:space="preserve">STICKER 20 X 15 CM </v>
          </cell>
        </row>
        <row r="12">
          <cell r="J12" t="str">
            <v xml:space="preserve">STICKER 10 X 5 CM </v>
          </cell>
        </row>
        <row r="13">
          <cell r="J13" t="str">
            <v>WEBERDRY 136 FX GREY KIT (22.5KG)</v>
          </cell>
        </row>
        <row r="14">
          <cell r="J14" t="str">
            <v>WEBERSEAL PS  1000 GG/PG 4 Ltr / PACK</v>
          </cell>
        </row>
        <row r="15">
          <cell r="J15" t="str">
            <v>Superstructure Waterproofing Works</v>
          </cell>
        </row>
        <row r="16">
          <cell r="J16" t="str">
            <v>Superstructure Waterproofing Works</v>
          </cell>
        </row>
        <row r="17">
          <cell r="J17" t="str">
            <v>PRINTER</v>
          </cell>
        </row>
        <row r="18">
          <cell r="J18" t="str">
            <v>PRINTER</v>
          </cell>
        </row>
        <row r="19">
          <cell r="J19" t="str">
            <v>LIGHTWEIGHT CONCRETE</v>
          </cell>
        </row>
        <row r="20">
          <cell r="J20" t="str">
            <v xml:space="preserve">COMBO ROOFING SYSTEM </v>
          </cell>
        </row>
        <row r="21">
          <cell r="J21" t="str">
            <v xml:space="preserve">COMBO ROOFING SYSTEM </v>
          </cell>
        </row>
        <row r="22">
          <cell r="J22" t="str">
            <v xml:space="preserve">COMBO ROOFING SYSTEM </v>
          </cell>
        </row>
        <row r="23">
          <cell r="J23" t="str">
            <v xml:space="preserve">COMBO ROOFING SYSTEM </v>
          </cell>
        </row>
        <row r="24">
          <cell r="J24" t="str">
            <v>SERVICE CHARGES FOR VEHICLES</v>
          </cell>
        </row>
        <row r="25">
          <cell r="J25" t="str">
            <v>LIGHTWEIGHT CONCRETE</v>
          </cell>
        </row>
        <row r="26">
          <cell r="J26" t="str">
            <v xml:space="preserve">COMBO ROOFING SYSTEM </v>
          </cell>
        </row>
        <row r="27">
          <cell r="J27" t="str">
            <v xml:space="preserve">COMBO ROOFING SYSTEM </v>
          </cell>
        </row>
        <row r="28">
          <cell r="J28" t="str">
            <v xml:space="preserve">COMBO ROOFING SYSTEM </v>
          </cell>
        </row>
        <row r="29">
          <cell r="J29" t="str">
            <v xml:space="preserve">COMBO ROOFING SYSTEM </v>
          </cell>
        </row>
        <row r="30">
          <cell r="J30" t="str">
            <v xml:space="preserve">COMBO ROOFING SYSTEM </v>
          </cell>
        </row>
        <row r="31">
          <cell r="J31" t="str">
            <v>Superstructure Waterproofing Works</v>
          </cell>
        </row>
        <row r="32">
          <cell r="J32" t="str">
            <v>Superstructure Waterproofing Works</v>
          </cell>
        </row>
        <row r="33">
          <cell r="J33" t="str">
            <v>Superstructure Waterproofing Works</v>
          </cell>
        </row>
        <row r="34">
          <cell r="J34" t="str">
            <v>Substructure Waterproofing works</v>
          </cell>
        </row>
        <row r="35">
          <cell r="J35" t="str">
            <v>Substructure Waterproofing works</v>
          </cell>
        </row>
        <row r="36">
          <cell r="J36" t="str">
            <v>Substructure Waterproofing works</v>
          </cell>
        </row>
        <row r="37">
          <cell r="J37" t="str">
            <v>LIGHTWEIGHT CONCRETE</v>
          </cell>
        </row>
        <row r="38">
          <cell r="J38" t="str">
            <v xml:space="preserve">COMBO ROOFING SYSTEM </v>
          </cell>
        </row>
        <row r="39">
          <cell r="J39" t="str">
            <v xml:space="preserve">COMBO ROOFING SYSTEM </v>
          </cell>
        </row>
        <row r="40">
          <cell r="J40" t="str">
            <v xml:space="preserve">COMBO ROOFING SYSTEM </v>
          </cell>
        </row>
        <row r="41">
          <cell r="J41" t="str">
            <v xml:space="preserve">COMBO ROOFING SYSTEM </v>
          </cell>
        </row>
        <row r="42">
          <cell r="J42" t="str">
            <v xml:space="preserve">COMBO ROOFING SYSTEM </v>
          </cell>
        </row>
        <row r="43">
          <cell r="J43" t="str">
            <v xml:space="preserve">COMBO ROOFING SYSTEM </v>
          </cell>
        </row>
        <row r="44">
          <cell r="J44" t="str">
            <v xml:space="preserve">COMBO ROOFING SYSTEM </v>
          </cell>
        </row>
        <row r="45">
          <cell r="J45" t="str">
            <v xml:space="preserve">OFFICE AGREEMENT </v>
          </cell>
        </row>
        <row r="46">
          <cell r="J46" t="str">
            <v xml:space="preserve">LOCATION AMEND </v>
          </cell>
        </row>
        <row r="47">
          <cell r="J47" t="str">
            <v>LICENSE PAYMENT RENEWAL</v>
          </cell>
        </row>
        <row r="48">
          <cell r="J48" t="str">
            <v>ASMACO PUF 4040 (220KG) DRUM</v>
          </cell>
        </row>
        <row r="49">
          <cell r="J49" t="str">
            <v>ASMACO PUF MDI (250KG) DRUM</v>
          </cell>
        </row>
        <row r="50">
          <cell r="J50" t="str">
            <v>Superstructure Waterproofing Works</v>
          </cell>
        </row>
        <row r="51">
          <cell r="J51" t="str">
            <v>Superstructure Waterproofing Works</v>
          </cell>
        </row>
        <row r="52">
          <cell r="J52" t="str">
            <v>Superstructure Waterproofing Works</v>
          </cell>
        </row>
        <row r="53">
          <cell r="J53" t="str">
            <v>Superstructure Waterproofing Works</v>
          </cell>
        </row>
        <row r="54">
          <cell r="J54" t="str">
            <v>Superstructure Waterproofing Works</v>
          </cell>
        </row>
        <row r="55">
          <cell r="J55" t="str">
            <v>Superstructure Waterproofing Works</v>
          </cell>
        </row>
        <row r="56">
          <cell r="J56" t="str">
            <v xml:space="preserve">COMBO ROOFING SYSTEM </v>
          </cell>
        </row>
        <row r="57">
          <cell r="J57" t="str">
            <v xml:space="preserve">COMBO ROOFING SYSTEM </v>
          </cell>
        </row>
        <row r="58">
          <cell r="J58" t="str">
            <v xml:space="preserve">COMBO ROOFING SYSTEM </v>
          </cell>
        </row>
        <row r="59">
          <cell r="J59" t="str">
            <v xml:space="preserve">COMBO ROOFING SYSTEM </v>
          </cell>
        </row>
        <row r="60">
          <cell r="J60" t="str">
            <v xml:space="preserve">COMBO ROOFING SYSTEM </v>
          </cell>
        </row>
        <row r="61">
          <cell r="J61" t="str">
            <v xml:space="preserve">COMBO ROOFING SYSTEM </v>
          </cell>
        </row>
        <row r="62">
          <cell r="J62" t="str">
            <v xml:space="preserve">COMBO ROOFING SYSTEM </v>
          </cell>
        </row>
        <row r="63">
          <cell r="J63" t="str">
            <v>AWAZEFOAM CFA 1000</v>
          </cell>
        </row>
        <row r="64">
          <cell r="J64" t="str">
            <v>WEBERDRY 116 FX WHITE  KIT (18 KG)</v>
          </cell>
        </row>
        <row r="65">
          <cell r="J65" t="str">
            <v>WEBERDRY 116 FX GREY  KIT (18KG)</v>
          </cell>
        </row>
        <row r="66">
          <cell r="J66" t="str">
            <v>Professional services</v>
          </cell>
        </row>
        <row r="67">
          <cell r="J67" t="str">
            <v>Superstructure Waterproofing Works</v>
          </cell>
        </row>
        <row r="68">
          <cell r="J68" t="str">
            <v>Superstructure Waterproofing Works</v>
          </cell>
        </row>
        <row r="69">
          <cell r="J69" t="str">
            <v>Superstructure Waterproofing Works</v>
          </cell>
        </row>
        <row r="70">
          <cell r="J70" t="str">
            <v>Superstructure Waterproofing Works</v>
          </cell>
        </row>
        <row r="71">
          <cell r="J71" t="str">
            <v>Superstructure Waterproofing Works</v>
          </cell>
        </row>
        <row r="72">
          <cell r="J72" t="str">
            <v>Superstructure Waterproofing Works</v>
          </cell>
        </row>
        <row r="73">
          <cell r="J73" t="str">
            <v>Superstructure Waterproofing Works</v>
          </cell>
        </row>
        <row r="74">
          <cell r="J74" t="str">
            <v>Superstructure Waterproofing Works</v>
          </cell>
        </row>
        <row r="75">
          <cell r="J75" t="str">
            <v>Superstructure Waterproofing Works</v>
          </cell>
        </row>
        <row r="76">
          <cell r="J76" t="str">
            <v>Superstructure Waterproofing Works</v>
          </cell>
        </row>
        <row r="77">
          <cell r="J77" t="str">
            <v>NEOSEAL FLEX 588 -GREY (PART A 25KG+PART B 10KG)</v>
          </cell>
        </row>
        <row r="78">
          <cell r="J78" t="str">
            <v>STANDLY AIR BLOWER 600W STP 600</v>
          </cell>
        </row>
        <row r="79">
          <cell r="J79" t="str">
            <v>ANGLR GRINDER 4.5" DWE4212 1200W 220V</v>
          </cell>
        </row>
        <row r="80">
          <cell r="J80" t="str">
            <v>POWERTREK GROOVE CUTTER 6'' 220 V</v>
          </cell>
        </row>
        <row r="81">
          <cell r="J81" t="str">
            <v>ANGLE GRINDER 9" DWE492 220V DEWALT</v>
          </cell>
        </row>
        <row r="82">
          <cell r="J82" t="str">
            <v>STANLEY MUD MIXER</v>
          </cell>
        </row>
        <row r="83">
          <cell r="J83" t="str">
            <v>WEBER JOINTSEAL PU 300 WHITE  (PC) (20 TUBE X 1 BOX)</v>
          </cell>
        </row>
        <row r="84">
          <cell r="J84" t="str">
            <v>PY40L BSP 10 M MEMBRANE SBS MODIFIED POLYES 180G</v>
          </cell>
        </row>
        <row r="85">
          <cell r="J85" t="str">
            <v>Superstructure Waterproofing Works</v>
          </cell>
        </row>
        <row r="86">
          <cell r="J86" t="str">
            <v xml:space="preserve">TRANSPORT CHARGES </v>
          </cell>
        </row>
        <row r="87">
          <cell r="J87" t="str">
            <v>Sikashield E65 PE SA 4mm</v>
          </cell>
        </row>
        <row r="88">
          <cell r="J88" t="str">
            <v>RENTAL HELPER</v>
          </cell>
        </row>
        <row r="89">
          <cell r="J89" t="str">
            <v xml:space="preserve">Falcon Trackers EZ+ Fleet Monitoring Software </v>
          </cell>
        </row>
        <row r="90">
          <cell r="J90" t="str">
            <v>Post Paid SIM, Etisalat</v>
          </cell>
        </row>
        <row r="91">
          <cell r="J91" t="str">
            <v xml:space="preserve">Falcon Trackers EZ+ Fleet Monitoring Software </v>
          </cell>
        </row>
        <row r="92">
          <cell r="J92" t="str">
            <v>Post Paid SIM, Etisalat</v>
          </cell>
        </row>
        <row r="93">
          <cell r="J93" t="str">
            <v>Falcon Trackers Vehicle Tracking Device</v>
          </cell>
        </row>
        <row r="94">
          <cell r="J94" t="str">
            <v>GPS Installation Charges</v>
          </cell>
        </row>
        <row r="95">
          <cell r="J95" t="str">
            <v>Post Paid SIM, Etisalat</v>
          </cell>
        </row>
        <row r="96">
          <cell r="J96" t="str">
            <v xml:space="preserve">Falcon Trackers EZ+ Fleet Monitoring Software </v>
          </cell>
        </row>
        <row r="97">
          <cell r="J97" t="str">
            <v>National 4G Data Charges by Etisalat, Billed Yearly</v>
          </cell>
        </row>
        <row r="98">
          <cell r="J98" t="str">
            <v>DUPLAST P 270 4MM APP MEMBRANE  1M X 10 MTR ROLL</v>
          </cell>
        </row>
        <row r="99">
          <cell r="J99" t="str">
            <v xml:space="preserve">DUMASTIC 20 KG </v>
          </cell>
        </row>
        <row r="100">
          <cell r="J100" t="str">
            <v>SIKA TOP - 588 SEAL GREY PART A 25KG/PART B 10 KG</v>
          </cell>
        </row>
        <row r="101">
          <cell r="J101" t="str">
            <v>Box File -PVC (Green)</v>
          </cell>
        </row>
        <row r="102">
          <cell r="J102" t="str">
            <v xml:space="preserve">WHITE BOARD MARKER </v>
          </cell>
        </row>
        <row r="103">
          <cell r="J103" t="str">
            <v>Highlighter Assorted Color(5 Pcs/Pkt)</v>
          </cell>
        </row>
        <row r="104">
          <cell r="J104" t="str">
            <v>STAPLER</v>
          </cell>
        </row>
        <row r="105">
          <cell r="J105" t="str">
            <v xml:space="preserve">PEN KRISH </v>
          </cell>
        </row>
        <row r="106">
          <cell r="J106" t="str">
            <v>Gel pen- blue</v>
          </cell>
        </row>
        <row r="107">
          <cell r="J107" t="str">
            <v xml:space="preserve">PAPER CLIP </v>
          </cell>
        </row>
        <row r="108">
          <cell r="J108" t="str">
            <v xml:space="preserve">PAPER CLIP </v>
          </cell>
        </row>
        <row r="109">
          <cell r="J109" t="str">
            <v xml:space="preserve">ERASER </v>
          </cell>
        </row>
        <row r="110">
          <cell r="J110" t="str">
            <v>Divider 1-12</v>
          </cell>
        </row>
        <row r="111">
          <cell r="J111" t="str">
            <v>Divider 1-15</v>
          </cell>
        </row>
        <row r="112">
          <cell r="J112" t="str">
            <v>A4 Paper80 GSM (5 Ream/Box) (2500 Sheets)</v>
          </cell>
        </row>
        <row r="113">
          <cell r="J113" t="str">
            <v>PUNCH</v>
          </cell>
        </row>
        <row r="114">
          <cell r="J114" t="str">
            <v>CLOTH SCISSOR</v>
          </cell>
        </row>
        <row r="115">
          <cell r="J115" t="str">
            <v>Metal Fastner (50pcs/pkt)</v>
          </cell>
        </row>
        <row r="116">
          <cell r="J116" t="str">
            <v xml:space="preserve">PAPER A3 </v>
          </cell>
        </row>
        <row r="117">
          <cell r="J117" t="str">
            <v>FIS note book / diary A5</v>
          </cell>
        </row>
        <row r="118">
          <cell r="J118" t="str">
            <v>NITOCOTE CM210 GREY KIT</v>
          </cell>
        </row>
        <row r="119">
          <cell r="J119" t="str">
            <v>SOPRADERE HT (200LTR /DRUM)</v>
          </cell>
        </row>
        <row r="120">
          <cell r="J120" t="str">
            <v>SOPRALENE FLAM JARDIN 200 4P20</v>
          </cell>
        </row>
        <row r="121">
          <cell r="J121" t="str">
            <v>SOPRALENE FLAME 180 4P10</v>
          </cell>
        </row>
        <row r="122">
          <cell r="J122" t="str">
            <v>SOPRABOARD SF (3.0MM)</v>
          </cell>
        </row>
        <row r="123">
          <cell r="J123" t="str">
            <v>SOPRABOARD SF 6MM (1M*2M )</v>
          </cell>
        </row>
        <row r="124">
          <cell r="J124" t="str">
            <v>4MM BITUBOARD (1M*2M )</v>
          </cell>
        </row>
        <row r="125">
          <cell r="J125" t="str">
            <v>EXTRUDED POLYSTRENE 50MM DENSITY 32-35</v>
          </cell>
        </row>
        <row r="126">
          <cell r="J126" t="str">
            <v>RHEOBOARD  3.2MM 1X2 MTR</v>
          </cell>
        </row>
        <row r="127">
          <cell r="J127" t="str">
            <v>PY40200L BSP 10 M MEMBRANE SBS MODIFIED 200G</v>
          </cell>
        </row>
        <row r="128">
          <cell r="J128" t="str">
            <v>MS 60 6mm Protection Board (1x2m)</v>
          </cell>
        </row>
        <row r="129">
          <cell r="J129" t="str">
            <v xml:space="preserve"> X-102-lV HYDROPHILIC POLYURETHEN (  4 LTR TIN )</v>
          </cell>
        </row>
        <row r="130">
          <cell r="J130" t="str">
            <v xml:space="preserve"> X-103-lV HYDROPHILIC POLYURETHEN  ( 4 LTR  PER TIN ) </v>
          </cell>
        </row>
        <row r="131">
          <cell r="J131" t="str">
            <v>ALUMINUM INJ PACKER DOUBLE RUBBER 13X115</v>
          </cell>
        </row>
        <row r="132">
          <cell r="J132" t="str">
            <v>MASKING TAPE 2''</v>
          </cell>
        </row>
        <row r="133">
          <cell r="J133" t="str">
            <v xml:space="preserve">POLYTHENE SHEET 100G </v>
          </cell>
        </row>
        <row r="134">
          <cell r="J134" t="str">
            <v>WELDING APRON</v>
          </cell>
        </row>
        <row r="135">
          <cell r="J135" t="str">
            <v>SCRAPER 2''</v>
          </cell>
        </row>
        <row r="136">
          <cell r="J136" t="str">
            <v>SCRAPER 3''</v>
          </cell>
        </row>
        <row r="137">
          <cell r="J137" t="str">
            <v>BAKING ROD 20MM</v>
          </cell>
        </row>
        <row r="138">
          <cell r="J138" t="str">
            <v>NEOSEAL WP 509 -BLACK 24 LTR</v>
          </cell>
        </row>
        <row r="139">
          <cell r="J139" t="str">
            <v>NEOSEAL WP 509 -BLACK 24 LTR</v>
          </cell>
        </row>
        <row r="140">
          <cell r="J140" t="str">
            <v>NEOSEAL WP 509 -BLACK 24 LTR</v>
          </cell>
        </row>
        <row r="141">
          <cell r="J141" t="str">
            <v xml:space="preserve">RHEOSEAL  SBS 4S 200 -5  </v>
          </cell>
        </row>
        <row r="142">
          <cell r="J142" t="str">
            <v>RHEOBOARD  3.2MM 1X2 MTR</v>
          </cell>
        </row>
        <row r="143">
          <cell r="J143" t="str">
            <v>NW 100 GSM PET -WHITE (3 MTR *100 )</v>
          </cell>
        </row>
        <row r="144">
          <cell r="J144" t="str">
            <v>WEBERCOL PRO GREY  (25KG/ BAG )</v>
          </cell>
        </row>
        <row r="145">
          <cell r="J145" t="str">
            <v xml:space="preserve">BETOFLEX BETOTECH MESH  65 GSM 0.8M*100M </v>
          </cell>
        </row>
        <row r="146">
          <cell r="J146" t="str">
            <v>BETOFLEX PU-POLY BETOL 220 KG</v>
          </cell>
        </row>
        <row r="147">
          <cell r="J147" t="str">
            <v>BETOFLEX PU-ISO BETOL 250 KG</v>
          </cell>
        </row>
        <row r="148">
          <cell r="J148" t="str">
            <v>BETOFLEX 4P</v>
          </cell>
        </row>
        <row r="149">
          <cell r="J149" t="str">
            <v xml:space="preserve">COMBO ROOFING SYSTEM </v>
          </cell>
        </row>
        <row r="150">
          <cell r="J150" t="str">
            <v xml:space="preserve">COMBO ROOFING SYSTEM </v>
          </cell>
        </row>
        <row r="151">
          <cell r="J151" t="str">
            <v xml:space="preserve">COMBO ROOFING SYSTEM </v>
          </cell>
        </row>
        <row r="152">
          <cell r="J152" t="str">
            <v xml:space="preserve">COMBO ROOFING SYSTEM </v>
          </cell>
        </row>
        <row r="153">
          <cell r="J153" t="str">
            <v xml:space="preserve">COMBO ROOFING SYSTEM </v>
          </cell>
        </row>
        <row r="154">
          <cell r="J154" t="str">
            <v xml:space="preserve">COMBO ROOFING SYSTEM </v>
          </cell>
        </row>
        <row r="155">
          <cell r="J155" t="str">
            <v xml:space="preserve">COMBO ROOFING SYSTEM </v>
          </cell>
        </row>
        <row r="156">
          <cell r="J156" t="str">
            <v xml:space="preserve">COMBO ROOFING SYSTEM </v>
          </cell>
        </row>
        <row r="157">
          <cell r="J157" t="str">
            <v xml:space="preserve">COMBO ROOFING SYSTEM </v>
          </cell>
        </row>
        <row r="158">
          <cell r="J158" t="str">
            <v>Superstructure Waterproofing Works</v>
          </cell>
        </row>
        <row r="159">
          <cell r="J159" t="str">
            <v>Superstructure Waterproofing Works</v>
          </cell>
        </row>
        <row r="160">
          <cell r="J160" t="str">
            <v>Superstructure Waterproofing Works</v>
          </cell>
        </row>
        <row r="161">
          <cell r="J161" t="str">
            <v>Superstructure Waterproofing Works</v>
          </cell>
        </row>
        <row r="162">
          <cell r="J162" t="str">
            <v>Superstructure Waterproofing Works</v>
          </cell>
        </row>
        <row r="163">
          <cell r="J163" t="str">
            <v xml:space="preserve">WEBERAD 225 MB 20 LTR PER PAIL </v>
          </cell>
        </row>
        <row r="164">
          <cell r="J164" t="str">
            <v>SAFETY GOGGLES CLEAR</v>
          </cell>
        </row>
        <row r="165">
          <cell r="J165" t="str">
            <v>FIRE BLANKET</v>
          </cell>
        </row>
        <row r="166">
          <cell r="J166" t="str">
            <v>PAINT REFILL 9"</v>
          </cell>
        </row>
        <row r="167">
          <cell r="J167" t="str">
            <v>ROOFMATE   50MM ( 1.25 X 0.60M ) DENSITY 32-35 KG</v>
          </cell>
        </row>
        <row r="168">
          <cell r="J168" t="str">
            <v>MONOGUM FLAM 270 4P10 1M X  10M ROLL</v>
          </cell>
        </row>
        <row r="169">
          <cell r="J169" t="str">
            <v>PLASIFLEX FLAM 180 4F  1M X  10M PER ROLL</v>
          </cell>
        </row>
        <row r="170">
          <cell r="J170" t="str">
            <v>PY40200L BSP 10 M MEMBRANE SBS MODIFIED 200G</v>
          </cell>
        </row>
        <row r="171">
          <cell r="J171" t="str">
            <v>SIKABIT P -12 AE BITUMENIOUS PRIMER  (180KG) DRUM</v>
          </cell>
        </row>
        <row r="172">
          <cell r="J172" t="str">
            <v>PY40200L BSP 10 M MEMBRANE SBS MODIFIED 200G</v>
          </cell>
        </row>
        <row r="173">
          <cell r="J173" t="str">
            <v>PROTECTION BOARD  (6MMX2MX1M) SHEET</v>
          </cell>
        </row>
        <row r="174">
          <cell r="J174" t="str">
            <v>LETTER HEAD KLNNARI OFFWHITE FULL COLOR PRINTING</v>
          </cell>
        </row>
        <row r="175">
          <cell r="J175" t="str">
            <v>HIRE OF POWER FLOAT</v>
          </cell>
        </row>
        <row r="176">
          <cell r="J176" t="str">
            <v>HIRE OF POWER FLOAT</v>
          </cell>
        </row>
        <row r="177">
          <cell r="J177" t="str">
            <v>HIRE OF POWER FLOAT</v>
          </cell>
        </row>
        <row r="178">
          <cell r="J178" t="str">
            <v>BETOCOAT RBE 10  ( 200 LTR DRUM )</v>
          </cell>
        </row>
        <row r="179">
          <cell r="J179" t="str">
            <v xml:space="preserve">PRINTING OF LETTER HEAD SPECIAL PAPER -PLAIN PAPER </v>
          </cell>
        </row>
        <row r="180">
          <cell r="J180" t="str">
            <v>CRESGEO PET -120 GSM  (3 X 100)300 MÂ²/ ROLL</v>
          </cell>
        </row>
        <row r="181">
          <cell r="J181" t="str">
            <v>CRESROD -WHITE (200 LM X 20MM)</v>
          </cell>
        </row>
        <row r="182">
          <cell r="J182" t="str">
            <v>BITUBOARD 3.2 MM (2M X1M X 3.2MM)</v>
          </cell>
        </row>
        <row r="183">
          <cell r="J183" t="str">
            <v>POLYPRIME SB BITUMEN PRIMER 200 LTR</v>
          </cell>
        </row>
        <row r="184">
          <cell r="J184" t="str">
            <v>SIKA TOP 550 SEAL K (FORMERLY KNOWN AS MASTERSEAL 550K WHITE) (23KG+5KG+18KG)</v>
          </cell>
        </row>
        <row r="185">
          <cell r="J185" t="str">
            <v>SIKA TOP 550 SEAL J (FORMERLY KNOWN AS MASTERSEAL 550J LIGHT GREY) (15KG+5KG) SET</v>
          </cell>
        </row>
        <row r="186">
          <cell r="J186" t="str">
            <v>Proofex Torchseal 4S 180 ( -20)</v>
          </cell>
        </row>
        <row r="187">
          <cell r="J187" t="str">
            <v xml:space="preserve">COVERALL PREMIUM COTTON 100% WITH ONE COLOUR PRINTING AS PER SAMPLE </v>
          </cell>
        </row>
        <row r="188">
          <cell r="J188" t="str">
            <v>NEOSEAL WP 509 -BLACK 24 LTR</v>
          </cell>
        </row>
        <row r="189">
          <cell r="J189" t="str">
            <v>PROTECTION BOARD 6MM SIKA P-15</v>
          </cell>
        </row>
        <row r="190">
          <cell r="J190" t="str">
            <v>TARPAULIN COVER 40' X 40'</v>
          </cell>
        </row>
        <row r="191">
          <cell r="J191" t="str">
            <v>BINDING WIRE 10 KG</v>
          </cell>
        </row>
        <row r="192">
          <cell r="J192" t="str">
            <v xml:space="preserve">G.I WIRE 8 GUAGE </v>
          </cell>
        </row>
        <row r="193">
          <cell r="J193" t="str">
            <v>NYLON ROPE 6MM</v>
          </cell>
        </row>
        <row r="194">
          <cell r="J194" t="str">
            <v>BAR BENDING KEY 6M</v>
          </cell>
        </row>
        <row r="195">
          <cell r="J195" t="str">
            <v>POLYTHENE SHEET 1000 GUAGE 4M X 25 MTR</v>
          </cell>
        </row>
        <row r="196">
          <cell r="J196" t="str">
            <v>ALLUMINIUM TAPE 2"</v>
          </cell>
        </row>
        <row r="197">
          <cell r="J197" t="str">
            <v>PY40200L BSP 10 M MEMBRANE SBS MODIFIED 200G</v>
          </cell>
        </row>
        <row r="198">
          <cell r="J198" t="str">
            <v>MS 60 6mm Protection Board (1x2m)</v>
          </cell>
        </row>
        <row r="199">
          <cell r="J199" t="str">
            <v>HEAVY DUTY METAL SHOE RACK WITH DOOR</v>
          </cell>
        </row>
        <row r="200">
          <cell r="J200" t="str">
            <v>PAINT ROLLER 9" WITH REFILL</v>
          </cell>
        </row>
        <row r="201">
          <cell r="J201" t="str">
            <v>PAINT REFILL 9"</v>
          </cell>
        </row>
        <row r="202">
          <cell r="J202" t="str">
            <v>CLARKE KNIFE BLADE 18MM</v>
          </cell>
        </row>
        <row r="203">
          <cell r="J203" t="str">
            <v>MASON TROWEL 6''</v>
          </cell>
        </row>
        <row r="204">
          <cell r="J204" t="str">
            <v>MASON FLOAT INDIA</v>
          </cell>
        </row>
        <row r="205">
          <cell r="J205" t="str">
            <v>SAFETY GOGGLES BLACK</v>
          </cell>
        </row>
        <row r="206">
          <cell r="J206" t="str">
            <v>VAULTEX GUM BOOT STEEL TOE 42</v>
          </cell>
        </row>
        <row r="207">
          <cell r="J207" t="str">
            <v>NEOSEAL WP 509 -BLACK 24 LTR</v>
          </cell>
        </row>
        <row r="208">
          <cell r="J208" t="str">
            <v>NEOSEAL FLEX 550 - WHITE  (PART A 15KG+ PART B 5KG)</v>
          </cell>
        </row>
        <row r="209">
          <cell r="J209" t="str">
            <v>CRESCOAT RBE 10 (200L -CT) (200LTR/DRUM)</v>
          </cell>
        </row>
        <row r="210">
          <cell r="J210" t="str">
            <v>NEOSEAL FLEX 550 - WHITE  ( PART A 15KG+ PART B 5KG)</v>
          </cell>
        </row>
        <row r="211">
          <cell r="J211" t="str">
            <v>NEOSULPHIDE SEALANT PART A+PART B  ( 2.5LTR/PACK )</v>
          </cell>
        </row>
        <row r="212">
          <cell r="J212" t="str">
            <v>NEOSULPHIDE SEALANT-PG PART A+PART B (4LTR/PACK)</v>
          </cell>
        </row>
        <row r="213">
          <cell r="J213" t="str">
            <v>NEOSEAL FLEX 588 - LIGHT GREY (PART A 25KG+PART B 10KG)</v>
          </cell>
        </row>
        <row r="214">
          <cell r="J214" t="str">
            <v>NEOSEAL FLEX 588 -WHITE (PART A 26.25 KG+PART B 8.75 KG)</v>
          </cell>
        </row>
        <row r="215">
          <cell r="J215" t="str">
            <v>NEOSEAL FLEX 550 -LIGHT GREY (PART A 15KG+PART B 5KG)</v>
          </cell>
        </row>
        <row r="216">
          <cell r="J216" t="str">
            <v>NEOTEX SP-WHITE (20KG/PAIL)</v>
          </cell>
        </row>
        <row r="217">
          <cell r="J217" t="str">
            <v>NEOSEAL WP 509 -BLACK (24LTR PAIL)</v>
          </cell>
        </row>
        <row r="218">
          <cell r="J218" t="str">
            <v>GEOTEC -100 GSM GEOTEXTILE (3 M *100 M)</v>
          </cell>
        </row>
        <row r="219">
          <cell r="J219" t="str">
            <v>SIKASHIELD PB P15 PE SA 3MM BOARD (1M*2M )</v>
          </cell>
        </row>
        <row r="220">
          <cell r="J220" t="str">
            <v>SIKALASTIC -152 AE( PART A 8KG+ PART B 25KG)</v>
          </cell>
        </row>
        <row r="221">
          <cell r="J221" t="str">
            <v>SIKA LGOLFLEX-620 (200LTR /DRUM)</v>
          </cell>
        </row>
        <row r="222">
          <cell r="J222" t="str">
            <v>RHEOBOARD 6MM  (1M*2M )</v>
          </cell>
        </row>
        <row r="223">
          <cell r="J223" t="str">
            <v>WEBERJOINT 112 BONE WHITE (5 KG / BAG )</v>
          </cell>
        </row>
        <row r="224">
          <cell r="J224" t="str">
            <v>WEBERJOINT 120 IVORY  (5 KG / BAG )</v>
          </cell>
        </row>
        <row r="225">
          <cell r="J225" t="str">
            <v>GR-246348 REPAIR KIT SIDE SEAL</v>
          </cell>
        </row>
        <row r="226">
          <cell r="J226" t="str">
            <v>GR-246356-FLUID VALVE</v>
          </cell>
        </row>
        <row r="227">
          <cell r="J227" t="str">
            <v>MC-0130 DPM - 20 KG</v>
          </cell>
        </row>
        <row r="228">
          <cell r="J228" t="str">
            <v>GR-AR6060 MIX CHAMBER KIT ROUND PATTERN</v>
          </cell>
        </row>
        <row r="229">
          <cell r="J229" t="str">
            <v>GR-246355 COMPLETE ORING SET MC</v>
          </cell>
        </row>
        <row r="230">
          <cell r="J230" t="str">
            <v>GR-246349 GUN REPAIR KIT-A SIDE CARTRIDG</v>
          </cell>
        </row>
        <row r="231">
          <cell r="J231" t="str">
            <v>GR-246350 GUN REPAIR KIT-B SIDE CATRIDGE</v>
          </cell>
        </row>
        <row r="232">
          <cell r="J232" t="str">
            <v>KT-00101 GAMA TRANSFER PUMB KIT</v>
          </cell>
        </row>
        <row r="233">
          <cell r="J233" t="str">
            <v>GR-118665 LUBRICANT GREASE(WB)</v>
          </cell>
        </row>
        <row r="234">
          <cell r="J234" t="str">
            <v>GR-248133 CHECK VALVE FACE O RING</v>
          </cell>
        </row>
        <row r="235">
          <cell r="J235" t="str">
            <v>GR-248128 SIDE SEAL ORING</v>
          </cell>
        </row>
        <row r="236">
          <cell r="J236" t="str">
            <v>GR-248129 ORING KIT (PACK OF 6)</v>
          </cell>
        </row>
        <row r="237">
          <cell r="J237" t="str">
            <v>GR-248130 SEAL ORING(PACK OF 6)</v>
          </cell>
        </row>
        <row r="238">
          <cell r="J238" t="str">
            <v>MC-0127 DOP-20KG</v>
          </cell>
        </row>
        <row r="239">
          <cell r="J239" t="str">
            <v>GR-246357 SCREEN MESH 40</v>
          </cell>
        </row>
        <row r="240">
          <cell r="J240" t="str">
            <v>GR-157630 SPRING TAPERED</v>
          </cell>
        </row>
        <row r="241">
          <cell r="J241" t="str">
            <v>GR-246354 GUN REPAIR KIT,AIR VALVE O-RING</v>
          </cell>
        </row>
        <row r="242">
          <cell r="J242" t="str">
            <v>GR-15B210 FUSION AIR CAP ROUND TIP</v>
          </cell>
        </row>
        <row r="243">
          <cell r="J243" t="str">
            <v>MC-0112 SCUFF JACKET 3"X30 MTR</v>
          </cell>
        </row>
        <row r="244">
          <cell r="J244" t="str">
            <v>MC-0151 OR -00112 O-RING</v>
          </cell>
        </row>
        <row r="245">
          <cell r="J245" t="str">
            <v>JK PROFIX PU MDI-B (250KG DRUM)</v>
          </cell>
        </row>
        <row r="246">
          <cell r="J246" t="str">
            <v>JK PROFIX PU SPRAY 45-A (220KG DRUM)</v>
          </cell>
        </row>
        <row r="247">
          <cell r="J247" t="str">
            <v>SIKA SHIELD P26 MG SA 4MM   (1M*10M ROLL)</v>
          </cell>
        </row>
        <row r="248">
          <cell r="J248" t="str">
            <v>4MM NEOFLEX S4180 180GSM (1M*10M ROLL)</v>
          </cell>
        </row>
        <row r="249">
          <cell r="J249" t="str">
            <v>RHEOSEAL GARDEN 180 APP (1M*10M ROLL)</v>
          </cell>
        </row>
        <row r="250">
          <cell r="J250" t="str">
            <v xml:space="preserve">COVERALL PREMIUM COTTON 100% WITH ONE COLOUR PRINTING AS PER SAMPLE </v>
          </cell>
        </row>
        <row r="251">
          <cell r="J251" t="str">
            <v>SIKA SHIELD E35 PE SA 4MM  (1M*10M ROLL)</v>
          </cell>
        </row>
        <row r="252">
          <cell r="J252" t="str">
            <v>supply and installation of grp ladder for underground water tank</v>
          </cell>
        </row>
        <row r="253">
          <cell r="J253" t="str">
            <v>ALUMINIUM  FLASHING (13CM X 1MM X 3 BEND X 2.44M LONG )</v>
          </cell>
        </row>
        <row r="254">
          <cell r="J254" t="str">
            <v>BITUTHERM ND  100MM ( 1.25 X 0.60M ) DENSITY 32-35 KG</v>
          </cell>
        </row>
        <row r="255">
          <cell r="J255" t="str">
            <v>ROOFMATE   100MM ( 1.25 X 0.60M ) DENSITY 32-35 KG</v>
          </cell>
        </row>
        <row r="256">
          <cell r="J256" t="str">
            <v>PAINT ROLLER WITH  REFILL 9"</v>
          </cell>
        </row>
        <row r="257">
          <cell r="J257" t="str">
            <v>PAINT BRUSH 4"</v>
          </cell>
        </row>
        <row r="258">
          <cell r="J258" t="str">
            <v>JK PROFIX PU MDI-B (250KG DRUM)</v>
          </cell>
        </row>
        <row r="259">
          <cell r="J259" t="str">
            <v>JK PROFIX PU SPRAY 45-A (220KG DRUM)</v>
          </cell>
        </row>
        <row r="260">
          <cell r="J260" t="str">
            <v>TENSILE STRENGTH AND ELONGATION TEST</v>
          </cell>
        </row>
        <row r="261">
          <cell r="J261" t="str">
            <v>LOW TEMPERATURE FLEXIBILITY TEST</v>
          </cell>
        </row>
        <row r="262">
          <cell r="J262" t="str">
            <v>HEAT RESISTANCE / FLOW RESISTANCE TEST</v>
          </cell>
        </row>
        <row r="263">
          <cell r="J263" t="str">
            <v>WATER TIGHTNESS TEST</v>
          </cell>
        </row>
        <row r="264">
          <cell r="J264" t="str">
            <v>TEAR RESISTANCE TEST</v>
          </cell>
        </row>
        <row r="265">
          <cell r="J265" t="str">
            <v>AWAZEL PU 670  (20LTR PAIL)</v>
          </cell>
        </row>
        <row r="266">
          <cell r="J266" t="str">
            <v>AWAZEL TEX 120 GSM  (2.9 M*100 M)</v>
          </cell>
        </row>
        <row r="267">
          <cell r="J267" t="str">
            <v>PY40L BSP 10 M MEMBRANE SBS MODIFIED POLYES 180G   (1M*10M ROLL)</v>
          </cell>
        </row>
        <row r="268">
          <cell r="J268" t="str">
            <v>SIKA SHIELD E35 PE SA 4MM  (1M*10M ROLL)</v>
          </cell>
        </row>
        <row r="269">
          <cell r="J269" t="str">
            <v>Application of angle fillet with mesh</v>
          </cell>
        </row>
        <row r="270">
          <cell r="J270" t="str">
            <v>Application of joint cutting and sealant</v>
          </cell>
        </row>
        <row r="271">
          <cell r="J271" t="str">
            <v>Application of geotextile and sloping</v>
          </cell>
        </row>
        <row r="272">
          <cell r="J272" t="str">
            <v>Application of screed and finishing (including power float)</v>
          </cell>
        </row>
        <row r="273">
          <cell r="J273" t="str">
            <v>66 SEATER BUS WITH DRIVER &amp; FUEL</v>
          </cell>
        </row>
        <row r="274">
          <cell r="J274" t="str">
            <v>NEOTEX SP-LIGHT GREY (20KG/PAIL)</v>
          </cell>
        </row>
        <row r="275">
          <cell r="J275" t="str">
            <v>GEOTEC -120 GSM GEOTEXTILE  (3 M *100 M)</v>
          </cell>
        </row>
        <row r="276">
          <cell r="J276" t="str">
            <v>BUNK BED HEAVY DUTY 32 TO 33 KG - BROAD SQUARE TUBE SILVER  (SIZE : 1.90 X 0.9M )</v>
          </cell>
        </row>
        <row r="277">
          <cell r="J277" t="str">
            <v>VENAZIA FIBER PILLOW</v>
          </cell>
        </row>
        <row r="278">
          <cell r="J278" t="str">
            <v>FULL MEDICAL MATTRESS</v>
          </cell>
        </row>
        <row r="279">
          <cell r="J279" t="str">
            <v>SINGLE BEDSHEET</v>
          </cell>
        </row>
        <row r="280">
          <cell r="J280" t="str">
            <v>SINGLE BLANKET - PREMIUM</v>
          </cell>
        </row>
        <row r="281">
          <cell r="J281" t="str">
            <v>AWAZEFOAM CFA 1000</v>
          </cell>
        </row>
        <row r="282">
          <cell r="J282" t="str">
            <v xml:space="preserve">EXTRUDED INSULATION BOARD 60MM  DENSITY 32-35 KG </v>
          </cell>
        </row>
        <row r="283">
          <cell r="J283" t="str">
            <v>SIKA SHIELD P26 MG SA 4MM ROLL 1MX10M</v>
          </cell>
        </row>
        <row r="284">
          <cell r="J284" t="str">
            <v>POLYFLEX MS 270 APP MEMBRTANE  ( 1M X  10M PER ROLL )</v>
          </cell>
        </row>
        <row r="285">
          <cell r="J285" t="str">
            <v>POLYFLEX GN MINERAL 180 ( 1M X 10M PER ROLL )</v>
          </cell>
        </row>
        <row r="286">
          <cell r="J286" t="str">
            <v xml:space="preserve">CONCRETE PRIMER D41 200 LTR PER DRUM </v>
          </cell>
        </row>
        <row r="287">
          <cell r="J287" t="str">
            <v xml:space="preserve">EXTRUDED INSULATION BOARD 60MM  DENSITY 32-35 KG </v>
          </cell>
        </row>
        <row r="288">
          <cell r="J288" t="str">
            <v xml:space="preserve">EXTRUDED INSULATION BOARD  70MM ( 1.25 X 0.60M ) DENSITY 32-35 KG </v>
          </cell>
        </row>
        <row r="289">
          <cell r="J289" t="str">
            <v>PREMIERFLEX 200 AD 270 ( 1M X  10M PER ROLL )</v>
          </cell>
        </row>
        <row r="290">
          <cell r="J290" t="str">
            <v xml:space="preserve">SUPERSEAL  ( 200 LTR PER DRUM ) </v>
          </cell>
        </row>
        <row r="291">
          <cell r="J291" t="str">
            <v>WEBERDRY 116 FX SP  WHITE  KIT (22.5 KG)</v>
          </cell>
        </row>
        <row r="292">
          <cell r="J292" t="str">
            <v>WEBERDRY 116 FX SP  GREY  KIT (22.5 KG)</v>
          </cell>
        </row>
        <row r="293">
          <cell r="J293" t="str">
            <v>WEBERDRY SPF 45W -PART A (250KG) DRUM</v>
          </cell>
        </row>
        <row r="294">
          <cell r="J294" t="str">
            <v>WEBERDRY SPF 45W -PART B (220KG) DRUM</v>
          </cell>
        </row>
        <row r="295">
          <cell r="J295" t="str">
            <v>GEOTEXTILE WHITE PP 120  (3 X 100)300 MÂ²/ ROLL</v>
          </cell>
        </row>
        <row r="296">
          <cell r="J296" t="str">
            <v>NEOSEAL FLEX 550 - WHITE  (PART A 15KG+ PART B 5KG)</v>
          </cell>
        </row>
        <row r="297">
          <cell r="J297" t="str">
            <v>NEONATE MDI (250KG) DRUM</v>
          </cell>
        </row>
        <row r="298">
          <cell r="J298" t="str">
            <v>NEOPOL SRS 45  (220KG) DRUM</v>
          </cell>
        </row>
        <row r="299">
          <cell r="J299" t="str">
            <v>SIKA SHIELD E35 PE SA 4MM ROLL 1MX10M</v>
          </cell>
        </row>
        <row r="300">
          <cell r="J300" t="str">
            <v>NEONATE MDI (250KG) DRUM</v>
          </cell>
        </row>
        <row r="301">
          <cell r="J301" t="str">
            <v>NEOPOL SRS 45  (220KG) DRUM</v>
          </cell>
        </row>
        <row r="302">
          <cell r="J302" t="str">
            <v>CORROPRUFE SBS 4180</v>
          </cell>
        </row>
        <row r="303">
          <cell r="J303" t="str">
            <v>CORROBOARD 3.2 MM</v>
          </cell>
        </row>
        <row r="304">
          <cell r="J304" t="str">
            <v>CORROPRIME SB 200LTRS</v>
          </cell>
        </row>
        <row r="305">
          <cell r="J305" t="str">
            <v>NEOSEAL WP 509 -BLACK 24 LTR</v>
          </cell>
        </row>
        <row r="306">
          <cell r="J306" t="str">
            <v>NEOSEAL FLEX 550 - WHITE  (PART A 15KG+ PART B 5KG)</v>
          </cell>
        </row>
        <row r="307">
          <cell r="J307" t="str">
            <v>NEOSULPHIDE SEALANT-GUN GRADE 2.5LTR(PART 4 4KG+PART B 0.250KG)</v>
          </cell>
        </row>
        <row r="308">
          <cell r="J308" t="str">
            <v xml:space="preserve">EXTRUDED INSULATION BOARD 60MM  DENSITY 32-35 KG </v>
          </cell>
        </row>
        <row r="309">
          <cell r="J309" t="str">
            <v>COLPHENE BSW H 3.5</v>
          </cell>
        </row>
        <row r="310">
          <cell r="J310" t="str">
            <v>COLPHENE BSW SP LAP</v>
          </cell>
        </row>
        <row r="311">
          <cell r="J311" t="str">
            <v xml:space="preserve">SOPRAJOINT RIH </v>
          </cell>
        </row>
        <row r="312">
          <cell r="J312" t="str">
            <v>SOPRAJOINT HP</v>
          </cell>
        </row>
        <row r="313">
          <cell r="J313" t="str">
            <v xml:space="preserve">ALSAN CAP C </v>
          </cell>
        </row>
        <row r="314">
          <cell r="J314" t="str">
            <v xml:space="preserve">ALSAN CAP E </v>
          </cell>
        </row>
        <row r="315">
          <cell r="J315" t="str">
            <v xml:space="preserve">ALSAN FLASHING LM </v>
          </cell>
        </row>
        <row r="316">
          <cell r="J316" t="str">
            <v>POLYFLEECE</v>
          </cell>
        </row>
        <row r="317">
          <cell r="J317" t="str">
            <v xml:space="preserve">SOPRAMASTIC LM </v>
          </cell>
        </row>
        <row r="318">
          <cell r="J318" t="str">
            <v>SOPRADERE HT (200LTR /DRUM)</v>
          </cell>
        </row>
        <row r="319">
          <cell r="J319" t="str">
            <v>COLPHANE BSW BASE 4.0</v>
          </cell>
        </row>
        <row r="320">
          <cell r="J320" t="str">
            <v>SOPRABOARD SF 3MM</v>
          </cell>
        </row>
        <row r="321">
          <cell r="J321" t="str">
            <v>NEONATE MDI (250KG) DRUM</v>
          </cell>
        </row>
        <row r="322">
          <cell r="J322" t="str">
            <v>NEOPOL SRS 45  (220KG) DRUM</v>
          </cell>
        </row>
        <row r="323">
          <cell r="J323" t="str">
            <v>NEOPOL SRS 45  (220KG) DRUM</v>
          </cell>
        </row>
        <row r="324">
          <cell r="J324" t="str">
            <v>BITUMEN IMPEREGNATED BOARD 10 MM -CUTTING</v>
          </cell>
        </row>
        <row r="325">
          <cell r="J325" t="str">
            <v xml:space="preserve">EXTRUDED POLYSTRENE SHEET 100MM DENSITY 32-35 KG </v>
          </cell>
        </row>
        <row r="326">
          <cell r="J326" t="str">
            <v>TILE ADHESIVE</v>
          </cell>
        </row>
        <row r="327">
          <cell r="J327" t="str">
            <v>AWAZEL PU 4045 POLYOL (220KG) DRUM</v>
          </cell>
        </row>
        <row r="328">
          <cell r="J328" t="str">
            <v>AWAZEL PU 111 ISOCYNATE (250KG) DRUM</v>
          </cell>
        </row>
        <row r="329">
          <cell r="J329" t="str">
            <v xml:space="preserve">EXTRUDED INSULATION BOARD 60MM  DENSITY 32-35 KG </v>
          </cell>
        </row>
        <row r="330">
          <cell r="J330" t="str">
            <v xml:space="preserve">AWAZEL PU 670 20 LTR PAIL </v>
          </cell>
        </row>
        <row r="331">
          <cell r="J331" t="str">
            <v xml:space="preserve">EXTRUDED INSULATION BOARD 75MM (SIZE : 1.25 X  0.60M X 75MM  ) DENSITY 32-35 KG </v>
          </cell>
        </row>
        <row r="332">
          <cell r="J332" t="str">
            <v>SIKA TOP 550 SEAL J (FORMERLY KNOWN AS MASTERSEAL 550J LIGHT GREY) (15KG+5KG) SET</v>
          </cell>
        </row>
        <row r="333">
          <cell r="J333" t="str">
            <v>BITUMEN IMPEREGNATED BOARD 10 MM -CUTTING</v>
          </cell>
        </row>
        <row r="334">
          <cell r="J334" t="str">
            <v>AWAZEL PU 4045 POLYOL (220KG) DRUM</v>
          </cell>
        </row>
        <row r="335">
          <cell r="J335" t="str">
            <v>AWAZEL PU 111 ISOCYNATE (250KG) DRUM</v>
          </cell>
        </row>
        <row r="336">
          <cell r="J336" t="str">
            <v>CORROPRUFE SBS 4180</v>
          </cell>
        </row>
        <row r="337">
          <cell r="J337" t="str">
            <v>DEEP TRAY FOR DIESEL DRUMS</v>
          </cell>
        </row>
        <row r="338">
          <cell r="J338" t="str">
            <v>DEEP TRAY FOR DIESEL DRUMS ( 2 DRUMS )</v>
          </cell>
        </row>
        <row r="339">
          <cell r="J339" t="str">
            <v>4MM NEOFLEX S4180 180GSM</v>
          </cell>
        </row>
        <row r="340">
          <cell r="J340" t="str">
            <v>MONOGUM FLAM 270 4P10 1M X  10M ROLL</v>
          </cell>
        </row>
        <row r="341">
          <cell r="J341" t="str">
            <v>PLASIFLEX FLAM 180 4F  1M X  10M PER ROLL</v>
          </cell>
        </row>
        <row r="342">
          <cell r="J342" t="str">
            <v xml:space="preserve">AQUADERE HT 200 LTR PER DRUM </v>
          </cell>
        </row>
        <row r="343">
          <cell r="J343" t="str">
            <v>AWAZEL PU 4045 POLYOL (220KG) DRUM</v>
          </cell>
        </row>
        <row r="344">
          <cell r="J344" t="str">
            <v>AWAZEL PU 4048 POLYOL (220KG) DRUM</v>
          </cell>
        </row>
        <row r="345">
          <cell r="J345" t="str">
            <v>AWAZEL PU 111 ISOCYNATE (250KG) DRUM</v>
          </cell>
        </row>
        <row r="346">
          <cell r="J346" t="str">
            <v>NEONATE MDI (250KG) DRUM</v>
          </cell>
        </row>
        <row r="347">
          <cell r="J347" t="str">
            <v>NEOPOL SRS 45  (220KG) DRUM</v>
          </cell>
        </row>
        <row r="348">
          <cell r="J348" t="str">
            <v>AWAZEL TEX 120 GSM (2.9 X 100)290 MÂ²/ ROLL</v>
          </cell>
        </row>
        <row r="349">
          <cell r="J349" t="str">
            <v>NEOSEAL FLEX 550 - WHITE  (PART A 15KG+ PART B 5KG)</v>
          </cell>
        </row>
        <row r="350">
          <cell r="J350" t="str">
            <v>FILLER BOARD</v>
          </cell>
        </row>
        <row r="351">
          <cell r="J351" t="str">
            <v>NEOSEAL FLEX 588 -WHITE (PART A 26.25 KG+PART B 8.75 KG)</v>
          </cell>
        </row>
        <row r="352">
          <cell r="J352" t="str">
            <v>NEOSEAL FLEX 550 -LIGHT GREY (PART A 15KG+PART B 5KG)</v>
          </cell>
        </row>
        <row r="353">
          <cell r="J353" t="str">
            <v>4MM NEOFLEX S4180 180GSM</v>
          </cell>
        </row>
        <row r="354">
          <cell r="J354" t="str">
            <v>COLPHENE BSW H 3.5</v>
          </cell>
        </row>
        <row r="355">
          <cell r="J355" t="str">
            <v>COLPHENE SP LAP</v>
          </cell>
        </row>
        <row r="356">
          <cell r="J356" t="str">
            <v>JK PROFIX PU SPRAY 45-A (220KG/DRUM)</v>
          </cell>
        </row>
        <row r="357">
          <cell r="J357" t="str">
            <v>JK PROFIX PU MDI-B (250KG/DRUM)</v>
          </cell>
        </row>
        <row r="358">
          <cell r="J358" t="str">
            <v>NEOSEAL FLEX 550 - WHITE  (PART A 15KG+ PART B 5KG)</v>
          </cell>
        </row>
        <row r="359">
          <cell r="J359" t="str">
            <v>NEOSEAL FLEX 588 -WHITE (PART A 26.25 KG+PART B 8.75 KG)</v>
          </cell>
        </row>
        <row r="360">
          <cell r="J360" t="str">
            <v>SIKA SHIELD P26 MG SA 4MM ROLL 1MX10M</v>
          </cell>
        </row>
        <row r="361">
          <cell r="J361" t="str">
            <v>CYLINDER 60 LBS</v>
          </cell>
        </row>
        <row r="362">
          <cell r="J362" t="str">
            <v xml:space="preserve">CYLINDER 50 LBS REFILLING </v>
          </cell>
        </row>
        <row r="363">
          <cell r="J363" t="str">
            <v>AWAZEL FABRIC 1M X  50M ROLL</v>
          </cell>
        </row>
        <row r="364">
          <cell r="J364" t="str">
            <v>SIKAFLEX-428 PRECAST CONCRETE GREY</v>
          </cell>
        </row>
        <row r="365">
          <cell r="J365" t="str">
            <v>SIKA SHIELD P26 MG SA 4MM ROLL 1MX10M</v>
          </cell>
        </row>
        <row r="366">
          <cell r="J366" t="str">
            <v>SIKA SHIELD E35 PE SA 4MM ROLL 1MX10M</v>
          </cell>
        </row>
        <row r="367">
          <cell r="J367" t="str">
            <v>SIKA TOP 550 SEAL K (FORMERLY KNOWN AS MASTERSEAL 550K WHITE) (23KG 5KG+18KG)</v>
          </cell>
        </row>
        <row r="368">
          <cell r="J368" t="str">
            <v>SIKA TOP 550 SEAL J (FORMERLY KNOWN AS MASTERSEAL 550J LIGHT GREY) (15KG+5KG) SET</v>
          </cell>
        </row>
        <row r="369">
          <cell r="J369" t="str">
            <v>NW 100 GSM PET -WHITE (3 MTR *100 )</v>
          </cell>
        </row>
        <row r="370">
          <cell r="J370" t="str">
            <v>NW 250 GSM PET -WHITE (3 MTR *100 MTR)</v>
          </cell>
        </row>
        <row r="371">
          <cell r="J371" t="str">
            <v xml:space="preserve">GLOW MIXTURE </v>
          </cell>
        </row>
        <row r="372">
          <cell r="J372" t="str">
            <v>GRINDER SMALL</v>
          </cell>
        </row>
        <row r="373">
          <cell r="J373" t="str">
            <v>HIRE OF POWER FLOAT</v>
          </cell>
        </row>
        <row r="374">
          <cell r="J374" t="str">
            <v>HIRE OF POWER FLOAT</v>
          </cell>
        </row>
        <row r="375">
          <cell r="J375" t="str">
            <v>HIRE OF POWER FLOAT</v>
          </cell>
        </row>
        <row r="376">
          <cell r="J376" t="str">
            <v>HIRE OF POWER FLOAT</v>
          </cell>
        </row>
        <row r="377">
          <cell r="J377" t="str">
            <v>HIRE OF POWER FLOAT</v>
          </cell>
        </row>
        <row r="378">
          <cell r="J378" t="str">
            <v xml:space="preserve">AWAZEL PU 670 20 LTR PAIL </v>
          </cell>
        </row>
        <row r="379">
          <cell r="J379" t="str">
            <v>AWAZEFOAM CFA 1000</v>
          </cell>
        </row>
        <row r="380">
          <cell r="J380" t="str">
            <v>BIG JACK HEAVY BIT</v>
          </cell>
        </row>
        <row r="381">
          <cell r="J381" t="str">
            <v>POWER FLOAT</v>
          </cell>
        </row>
        <row r="382">
          <cell r="J382" t="str">
            <v>HIRE OF POWER FLOAT</v>
          </cell>
        </row>
        <row r="383">
          <cell r="J383" t="str">
            <v>AWAZEL PU 4048 POLYOL (220KG) DRUM</v>
          </cell>
        </row>
        <row r="384">
          <cell r="J384" t="str">
            <v>AWAZEL PU 111 ISOCYNATE (250KG) DRUM</v>
          </cell>
        </row>
        <row r="385">
          <cell r="J385" t="str">
            <v>CORROPRUFE SBS 4180</v>
          </cell>
        </row>
        <row r="386">
          <cell r="J386" t="str">
            <v>SIKALASTIC 311 (AE)</v>
          </cell>
        </row>
        <row r="387">
          <cell r="J387" t="str">
            <v>NW 120 GSM PET -WHITE (3 MTR *100 MTR)</v>
          </cell>
        </row>
        <row r="388">
          <cell r="J388" t="str">
            <v>NW 250 GSM PET -WHITE (3 MTR *100 MTR)</v>
          </cell>
        </row>
        <row r="389">
          <cell r="J389" t="str">
            <v>HIRE OF POWER FLOAT</v>
          </cell>
        </row>
        <row r="390">
          <cell r="J390" t="str">
            <v>HIRE OF POWER FLOAT</v>
          </cell>
        </row>
        <row r="391">
          <cell r="J391" t="str">
            <v>HIRE OF POWER FLOAT</v>
          </cell>
        </row>
        <row r="392">
          <cell r="J392" t="str">
            <v>HIRE OF POWER FLOAT</v>
          </cell>
        </row>
        <row r="393">
          <cell r="J393" t="str">
            <v>HIRE OF POWER FLOAT</v>
          </cell>
        </row>
        <row r="394">
          <cell r="J394" t="str">
            <v>HIRE OF POWER FLOAT</v>
          </cell>
        </row>
        <row r="395">
          <cell r="J395" t="str">
            <v>HIRE OF POWER FLOAT</v>
          </cell>
        </row>
        <row r="396">
          <cell r="J396" t="str">
            <v>HIRE OF POWER FLOAT</v>
          </cell>
        </row>
        <row r="397">
          <cell r="J397" t="str">
            <v xml:space="preserve">GLOW MIXTURE </v>
          </cell>
        </row>
        <row r="398">
          <cell r="J398" t="str">
            <v>DOUBLE BLADE GRINDER</v>
          </cell>
        </row>
        <row r="399">
          <cell r="J399" t="str">
            <v>GRINDER SMALL</v>
          </cell>
        </row>
        <row r="400">
          <cell r="J400" t="str">
            <v xml:space="preserve">GRP WORK </v>
          </cell>
        </row>
        <row r="401">
          <cell r="J401" t="str">
            <v>PY40200L BSP 10 M MEMBRANE SBS MODIFIED 200G</v>
          </cell>
        </row>
        <row r="402">
          <cell r="J402" t="str">
            <v>MS 60 6mm Protection Board (1x2m)</v>
          </cell>
        </row>
        <row r="403">
          <cell r="J403" t="str">
            <v>AWAZEL DS 40 250 (High Performance APP modified bituminous membrane, reinforced with Polyester) ,</v>
          </cell>
        </row>
        <row r="404">
          <cell r="J404" t="str">
            <v>WATERPRROFING GAS 22 KG</v>
          </cell>
        </row>
        <row r="405">
          <cell r="J405" t="str">
            <v xml:space="preserve">CYLINDER 50 LBS REFILLING </v>
          </cell>
        </row>
        <row r="406">
          <cell r="J406" t="str">
            <v>NEONATE MDI (250KG) DRUM</v>
          </cell>
        </row>
        <row r="407">
          <cell r="J407" t="str">
            <v>NEOPOL SRS 45  (220KG) DRUM</v>
          </cell>
        </row>
        <row r="408">
          <cell r="J408" t="str">
            <v>NEOPOL SRS 45  (220KG) DRUM</v>
          </cell>
        </row>
        <row r="409">
          <cell r="J409" t="str">
            <v>NEOSEAL FLEX 550 - WHITE  (PART A 15KG+ PART B 5KG)</v>
          </cell>
        </row>
        <row r="410">
          <cell r="J410" t="str">
            <v>NEOTEX SP-ELASTOMERIC ACRYLIC COATING (20KG/PAIL) WHITE</v>
          </cell>
        </row>
        <row r="411">
          <cell r="J411" t="str">
            <v>NEOTEX SP-ELASTOMERIC ACRYLIC COATING (20KG/PAIL) LIGHT GREY</v>
          </cell>
        </row>
        <row r="412">
          <cell r="J412" t="str">
            <v>NEOSULPHIDE SEALANT-GUN GRADE 2.5LTR(PART 4 4KG+PART B 0.250KG)</v>
          </cell>
        </row>
        <row r="413">
          <cell r="J413" t="str">
            <v>NEOSEAL FLEX 550 - WHITE  (PART A 15KG+ PART B 5KG)</v>
          </cell>
        </row>
        <row r="414">
          <cell r="J414" t="str">
            <v>NEOSEAL FLEX 550 -LIGHT GREY (PART A 15KG+PART B 5KG)</v>
          </cell>
        </row>
        <row r="415">
          <cell r="J415" t="str">
            <v>SIKA SHIELD P26 MG SA 4MM ROLL 1MX10M</v>
          </cell>
        </row>
        <row r="416">
          <cell r="J416" t="str">
            <v>SIKA SHIELD E35 PE SA 4MM ROLL 1MX10M</v>
          </cell>
        </row>
        <row r="417">
          <cell r="J417" t="str">
            <v>SIKABIT P -12 AE BITUMENIOUS PRIMER  (180KG) DRUM</v>
          </cell>
        </row>
        <row r="418">
          <cell r="J418" t="str">
            <v>LUBE SERVICE</v>
          </cell>
        </row>
        <row r="419">
          <cell r="J419" t="str">
            <v>FULL WASHING</v>
          </cell>
        </row>
        <row r="420">
          <cell r="J420" t="str">
            <v>LUBE SERVICE</v>
          </cell>
        </row>
        <row r="421">
          <cell r="J421" t="str">
            <v>LUBE SERVICE</v>
          </cell>
        </row>
        <row r="422">
          <cell r="J422" t="str">
            <v>LUBE SERVICE</v>
          </cell>
        </row>
        <row r="423">
          <cell r="J423" t="str">
            <v>LUBE SERVICE</v>
          </cell>
        </row>
        <row r="424">
          <cell r="J424" t="str">
            <v>LUBE SERVICE</v>
          </cell>
        </row>
        <row r="425">
          <cell r="J425" t="str">
            <v>LUBE SERVICE</v>
          </cell>
        </row>
        <row r="426">
          <cell r="J426" t="str">
            <v>FULL WASHING</v>
          </cell>
        </row>
        <row r="427">
          <cell r="J427" t="str">
            <v>LUBE SERVICE</v>
          </cell>
        </row>
        <row r="428">
          <cell r="J428" t="str">
            <v>LUBE SERVICE</v>
          </cell>
        </row>
        <row r="429">
          <cell r="J429" t="str">
            <v xml:space="preserve">RHEOSEAL  SBS 4S 200 -5  </v>
          </cell>
        </row>
        <row r="430">
          <cell r="J430" t="str">
            <v>RHEOBOARD  3.2MM 1X2 MTR</v>
          </cell>
        </row>
        <row r="431">
          <cell r="J431" t="str">
            <v>DAMP PC 100 MM (10 LM)</v>
          </cell>
        </row>
        <row r="432">
          <cell r="J432" t="str">
            <v>DAMP PC 200MM ( 10 LM )</v>
          </cell>
        </row>
        <row r="433">
          <cell r="J433" t="str">
            <v xml:space="preserve">DUPRIME 200 LTR DRUM </v>
          </cell>
        </row>
        <row r="434">
          <cell r="J434" t="str">
            <v>DUPLAST P 270 4MM APP MEMBRANE  1M X 10 MTR ROLL</v>
          </cell>
        </row>
        <row r="435">
          <cell r="J435" t="str">
            <v xml:space="preserve">DUMASTIC 20 KG </v>
          </cell>
        </row>
        <row r="436">
          <cell r="J436" t="str">
            <v>DUPLAST P-MEMBRANE 4MM 1M X 10 MTR ROLL</v>
          </cell>
        </row>
        <row r="437">
          <cell r="J437" t="str">
            <v>AWAZELBOND BS 1000</v>
          </cell>
        </row>
        <row r="438">
          <cell r="J438" t="str">
            <v>DIEN 40 4mm SBS Membrane 180gsm 180gsm (1x10)</v>
          </cell>
        </row>
        <row r="439">
          <cell r="J439" t="str">
            <v>PRIMER D41  (180KG) DRUM</v>
          </cell>
        </row>
        <row r="440">
          <cell r="J440" t="str">
            <v>NW 120 GSM PET -WHITE (3 MTR *100 MTR)</v>
          </cell>
        </row>
        <row r="441">
          <cell r="J441" t="str">
            <v>RHEOSEAL SBS 4S 180 ( -5 )</v>
          </cell>
        </row>
        <row r="442">
          <cell r="J442" t="str">
            <v>RHEOBOARD 6MM</v>
          </cell>
        </row>
        <row r="443">
          <cell r="J443" t="str">
            <v>MONOGUM FLAM 270 4P10 1M X  10M ROLL</v>
          </cell>
        </row>
        <row r="444">
          <cell r="J444" t="str">
            <v>PLASIFLEX FLAM 180 4F  1M X  10M PER ROLL</v>
          </cell>
        </row>
        <row r="445">
          <cell r="J445" t="str">
            <v>ENGINE OIL</v>
          </cell>
        </row>
        <row r="446">
          <cell r="J446" t="str">
            <v>LUBE SERVICE</v>
          </cell>
        </row>
        <row r="447">
          <cell r="J447" t="str">
            <v>LUBE SERVICE</v>
          </cell>
        </row>
        <row r="448">
          <cell r="J448" t="str">
            <v>FULL WASHING</v>
          </cell>
        </row>
        <row r="449">
          <cell r="J449" t="str">
            <v>LUBE SERVICE</v>
          </cell>
        </row>
        <row r="450">
          <cell r="J450" t="str">
            <v>LUBE SERVICE</v>
          </cell>
        </row>
        <row r="451">
          <cell r="J451" t="str">
            <v>LUBE SERVICE</v>
          </cell>
        </row>
        <row r="452">
          <cell r="J452" t="str">
            <v>LUBE SERVICE</v>
          </cell>
        </row>
        <row r="453">
          <cell r="J453" t="str">
            <v>LUBE SERVICE</v>
          </cell>
        </row>
        <row r="454">
          <cell r="J454" t="str">
            <v>WATERPRROFING GAS 22 KG</v>
          </cell>
        </row>
        <row r="455">
          <cell r="J455" t="str">
            <v>HIGH PRESSURE REGULATOR</v>
          </cell>
        </row>
        <row r="456">
          <cell r="J456" t="str">
            <v xml:space="preserve">PROPANE HIGH PRESSURE REGULATOR WITH GUAGE </v>
          </cell>
        </row>
        <row r="457">
          <cell r="J457" t="str">
            <v>FLASH BACK ARRESTOR</v>
          </cell>
        </row>
        <row r="458">
          <cell r="J458" t="str">
            <v>NEOSULPHIDE SEALANT-GUN GRADE 2.5LTR(PART 4 4KG+PART B 0.250KG)</v>
          </cell>
        </row>
        <row r="459">
          <cell r="J459" t="str">
            <v>NEOFLEX PU 25 LM (POLYURETHENE SEALANT) 600 ML-GREY</v>
          </cell>
        </row>
        <row r="460">
          <cell r="J460" t="str">
            <v>3mm protection board</v>
          </cell>
        </row>
        <row r="461">
          <cell r="J461" t="str">
            <v>SIKA SHIELD E36 PE SA 4MM ROLL</v>
          </cell>
        </row>
        <row r="462">
          <cell r="J462" t="str">
            <v>CANVAS CLOTH (1 BUNDDLE X 19)</v>
          </cell>
        </row>
        <row r="463">
          <cell r="J463" t="str">
            <v>RHEOSEAL SBS 4S 180 ( -5 )</v>
          </cell>
        </row>
        <row r="464">
          <cell r="J464" t="str">
            <v>RHEOBOARD  4MM (1M*2M )-PROTECTION BOARD</v>
          </cell>
        </row>
        <row r="465">
          <cell r="J465" t="str">
            <v>RHEOPRIME SB  (200LTR /DRUM)</v>
          </cell>
        </row>
        <row r="466">
          <cell r="J466" t="str">
            <v>RHEOSEAL GARDEN 180 APP (1M*10M ROLL)</v>
          </cell>
        </row>
        <row r="467">
          <cell r="J467" t="str">
            <v>NW 120 GSM PET -WHITE (3 MTR *100 MTR)</v>
          </cell>
        </row>
        <row r="468">
          <cell r="J468" t="str">
            <v>NW 250 GSM PET -WHITE (3 MTR *100 MTR)</v>
          </cell>
        </row>
        <row r="469">
          <cell r="J469" t="str">
            <v xml:space="preserve">RHEOSEAL  SBS 4S 200 -5  </v>
          </cell>
        </row>
        <row r="470">
          <cell r="J470" t="str">
            <v>RHEOPRIME SB  ( 200 LTR DRUM )</v>
          </cell>
        </row>
        <row r="471">
          <cell r="J471" t="str">
            <v xml:space="preserve"> WEBER DRY PRIMER SB 200 LTR  </v>
          </cell>
        </row>
        <row r="472">
          <cell r="J472" t="str">
            <v>BIFLEX PL 4MM /200 GSM</v>
          </cell>
        </row>
        <row r="473">
          <cell r="J473" t="str">
            <v xml:space="preserve"> PROBOARD BITUMINIOUS PROTECTION BOARD  6MM   </v>
          </cell>
        </row>
        <row r="474">
          <cell r="J474" t="str">
            <v>NEOSEAL FLEX 550 - WHITE  (PART A 15KG+ PART B 5KG)</v>
          </cell>
        </row>
        <row r="475">
          <cell r="J475" t="str">
            <v>NEOSULPHIDE SEALANT-GUN GRADE 2.5LTR(PART 4 4KG+PART B 0.250KG)</v>
          </cell>
        </row>
        <row r="476">
          <cell r="J476" t="str">
            <v>FILLER BOARD</v>
          </cell>
        </row>
        <row r="477">
          <cell r="J477" t="str">
            <v>NEOFLEX PU 25 LM (POLYURETHENE SEALANT) 600 ML-GREY</v>
          </cell>
        </row>
        <row r="478">
          <cell r="J478" t="str">
            <v xml:space="preserve">NEOSEAL FLEX 588 </v>
          </cell>
        </row>
        <row r="479">
          <cell r="J479" t="str">
            <v>NEOBOND SBR 250</v>
          </cell>
        </row>
        <row r="480">
          <cell r="J480" t="str">
            <v xml:space="preserve">NEOGROUT NS </v>
          </cell>
        </row>
        <row r="481">
          <cell r="J481" t="str">
            <v>NEONATE MDI (250KG) DRUM</v>
          </cell>
        </row>
        <row r="482">
          <cell r="J482" t="str">
            <v>NEOPOL SRS 45  (220KG) DRUM</v>
          </cell>
        </row>
        <row r="483">
          <cell r="J483" t="str">
            <v>BITUMEN IMPEREGNATED BOARD 10 MM -CUTTING</v>
          </cell>
        </row>
        <row r="484">
          <cell r="J484" t="str">
            <v>NEOSEAL FLEX 550 - WHITE  (PART A 15KG+ PART B 5KG)</v>
          </cell>
        </row>
        <row r="485">
          <cell r="J485" t="str">
            <v>NEOSEAL FLEX 550 -LIGHT GREY (PART A 15KG+PART B 5KG)</v>
          </cell>
        </row>
        <row r="486">
          <cell r="J486" t="str">
            <v>NEOSULPHIDE SEALANT-GUN GRADE 2.5LTR(PART 4 4KG+PART B 0.250KG)</v>
          </cell>
        </row>
        <row r="487">
          <cell r="J487" t="str">
            <v>NEOTEX SP-ELASTOMERIC ACRYLIC COATING (20KG/PAIL) LIGHT GREY</v>
          </cell>
        </row>
        <row r="488">
          <cell r="J488" t="str">
            <v>NEOTEX SP-ELASTOMERIC ACRYLIC COATING (20KG/PAIL) WHITE</v>
          </cell>
        </row>
        <row r="489">
          <cell r="J489" t="str">
            <v>NEOSEAL WP 509 -BLACK 24 LTR</v>
          </cell>
        </row>
        <row r="490">
          <cell r="J490" t="str">
            <v>NEOPOL SRS 45  (220KG) DRUM</v>
          </cell>
        </row>
        <row r="491">
          <cell r="J491" t="str">
            <v>NEONATE MDI (250KG) DRUM</v>
          </cell>
        </row>
        <row r="492">
          <cell r="J492" t="str">
            <v>BITUMEN IMPEREGNATED BOARD 10 MM -CUTTING</v>
          </cell>
        </row>
        <row r="493">
          <cell r="J493" t="str">
            <v>BACKING ROD 15MM (360 LM/BAG) SHERIDAN</v>
          </cell>
        </row>
        <row r="494">
          <cell r="J494" t="str">
            <v>BACKING ROD 20MM (200 LM/BAG) SHERIDAN</v>
          </cell>
        </row>
        <row r="495">
          <cell r="J495" t="str">
            <v>NEOFLEX PU 25 LM (POLYURETHENE SEALANT) 600 ML-GREY</v>
          </cell>
        </row>
        <row r="496">
          <cell r="J496" t="str">
            <v>PRIMER D41 (16 KG) CAN</v>
          </cell>
        </row>
        <row r="497">
          <cell r="J497" t="str">
            <v>PY40200L BSP 10 M MEMBRANE SBS MODIFIED 200G</v>
          </cell>
        </row>
        <row r="498">
          <cell r="J498" t="str">
            <v>MS 60 6mm Protection Board (1x2m)</v>
          </cell>
        </row>
        <row r="499">
          <cell r="J499" t="str">
            <v>AWAZEFOAM CFA 1000</v>
          </cell>
        </row>
        <row r="500">
          <cell r="J500" t="str">
            <v xml:space="preserve">EXTRUDED INSULATION BOARD 60MM  DENSITY 32-35 KG </v>
          </cell>
        </row>
        <row r="501">
          <cell r="J501" t="str">
            <v>NEONATE MDI (250KG) DRUM</v>
          </cell>
        </row>
        <row r="502">
          <cell r="J502" t="str">
            <v>NEOPOL SRS 45  (220KG) DRUM</v>
          </cell>
        </row>
        <row r="503">
          <cell r="J503" t="str">
            <v>BITUMEN IMPEREGNATED BOARD 10 MM -CUTTING</v>
          </cell>
        </row>
        <row r="504">
          <cell r="J504" t="str">
            <v>NEOFLEX PU 25 LM (POLYURETHENE SEALANT) 600 ML-GREY</v>
          </cell>
        </row>
        <row r="505">
          <cell r="J505" t="str">
            <v>CORROBOARD 3.2 MM</v>
          </cell>
        </row>
        <row r="506">
          <cell r="J506" t="str">
            <v>NEOSEAL FLEX 550 - WHITE  (PART A 15KG+ PART B 5KG)</v>
          </cell>
        </row>
        <row r="507">
          <cell r="J507" t="str">
            <v>NEOSEAL WP 509 -BLACK 24 LTR</v>
          </cell>
        </row>
        <row r="508">
          <cell r="J508" t="str">
            <v>HOSE CLIP</v>
          </cell>
        </row>
        <row r="509">
          <cell r="J509" t="str">
            <v>PAINT REFILL 9"</v>
          </cell>
        </row>
        <row r="510">
          <cell r="J510" t="str">
            <v>SCRAPER 2''</v>
          </cell>
        </row>
        <row r="511">
          <cell r="J511" t="str">
            <v>SCRAPER 3''</v>
          </cell>
        </row>
        <row r="512">
          <cell r="J512" t="str">
            <v>SAFETY GOGGLES CLEAR</v>
          </cell>
        </row>
        <row r="513">
          <cell r="J513" t="str">
            <v>FIRE BLANKET</v>
          </cell>
        </row>
        <row r="514">
          <cell r="J514" t="str">
            <v>SPIRIT LEVEL 1.00 MTR</v>
          </cell>
        </row>
        <row r="515">
          <cell r="J515" t="str">
            <v xml:space="preserve">LEVEL PIPE 1M </v>
          </cell>
        </row>
        <row r="516">
          <cell r="J516" t="str">
            <v>RAPPING ROLL</v>
          </cell>
        </row>
        <row r="517">
          <cell r="J517" t="str">
            <v>KNIFE</v>
          </cell>
        </row>
        <row r="518">
          <cell r="J518" t="str">
            <v>NEONATE MDI (250KG) DRUM</v>
          </cell>
        </row>
        <row r="519">
          <cell r="J519" t="str">
            <v>NEOPOL SRS 45  (220KG) DRUM</v>
          </cell>
        </row>
        <row r="520">
          <cell r="J520" t="str">
            <v>NW 120 GSM PET -WHITE (3 MTR *100 MTR)</v>
          </cell>
        </row>
        <row r="521">
          <cell r="J521" t="str">
            <v>SIKA SHIELD P26 MG SA 4MM ROLL 1MX10M</v>
          </cell>
        </row>
        <row r="522">
          <cell r="J522" t="str">
            <v>SIKA SHIELD E35 PE SA 4MM ROLL 1MX10M</v>
          </cell>
        </row>
        <row r="523">
          <cell r="J523" t="str">
            <v>SIKALASTIC -152 AE PART A+B SYSTEM CON.33KG</v>
          </cell>
        </row>
        <row r="524">
          <cell r="J524" t="str">
            <v>SIKAFLEX-428 PRECAST CONCRETE GREY</v>
          </cell>
        </row>
        <row r="525">
          <cell r="J525" t="str">
            <v>NEOSULPHIDE SEALANT-PG (4LTR/PACK) PART A+PART B</v>
          </cell>
        </row>
        <row r="526">
          <cell r="J526" t="str">
            <v>NEONATE MDI (250KG) DRUM</v>
          </cell>
        </row>
        <row r="527">
          <cell r="J527" t="str">
            <v>NEOCOAT RBE -4010 (200LTR/DRUM)</v>
          </cell>
        </row>
        <row r="528">
          <cell r="J528" t="str">
            <v>GEOTEC -120GSM GEOTEXTILE  (3 X 100)300 MÂ²/ ROLL</v>
          </cell>
        </row>
        <row r="529">
          <cell r="J529" t="str">
            <v>GEOTEC 250 GSM GEOTEXTILE  (4.5 X 200) 900 MÂ² /ROLL</v>
          </cell>
        </row>
        <row r="530">
          <cell r="J530" t="str">
            <v>NEOPOL SRS 45  (220KG) DRUM</v>
          </cell>
        </row>
        <row r="531">
          <cell r="J531" t="str">
            <v>NEOSEAL FLEX 550 -LIGHT GREY (PART A 15KG+PART B 5KG)</v>
          </cell>
        </row>
        <row r="532">
          <cell r="J532" t="str">
            <v>NEOSEAL FLEX 550 - WHITE  (PART A 15KG+ PART B 5KG)</v>
          </cell>
        </row>
        <row r="533">
          <cell r="J533" t="str">
            <v>RHEOPRIME SB  ( 200 LTR DRUM )</v>
          </cell>
        </row>
        <row r="534">
          <cell r="J534" t="str">
            <v>RHEOSEAL RBE350 ( 200 LTR PER DRUM )</v>
          </cell>
        </row>
        <row r="535">
          <cell r="J535" t="str">
            <v>RHEOSEAL 4S -200 GSM SL APP</v>
          </cell>
        </row>
        <row r="536">
          <cell r="J536" t="str">
            <v>RHEOSEAL 4S -200 GSM SL APP</v>
          </cell>
        </row>
        <row r="537">
          <cell r="J537" t="str">
            <v>EXTRUDED POLYSTRENE 50MM DENSITY 32-35</v>
          </cell>
        </row>
        <row r="538">
          <cell r="J538" t="str">
            <v>HUNSTMAN SP 45 (220KG) DRUM</v>
          </cell>
        </row>
        <row r="539">
          <cell r="J539" t="str">
            <v>HUNSTMAN 200 (250KG) DRUM</v>
          </cell>
        </row>
        <row r="540">
          <cell r="J540" t="str">
            <v>ULTRALOK HARD 40 (GREY)</v>
          </cell>
        </row>
        <row r="541">
          <cell r="J541" t="str">
            <v>NEOSEAL FLEX 550 - WHITE  (PART A 15KG+ PART B 5KG)</v>
          </cell>
        </row>
        <row r="542">
          <cell r="J542" t="str">
            <v>RENTAL MASON</v>
          </cell>
        </row>
        <row r="543">
          <cell r="J543" t="str">
            <v>RENTAL HELPER</v>
          </cell>
        </row>
        <row r="544">
          <cell r="J544" t="str">
            <v xml:space="preserve">TRANSPORT CHARGES </v>
          </cell>
        </row>
        <row r="545">
          <cell r="J545" t="str">
            <v>NEONATE MDI (250KG) DRUM</v>
          </cell>
        </row>
        <row r="546">
          <cell r="J546" t="str">
            <v>NEOPOL SRS 45  (220KG) DRUM</v>
          </cell>
        </row>
        <row r="547">
          <cell r="J547" t="str">
            <v>AWAZEL TEX 120 GSM (2.9 X 100)290 MÂ²/ ROLL</v>
          </cell>
        </row>
        <row r="548">
          <cell r="J548" t="str">
            <v>NEOSEAL WP 509 -BLACK 24 LTR</v>
          </cell>
        </row>
        <row r="549">
          <cell r="J549" t="str">
            <v>NEOFLEX PU 25 LM (POLYURETHENE SEALANT) 600 ML-GREY</v>
          </cell>
        </row>
        <row r="550">
          <cell r="J550" t="str">
            <v>NW 120 GSM PET -WHITE (3 MTR *100 MTR)</v>
          </cell>
        </row>
        <row r="551">
          <cell r="J551" t="str">
            <v>SIKA TOP 550 SEAL K (FORMERLY KNOWN AS MASTERSEAL 550K WHITE) (23KG 5KG+18KG)</v>
          </cell>
        </row>
        <row r="552">
          <cell r="J552" t="str">
            <v>SIKA TOP 550 SEAL J (FORMERLY KNOWN AS MASTERSEAL 550J LIGHT GREY) (15KG+5KG) SET</v>
          </cell>
        </row>
        <row r="553">
          <cell r="J553" t="str">
            <v>MS 60 6mm Protection Board (1x2m)</v>
          </cell>
        </row>
        <row r="554">
          <cell r="J554" t="str">
            <v>Superstructure Waterproofing Works</v>
          </cell>
        </row>
        <row r="555">
          <cell r="J555" t="str">
            <v>Substructure Waterproofing works</v>
          </cell>
        </row>
        <row r="556">
          <cell r="J556" t="str">
            <v>Substructure Waterproofing works</v>
          </cell>
        </row>
        <row r="557">
          <cell r="J557" t="str">
            <v>Substructure Waterproofing works</v>
          </cell>
        </row>
        <row r="558">
          <cell r="J558" t="str">
            <v>Substructure Waterproofing works</v>
          </cell>
        </row>
        <row r="559">
          <cell r="J559" t="str">
            <v>Substructure Waterproofing works</v>
          </cell>
        </row>
        <row r="560">
          <cell r="J560" t="str">
            <v>Substructure Waterproofing works</v>
          </cell>
        </row>
        <row r="561">
          <cell r="J561" t="str">
            <v>Substructure Waterproofing works</v>
          </cell>
        </row>
        <row r="562">
          <cell r="J562" t="str">
            <v>Substructure Waterproofing works</v>
          </cell>
        </row>
        <row r="563">
          <cell r="J563" t="str">
            <v>Substructure Waterproofing works</v>
          </cell>
        </row>
        <row r="564">
          <cell r="J564" t="str">
            <v>Superstructure Waterproofing Works</v>
          </cell>
        </row>
        <row r="565">
          <cell r="J565" t="str">
            <v>Substructure Waterproofing works</v>
          </cell>
        </row>
        <row r="566">
          <cell r="J566" t="str">
            <v>Substructure Waterproofing works</v>
          </cell>
        </row>
        <row r="567">
          <cell r="J567" t="str">
            <v>Substructure Waterproofing works</v>
          </cell>
        </row>
        <row r="568">
          <cell r="J568" t="str">
            <v>Substructure Waterproofing works</v>
          </cell>
        </row>
        <row r="569">
          <cell r="J569" t="str">
            <v>Substructure Waterproofing works</v>
          </cell>
        </row>
        <row r="570">
          <cell r="J570" t="str">
            <v>Superstructure Waterproofing Works</v>
          </cell>
        </row>
        <row r="571">
          <cell r="J571" t="str">
            <v xml:space="preserve">RENTAL BUS 34 SEATER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E7A2-3DBB-47E9-96F1-F9C12BAA0582}">
  <dimension ref="A1:L127"/>
  <sheetViews>
    <sheetView tabSelected="1" topLeftCell="A19" zoomScale="55" zoomScaleNormal="55" workbookViewId="0">
      <selection activeCell="E75" sqref="E75"/>
    </sheetView>
  </sheetViews>
  <sheetFormatPr defaultRowHeight="15" x14ac:dyDescent="0.25"/>
  <cols>
    <col min="1" max="1" width="37.140625" customWidth="1"/>
    <col min="2" max="2" width="18.7109375" style="7" customWidth="1"/>
    <col min="3" max="3" width="24.7109375" style="7" customWidth="1"/>
    <col min="4" max="4" width="76.42578125" customWidth="1"/>
    <col min="5" max="5" width="76.140625" customWidth="1"/>
    <col min="6" max="6" width="65.42578125" customWidth="1"/>
    <col min="7" max="7" width="49.7109375" customWidth="1"/>
    <col min="8" max="8" width="16" style="8" customWidth="1"/>
    <col min="9" max="10" width="14.5703125" style="60" customWidth="1"/>
    <col min="11" max="11" width="24.7109375" style="7" customWidth="1"/>
    <col min="12" max="12" width="9.140625" customWidth="1"/>
  </cols>
  <sheetData>
    <row r="1" spans="1:12" s="55" customFormat="1" ht="24.75" customHeight="1" x14ac:dyDescent="0.25">
      <c r="A1" s="51" t="s">
        <v>0</v>
      </c>
      <c r="B1" s="52" t="s">
        <v>1005</v>
      </c>
      <c r="C1" s="52" t="s">
        <v>1044</v>
      </c>
      <c r="D1" s="51" t="s">
        <v>1</v>
      </c>
      <c r="E1" s="51" t="s">
        <v>1024</v>
      </c>
      <c r="F1" s="51" t="s">
        <v>1025</v>
      </c>
      <c r="G1" s="51" t="s">
        <v>1026</v>
      </c>
      <c r="H1" s="51" t="s">
        <v>8</v>
      </c>
      <c r="I1" s="53" t="s">
        <v>940</v>
      </c>
      <c r="J1" s="53" t="s">
        <v>941</v>
      </c>
      <c r="K1" s="51" t="s">
        <v>1046</v>
      </c>
    </row>
    <row r="2" spans="1:12" s="1" customFormat="1" x14ac:dyDescent="0.25">
      <c r="A2" s="63" t="s">
        <v>861</v>
      </c>
      <c r="B2" s="64">
        <v>1</v>
      </c>
      <c r="C2" s="73" t="s">
        <v>1045</v>
      </c>
      <c r="D2" s="66" t="s">
        <v>13</v>
      </c>
      <c r="E2" s="30" t="s">
        <v>20</v>
      </c>
      <c r="F2" s="30" t="s">
        <v>21</v>
      </c>
      <c r="G2" s="30" t="s">
        <v>1027</v>
      </c>
      <c r="H2" s="30">
        <v>1</v>
      </c>
      <c r="I2" s="58">
        <v>200</v>
      </c>
      <c r="J2" s="58" t="s">
        <v>18</v>
      </c>
      <c r="K2" s="76" t="s">
        <v>19</v>
      </c>
      <c r="L2" s="1" t="str" cm="1">
        <f t="array" aca="1" ref="L2" ca="1">IFERROR(TOCOL(TEXTSPLIT(_xlfn.TEXTJOIN(CHAR(10),TRUE,'Main Sheet'!L2:L5000),,CHAR(10),TRUE),1),"")</f>
        <v/>
      </c>
    </row>
    <row r="3" spans="1:12" s="1" customFormat="1" x14ac:dyDescent="0.25">
      <c r="A3" s="63"/>
      <c r="B3" s="64"/>
      <c r="C3" s="74"/>
      <c r="D3" s="66"/>
      <c r="E3" s="30" t="s">
        <v>862</v>
      </c>
      <c r="F3" s="30" t="s">
        <v>862</v>
      </c>
      <c r="G3" s="30" t="s">
        <v>1027</v>
      </c>
      <c r="H3" s="30">
        <v>1</v>
      </c>
      <c r="I3" s="58">
        <v>160</v>
      </c>
      <c r="J3" s="58" t="s">
        <v>18</v>
      </c>
      <c r="K3" s="77"/>
    </row>
    <row r="4" spans="1:12" x14ac:dyDescent="0.25">
      <c r="A4" s="63"/>
      <c r="B4" s="65"/>
      <c r="C4" s="74"/>
      <c r="D4" s="63"/>
      <c r="E4" s="30" t="s">
        <v>16</v>
      </c>
      <c r="F4" s="30" t="s">
        <v>17</v>
      </c>
      <c r="G4" s="30" t="s">
        <v>1027</v>
      </c>
      <c r="H4" s="30">
        <v>14</v>
      </c>
      <c r="I4" s="58">
        <v>110</v>
      </c>
      <c r="J4" s="58" t="s">
        <v>18</v>
      </c>
      <c r="K4" s="77"/>
    </row>
    <row r="5" spans="1:12" x14ac:dyDescent="0.25">
      <c r="A5" s="36" t="s">
        <v>835</v>
      </c>
      <c r="B5" s="37">
        <v>2</v>
      </c>
      <c r="C5" s="74"/>
      <c r="D5" s="38" t="s">
        <v>13</v>
      </c>
      <c r="E5" s="30" t="s">
        <v>16</v>
      </c>
      <c r="F5" s="36" t="s">
        <v>17</v>
      </c>
      <c r="G5" s="36" t="s">
        <v>1027</v>
      </c>
      <c r="H5" s="36">
        <v>272</v>
      </c>
      <c r="I5" s="59">
        <v>126</v>
      </c>
      <c r="J5" s="59" t="s">
        <v>18</v>
      </c>
      <c r="K5" s="77"/>
    </row>
    <row r="6" spans="1:12" x14ac:dyDescent="0.25">
      <c r="A6" s="30" t="s">
        <v>22</v>
      </c>
      <c r="B6" s="31">
        <v>3</v>
      </c>
      <c r="C6" s="74"/>
      <c r="D6" s="32" t="s">
        <v>23</v>
      </c>
      <c r="E6" s="30" t="s">
        <v>25</v>
      </c>
      <c r="F6" s="30" t="s">
        <v>26</v>
      </c>
      <c r="G6" s="30" t="s">
        <v>1028</v>
      </c>
      <c r="H6" s="30">
        <v>150</v>
      </c>
      <c r="I6" s="58">
        <v>66</v>
      </c>
      <c r="J6" s="58" t="s">
        <v>18</v>
      </c>
      <c r="K6" s="77"/>
    </row>
    <row r="7" spans="1:12" x14ac:dyDescent="0.25">
      <c r="A7" s="67" t="s">
        <v>27</v>
      </c>
      <c r="B7" s="68">
        <v>4</v>
      </c>
      <c r="C7" s="74"/>
      <c r="D7" s="70" t="s">
        <v>28</v>
      </c>
      <c r="E7" s="30" t="s">
        <v>33</v>
      </c>
      <c r="F7" s="36" t="s">
        <v>31</v>
      </c>
      <c r="G7" s="36" t="s">
        <v>1029</v>
      </c>
      <c r="H7" s="36">
        <v>60</v>
      </c>
      <c r="I7" s="59">
        <v>0.5</v>
      </c>
      <c r="J7" s="59" t="s">
        <v>18</v>
      </c>
      <c r="K7" s="77"/>
    </row>
    <row r="8" spans="1:12" x14ac:dyDescent="0.25">
      <c r="A8" s="67"/>
      <c r="B8" s="69"/>
      <c r="C8" s="74"/>
      <c r="D8" s="67"/>
      <c r="E8" s="30" t="s">
        <v>29</v>
      </c>
      <c r="F8" s="36" t="s">
        <v>30</v>
      </c>
      <c r="G8" s="36" t="s">
        <v>1029</v>
      </c>
      <c r="H8" s="36">
        <v>20</v>
      </c>
      <c r="I8" s="59">
        <v>1.5</v>
      </c>
      <c r="J8" s="59" t="s">
        <v>18</v>
      </c>
      <c r="K8" s="77"/>
    </row>
    <row r="9" spans="1:12" x14ac:dyDescent="0.25">
      <c r="A9" s="30" t="s">
        <v>34</v>
      </c>
      <c r="B9" s="31">
        <v>5</v>
      </c>
      <c r="C9" s="74"/>
      <c r="D9" s="32" t="s">
        <v>35</v>
      </c>
      <c r="E9" s="30" t="s">
        <v>37</v>
      </c>
      <c r="F9" s="30" t="s">
        <v>37</v>
      </c>
      <c r="G9" s="30" t="s">
        <v>1030</v>
      </c>
      <c r="H9" s="30">
        <v>22</v>
      </c>
      <c r="I9" s="58">
        <v>60</v>
      </c>
      <c r="J9" s="58" t="s">
        <v>38</v>
      </c>
      <c r="K9" s="77"/>
    </row>
    <row r="10" spans="1:12" x14ac:dyDescent="0.25">
      <c r="A10" s="67" t="s">
        <v>39</v>
      </c>
      <c r="B10" s="68">
        <v>6</v>
      </c>
      <c r="C10" s="74"/>
      <c r="D10" s="70" t="s">
        <v>40</v>
      </c>
      <c r="E10" s="30" t="s">
        <v>42</v>
      </c>
      <c r="F10" s="36" t="s">
        <v>43</v>
      </c>
      <c r="G10" s="36" t="s">
        <v>1031</v>
      </c>
      <c r="H10" s="36">
        <v>24</v>
      </c>
      <c r="I10" s="59">
        <v>2530</v>
      </c>
      <c r="J10" s="59" t="s">
        <v>18</v>
      </c>
      <c r="K10" s="77"/>
    </row>
    <row r="11" spans="1:12" x14ac:dyDescent="0.25">
      <c r="A11" s="67"/>
      <c r="B11" s="69"/>
      <c r="C11" s="74"/>
      <c r="D11" s="67"/>
      <c r="E11" s="30" t="s">
        <v>45</v>
      </c>
      <c r="F11" s="36" t="s">
        <v>46</v>
      </c>
      <c r="G11" s="36" t="s">
        <v>1031</v>
      </c>
      <c r="H11" s="36">
        <v>24</v>
      </c>
      <c r="I11" s="59">
        <v>2875</v>
      </c>
      <c r="J11" s="59" t="s">
        <v>18</v>
      </c>
      <c r="K11" s="77"/>
    </row>
    <row r="12" spans="1:12" x14ac:dyDescent="0.25">
      <c r="A12" s="63" t="s">
        <v>1006</v>
      </c>
      <c r="B12" s="64">
        <v>7</v>
      </c>
      <c r="C12" s="74"/>
      <c r="D12" s="66" t="s">
        <v>48</v>
      </c>
      <c r="E12" s="30" t="s">
        <v>71</v>
      </c>
      <c r="F12" s="30" t="s">
        <v>72</v>
      </c>
      <c r="G12" s="30" t="s">
        <v>1032</v>
      </c>
      <c r="H12" s="30">
        <v>50</v>
      </c>
      <c r="I12" s="58">
        <v>150</v>
      </c>
      <c r="J12" s="58" t="s">
        <v>18</v>
      </c>
      <c r="K12" s="77"/>
    </row>
    <row r="13" spans="1:12" x14ac:dyDescent="0.25">
      <c r="A13" s="63"/>
      <c r="B13" s="65"/>
      <c r="C13" s="74"/>
      <c r="D13" s="63"/>
      <c r="E13" s="30" t="s">
        <v>53</v>
      </c>
      <c r="F13" s="30" t="s">
        <v>54</v>
      </c>
      <c r="G13" s="30" t="s">
        <v>1031</v>
      </c>
      <c r="H13" s="30">
        <v>28</v>
      </c>
      <c r="I13" s="58">
        <v>3250</v>
      </c>
      <c r="J13" s="58" t="s">
        <v>18</v>
      </c>
      <c r="K13" s="77"/>
    </row>
    <row r="14" spans="1:12" x14ac:dyDescent="0.25">
      <c r="A14" s="63"/>
      <c r="B14" s="65"/>
      <c r="C14" s="74"/>
      <c r="D14" s="63"/>
      <c r="E14" s="30" t="s">
        <v>50</v>
      </c>
      <c r="F14" s="30" t="s">
        <v>51</v>
      </c>
      <c r="G14" s="30" t="s">
        <v>1031</v>
      </c>
      <c r="H14" s="30">
        <v>28</v>
      </c>
      <c r="I14" s="58">
        <v>2860</v>
      </c>
      <c r="J14" s="58" t="s">
        <v>18</v>
      </c>
      <c r="K14" s="77"/>
    </row>
    <row r="15" spans="1:12" x14ac:dyDescent="0.25">
      <c r="A15" s="63"/>
      <c r="B15" s="65"/>
      <c r="C15" s="74"/>
      <c r="D15" s="63"/>
      <c r="E15" s="30" t="s">
        <v>56</v>
      </c>
      <c r="F15" s="30" t="s">
        <v>57</v>
      </c>
      <c r="G15" s="30" t="s">
        <v>1031</v>
      </c>
      <c r="H15" s="30">
        <v>4</v>
      </c>
      <c r="I15" s="58">
        <v>2640</v>
      </c>
      <c r="J15" s="58" t="s">
        <v>18</v>
      </c>
      <c r="K15" s="77"/>
    </row>
    <row r="16" spans="1:12" x14ac:dyDescent="0.25">
      <c r="A16" s="63"/>
      <c r="B16" s="65"/>
      <c r="C16" s="74"/>
      <c r="D16" s="63"/>
      <c r="E16" s="30" t="s">
        <v>65</v>
      </c>
      <c r="F16" s="30" t="s">
        <v>66</v>
      </c>
      <c r="G16" s="30" t="s">
        <v>1033</v>
      </c>
      <c r="H16" s="30">
        <v>228</v>
      </c>
      <c r="I16" s="61">
        <v>280</v>
      </c>
      <c r="J16" s="58" t="s">
        <v>18</v>
      </c>
      <c r="K16" s="77"/>
    </row>
    <row r="17" spans="1:11" x14ac:dyDescent="0.25">
      <c r="A17" s="63"/>
      <c r="B17" s="65"/>
      <c r="C17" s="74"/>
      <c r="D17" s="63"/>
      <c r="E17" s="30" t="s">
        <v>62</v>
      </c>
      <c r="F17" s="30" t="s">
        <v>63</v>
      </c>
      <c r="G17" s="30" t="s">
        <v>1034</v>
      </c>
      <c r="H17" s="30">
        <v>150</v>
      </c>
      <c r="I17" s="58">
        <v>38</v>
      </c>
      <c r="J17" s="58" t="s">
        <v>18</v>
      </c>
      <c r="K17" s="77"/>
    </row>
    <row r="18" spans="1:11" x14ac:dyDescent="0.25">
      <c r="A18" s="63"/>
      <c r="B18" s="65"/>
      <c r="C18" s="74"/>
      <c r="D18" s="63"/>
      <c r="E18" s="30" t="s">
        <v>59</v>
      </c>
      <c r="F18" s="30" t="s">
        <v>60</v>
      </c>
      <c r="G18" s="30" t="s">
        <v>1033</v>
      </c>
      <c r="H18" s="30">
        <v>161</v>
      </c>
      <c r="I18" s="61">
        <v>138</v>
      </c>
      <c r="J18" s="58" t="s">
        <v>18</v>
      </c>
      <c r="K18" s="77"/>
    </row>
    <row r="19" spans="1:11" x14ac:dyDescent="0.25">
      <c r="A19" s="63"/>
      <c r="B19" s="65"/>
      <c r="C19" s="74"/>
      <c r="D19" s="63"/>
      <c r="E19" s="30" t="s">
        <v>68</v>
      </c>
      <c r="F19" s="30" t="s">
        <v>69</v>
      </c>
      <c r="G19" s="30" t="s">
        <v>1033</v>
      </c>
      <c r="H19" s="30">
        <v>69</v>
      </c>
      <c r="I19" s="61">
        <v>125</v>
      </c>
      <c r="J19" s="58" t="s">
        <v>18</v>
      </c>
      <c r="K19" s="77"/>
    </row>
    <row r="20" spans="1:11" x14ac:dyDescent="0.25">
      <c r="A20" s="67" t="s">
        <v>1007</v>
      </c>
      <c r="B20" s="68">
        <v>8</v>
      </c>
      <c r="C20" s="74"/>
      <c r="D20" s="70" t="s">
        <v>48</v>
      </c>
      <c r="E20" s="30" t="s">
        <v>53</v>
      </c>
      <c r="F20" s="36" t="s">
        <v>54</v>
      </c>
      <c r="G20" s="36" t="s">
        <v>1031</v>
      </c>
      <c r="H20" s="36">
        <v>4</v>
      </c>
      <c r="I20" s="59">
        <v>3000</v>
      </c>
      <c r="J20" s="59" t="s">
        <v>18</v>
      </c>
      <c r="K20" s="77"/>
    </row>
    <row r="21" spans="1:11" x14ac:dyDescent="0.25">
      <c r="A21" s="67"/>
      <c r="B21" s="69"/>
      <c r="C21" s="74"/>
      <c r="D21" s="67"/>
      <c r="E21" s="30" t="s">
        <v>50</v>
      </c>
      <c r="F21" s="36" t="s">
        <v>51</v>
      </c>
      <c r="G21" s="36" t="s">
        <v>1031</v>
      </c>
      <c r="H21" s="36">
        <v>18</v>
      </c>
      <c r="I21" s="59">
        <v>2750</v>
      </c>
      <c r="J21" s="59" t="s">
        <v>18</v>
      </c>
      <c r="K21" s="77"/>
    </row>
    <row r="22" spans="1:11" x14ac:dyDescent="0.25">
      <c r="A22" s="63" t="s">
        <v>1008</v>
      </c>
      <c r="B22" s="64">
        <v>9</v>
      </c>
      <c r="C22" s="74"/>
      <c r="D22" s="66" t="s">
        <v>48</v>
      </c>
      <c r="E22" s="30" t="s">
        <v>53</v>
      </c>
      <c r="F22" s="30" t="s">
        <v>54</v>
      </c>
      <c r="G22" s="30" t="s">
        <v>1031</v>
      </c>
      <c r="H22" s="30">
        <v>18</v>
      </c>
      <c r="I22" s="58">
        <v>3125</v>
      </c>
      <c r="J22" s="58" t="s">
        <v>18</v>
      </c>
      <c r="K22" s="77"/>
    </row>
    <row r="23" spans="1:11" x14ac:dyDescent="0.25">
      <c r="A23" s="63"/>
      <c r="B23" s="65"/>
      <c r="C23" s="74"/>
      <c r="D23" s="63"/>
      <c r="E23" s="30" t="s">
        <v>62</v>
      </c>
      <c r="F23" s="30" t="s">
        <v>63</v>
      </c>
      <c r="G23" s="30" t="s">
        <v>1034</v>
      </c>
      <c r="H23" s="30">
        <v>750</v>
      </c>
      <c r="I23" s="58">
        <v>32</v>
      </c>
      <c r="J23" s="58" t="s">
        <v>18</v>
      </c>
      <c r="K23" s="77"/>
    </row>
    <row r="24" spans="1:11" x14ac:dyDescent="0.25">
      <c r="A24" s="46" t="s">
        <v>1009</v>
      </c>
      <c r="B24" s="47">
        <v>10</v>
      </c>
      <c r="C24" s="74"/>
      <c r="D24" s="48" t="s">
        <v>48</v>
      </c>
      <c r="E24" s="56" t="s">
        <v>59</v>
      </c>
      <c r="F24" s="46" t="s">
        <v>60</v>
      </c>
      <c r="G24" s="46" t="s">
        <v>1033</v>
      </c>
      <c r="H24" s="46">
        <v>690</v>
      </c>
      <c r="I24" s="62">
        <v>117</v>
      </c>
      <c r="J24" s="59" t="s">
        <v>18</v>
      </c>
      <c r="K24" s="77"/>
    </row>
    <row r="25" spans="1:11" x14ac:dyDescent="0.25">
      <c r="A25" s="63" t="s">
        <v>755</v>
      </c>
      <c r="B25" s="64">
        <v>11</v>
      </c>
      <c r="C25" s="74"/>
      <c r="D25" s="66" t="s">
        <v>944</v>
      </c>
      <c r="E25" s="30" t="s">
        <v>79</v>
      </c>
      <c r="F25" s="30" t="s">
        <v>80</v>
      </c>
      <c r="G25" s="30" t="s">
        <v>1034</v>
      </c>
      <c r="H25" s="30">
        <v>6400</v>
      </c>
      <c r="I25" s="58">
        <v>17</v>
      </c>
      <c r="J25" s="58" t="s">
        <v>18</v>
      </c>
      <c r="K25" s="77"/>
    </row>
    <row r="26" spans="1:11" x14ac:dyDescent="0.25">
      <c r="A26" s="63"/>
      <c r="B26" s="65"/>
      <c r="C26" s="74"/>
      <c r="D26" s="63"/>
      <c r="E26" s="30" t="s">
        <v>83</v>
      </c>
      <c r="F26" s="30" t="s">
        <v>84</v>
      </c>
      <c r="G26" s="30" t="s">
        <v>1035</v>
      </c>
      <c r="H26" s="30">
        <v>30</v>
      </c>
      <c r="I26" s="58">
        <v>750</v>
      </c>
      <c r="J26" s="58" t="s">
        <v>18</v>
      </c>
      <c r="K26" s="77"/>
    </row>
    <row r="27" spans="1:11" x14ac:dyDescent="0.25">
      <c r="A27" s="63"/>
      <c r="B27" s="65"/>
      <c r="C27" s="74"/>
      <c r="D27" s="63"/>
      <c r="E27" s="30" t="s">
        <v>76</v>
      </c>
      <c r="F27" s="30" t="s">
        <v>77</v>
      </c>
      <c r="G27" s="30" t="s">
        <v>1033</v>
      </c>
      <c r="H27" s="30">
        <v>3448</v>
      </c>
      <c r="I27" s="61">
        <v>96</v>
      </c>
      <c r="J27" s="58" t="s">
        <v>18</v>
      </c>
      <c r="K27" s="77"/>
    </row>
    <row r="28" spans="1:11" x14ac:dyDescent="0.25">
      <c r="A28" s="67" t="s">
        <v>1010</v>
      </c>
      <c r="B28" s="68">
        <v>12</v>
      </c>
      <c r="C28" s="74"/>
      <c r="D28" s="70" t="s">
        <v>944</v>
      </c>
      <c r="E28" s="30" t="s">
        <v>79</v>
      </c>
      <c r="F28" s="36" t="s">
        <v>80</v>
      </c>
      <c r="G28" s="36" t="s">
        <v>1034</v>
      </c>
      <c r="H28" s="36">
        <v>200</v>
      </c>
      <c r="I28" s="59">
        <v>18.899999999999999</v>
      </c>
      <c r="J28" s="59" t="s">
        <v>18</v>
      </c>
      <c r="K28" s="77"/>
    </row>
    <row r="29" spans="1:11" x14ac:dyDescent="0.25">
      <c r="A29" s="67"/>
      <c r="B29" s="69"/>
      <c r="C29" s="74"/>
      <c r="D29" s="67"/>
      <c r="E29" s="30" t="s">
        <v>76</v>
      </c>
      <c r="F29" s="36" t="s">
        <v>77</v>
      </c>
      <c r="G29" s="36" t="s">
        <v>1033</v>
      </c>
      <c r="H29" s="36">
        <v>506</v>
      </c>
      <c r="I29" s="62">
        <v>115</v>
      </c>
      <c r="J29" s="59" t="s">
        <v>18</v>
      </c>
      <c r="K29" s="77"/>
    </row>
    <row r="30" spans="1:11" x14ac:dyDescent="0.25">
      <c r="A30" s="30" t="s">
        <v>786</v>
      </c>
      <c r="B30" s="31">
        <v>13</v>
      </c>
      <c r="C30" s="74"/>
      <c r="D30" s="32" t="s">
        <v>944</v>
      </c>
      <c r="E30" s="30" t="s">
        <v>76</v>
      </c>
      <c r="F30" s="30" t="s">
        <v>77</v>
      </c>
      <c r="G30" s="30" t="s">
        <v>1033</v>
      </c>
      <c r="H30" s="30">
        <v>1012</v>
      </c>
      <c r="I30" s="61">
        <v>112</v>
      </c>
      <c r="J30" s="58" t="s">
        <v>18</v>
      </c>
      <c r="K30" s="77"/>
    </row>
    <row r="31" spans="1:11" x14ac:dyDescent="0.25">
      <c r="A31" s="67" t="s">
        <v>85</v>
      </c>
      <c r="B31" s="68">
        <v>14</v>
      </c>
      <c r="C31" s="74"/>
      <c r="D31" s="70" t="s">
        <v>86</v>
      </c>
      <c r="E31" s="30" t="s">
        <v>96</v>
      </c>
      <c r="F31" s="36" t="s">
        <v>97</v>
      </c>
      <c r="G31" s="36" t="s">
        <v>1036</v>
      </c>
      <c r="H31" s="36">
        <v>32</v>
      </c>
      <c r="I31" s="59">
        <v>115</v>
      </c>
      <c r="J31" s="59" t="s">
        <v>18</v>
      </c>
      <c r="K31" s="77"/>
    </row>
    <row r="32" spans="1:11" x14ac:dyDescent="0.25">
      <c r="A32" s="67"/>
      <c r="B32" s="69"/>
      <c r="C32" s="74"/>
      <c r="D32" s="67"/>
      <c r="E32" s="30" t="s">
        <v>92</v>
      </c>
      <c r="F32" s="36" t="s">
        <v>93</v>
      </c>
      <c r="G32" s="36" t="s">
        <v>1033</v>
      </c>
      <c r="H32" s="36">
        <v>46</v>
      </c>
      <c r="I32" s="62">
        <v>148</v>
      </c>
      <c r="J32" s="59" t="s">
        <v>18</v>
      </c>
      <c r="K32" s="77"/>
    </row>
    <row r="33" spans="1:11" x14ac:dyDescent="0.25">
      <c r="A33" s="67"/>
      <c r="B33" s="69"/>
      <c r="C33" s="74"/>
      <c r="D33" s="67"/>
      <c r="E33" s="30" t="s">
        <v>99</v>
      </c>
      <c r="F33" s="36" t="s">
        <v>100</v>
      </c>
      <c r="G33" s="36" t="s">
        <v>1033</v>
      </c>
      <c r="H33" s="36">
        <v>112</v>
      </c>
      <c r="I33" s="62">
        <v>144</v>
      </c>
      <c r="J33" s="59" t="s">
        <v>18</v>
      </c>
      <c r="K33" s="77"/>
    </row>
    <row r="34" spans="1:11" x14ac:dyDescent="0.25">
      <c r="A34" s="67"/>
      <c r="B34" s="69"/>
      <c r="C34" s="74"/>
      <c r="D34" s="67"/>
      <c r="E34" s="30" t="s">
        <v>89</v>
      </c>
      <c r="F34" s="36" t="s">
        <v>90</v>
      </c>
      <c r="G34" s="36" t="s">
        <v>1035</v>
      </c>
      <c r="H34" s="36">
        <v>3</v>
      </c>
      <c r="I34" s="59">
        <v>1300</v>
      </c>
      <c r="J34" s="59" t="s">
        <v>18</v>
      </c>
      <c r="K34" s="77"/>
    </row>
    <row r="35" spans="1:11" x14ac:dyDescent="0.25">
      <c r="A35" s="67" t="s">
        <v>101</v>
      </c>
      <c r="B35" s="68">
        <v>15</v>
      </c>
      <c r="C35" s="74"/>
      <c r="D35" s="70" t="s">
        <v>102</v>
      </c>
      <c r="E35" s="30" t="s">
        <v>110</v>
      </c>
      <c r="F35" s="36" t="s">
        <v>111</v>
      </c>
      <c r="G35" s="36" t="s">
        <v>1033</v>
      </c>
      <c r="H35" s="36">
        <v>460</v>
      </c>
      <c r="I35" s="62">
        <v>110</v>
      </c>
      <c r="J35" s="59" t="s">
        <v>18</v>
      </c>
      <c r="K35" s="77"/>
    </row>
    <row r="36" spans="1:11" x14ac:dyDescent="0.25">
      <c r="A36" s="67"/>
      <c r="B36" s="69"/>
      <c r="C36" s="74"/>
      <c r="D36" s="67"/>
      <c r="E36" s="30" t="s">
        <v>107</v>
      </c>
      <c r="F36" s="36" t="s">
        <v>108</v>
      </c>
      <c r="G36" s="36" t="s">
        <v>1031</v>
      </c>
      <c r="H36" s="36">
        <v>20</v>
      </c>
      <c r="I36" s="59">
        <v>2150</v>
      </c>
      <c r="J36" s="59" t="s">
        <v>18</v>
      </c>
      <c r="K36" s="77"/>
    </row>
    <row r="37" spans="1:11" x14ac:dyDescent="0.25">
      <c r="A37" s="67"/>
      <c r="B37" s="69"/>
      <c r="C37" s="74"/>
      <c r="D37" s="67"/>
      <c r="E37" s="30" t="s">
        <v>104</v>
      </c>
      <c r="F37" s="36" t="s">
        <v>105</v>
      </c>
      <c r="G37" s="36" t="s">
        <v>1031</v>
      </c>
      <c r="H37" s="36">
        <v>20</v>
      </c>
      <c r="I37" s="59">
        <v>1892</v>
      </c>
      <c r="J37" s="59" t="s">
        <v>18</v>
      </c>
      <c r="K37" s="77"/>
    </row>
    <row r="38" spans="1:11" x14ac:dyDescent="0.25">
      <c r="A38" s="30" t="s">
        <v>112</v>
      </c>
      <c r="B38" s="31">
        <v>16</v>
      </c>
      <c r="C38" s="74"/>
      <c r="D38" s="32" t="s">
        <v>113</v>
      </c>
      <c r="E38" s="30" t="s">
        <v>115</v>
      </c>
      <c r="F38" s="30" t="s">
        <v>116</v>
      </c>
      <c r="G38" s="30" t="s">
        <v>1030</v>
      </c>
      <c r="H38" s="30">
        <v>1</v>
      </c>
      <c r="I38" s="58">
        <v>420</v>
      </c>
      <c r="J38" s="58" t="s">
        <v>18</v>
      </c>
      <c r="K38" s="77"/>
    </row>
    <row r="39" spans="1:11" x14ac:dyDescent="0.25">
      <c r="A39" s="36" t="s">
        <v>112</v>
      </c>
      <c r="B39" s="37">
        <v>17</v>
      </c>
      <c r="C39" s="74"/>
      <c r="D39" s="38" t="s">
        <v>113</v>
      </c>
      <c r="E39" s="30" t="s">
        <v>115</v>
      </c>
      <c r="F39" s="36" t="s">
        <v>116</v>
      </c>
      <c r="G39" s="36" t="s">
        <v>1030</v>
      </c>
      <c r="H39" s="36">
        <v>1</v>
      </c>
      <c r="I39" s="59">
        <v>350</v>
      </c>
      <c r="J39" s="59" t="s">
        <v>18</v>
      </c>
      <c r="K39" s="77"/>
    </row>
    <row r="40" spans="1:11" x14ac:dyDescent="0.25">
      <c r="A40" s="63" t="s">
        <v>1011</v>
      </c>
      <c r="B40" s="64">
        <v>18</v>
      </c>
      <c r="C40" s="74"/>
      <c r="D40" s="66" t="s">
        <v>118</v>
      </c>
      <c r="E40" s="30" t="s">
        <v>120</v>
      </c>
      <c r="F40" s="30" t="s">
        <v>121</v>
      </c>
      <c r="G40" s="30" t="s">
        <v>1037</v>
      </c>
      <c r="H40" s="30">
        <v>1</v>
      </c>
      <c r="I40" s="58">
        <v>305</v>
      </c>
      <c r="J40" s="58" t="s">
        <v>18</v>
      </c>
      <c r="K40" s="77"/>
    </row>
    <row r="41" spans="1:11" x14ac:dyDescent="0.25">
      <c r="A41" s="63"/>
      <c r="B41" s="65"/>
      <c r="C41" s="74"/>
      <c r="D41" s="63"/>
      <c r="E41" s="30" t="s">
        <v>123</v>
      </c>
      <c r="F41" s="30" t="s">
        <v>124</v>
      </c>
      <c r="G41" s="30" t="s">
        <v>1037</v>
      </c>
      <c r="H41" s="30">
        <v>50</v>
      </c>
      <c r="I41" s="58">
        <v>745</v>
      </c>
      <c r="J41" s="58" t="s">
        <v>18</v>
      </c>
      <c r="K41" s="77"/>
    </row>
    <row r="42" spans="1:11" x14ac:dyDescent="0.25">
      <c r="A42" s="36" t="s">
        <v>826</v>
      </c>
      <c r="B42" s="37">
        <v>19</v>
      </c>
      <c r="C42" s="74"/>
      <c r="D42" s="38" t="s">
        <v>118</v>
      </c>
      <c r="E42" s="30" t="s">
        <v>123</v>
      </c>
      <c r="F42" s="36" t="s">
        <v>124</v>
      </c>
      <c r="G42" s="36" t="s">
        <v>1037</v>
      </c>
      <c r="H42" s="36">
        <v>30</v>
      </c>
      <c r="I42" s="59">
        <v>560</v>
      </c>
      <c r="J42" s="59" t="s">
        <v>18</v>
      </c>
      <c r="K42" s="77"/>
    </row>
    <row r="43" spans="1:11" x14ac:dyDescent="0.25">
      <c r="A43" s="30" t="s">
        <v>854</v>
      </c>
      <c r="B43" s="31">
        <v>20</v>
      </c>
      <c r="C43" s="74"/>
      <c r="D43" s="32" t="s">
        <v>118</v>
      </c>
      <c r="E43" s="30" t="s">
        <v>120</v>
      </c>
      <c r="F43" s="30" t="s">
        <v>121</v>
      </c>
      <c r="G43" s="30" t="s">
        <v>1037</v>
      </c>
      <c r="H43" s="30">
        <v>17</v>
      </c>
      <c r="I43" s="58">
        <v>335</v>
      </c>
      <c r="J43" s="58" t="s">
        <v>18</v>
      </c>
      <c r="K43" s="77"/>
    </row>
    <row r="44" spans="1:11" x14ac:dyDescent="0.25">
      <c r="A44" s="67" t="s">
        <v>396</v>
      </c>
      <c r="B44" s="68">
        <v>21</v>
      </c>
      <c r="C44" s="74"/>
      <c r="D44" s="70" t="s">
        <v>126</v>
      </c>
      <c r="E44" s="30" t="s">
        <v>131</v>
      </c>
      <c r="F44" s="36" t="s">
        <v>132</v>
      </c>
      <c r="G44" s="36" t="s">
        <v>1031</v>
      </c>
      <c r="H44" s="36">
        <v>12</v>
      </c>
      <c r="I44" s="59">
        <f>250*10.5</f>
        <v>2625</v>
      </c>
      <c r="J44" s="59" t="s">
        <v>18</v>
      </c>
      <c r="K44" s="77"/>
    </row>
    <row r="45" spans="1:11" x14ac:dyDescent="0.25">
      <c r="A45" s="67"/>
      <c r="B45" s="69"/>
      <c r="C45" s="74"/>
      <c r="D45" s="67"/>
      <c r="E45" s="30" t="s">
        <v>128</v>
      </c>
      <c r="F45" s="36" t="s">
        <v>129</v>
      </c>
      <c r="G45" s="36" t="s">
        <v>1031</v>
      </c>
      <c r="H45" s="36">
        <v>12</v>
      </c>
      <c r="I45" s="59">
        <f>220*10.5</f>
        <v>2310</v>
      </c>
      <c r="J45" s="59" t="s">
        <v>18</v>
      </c>
      <c r="K45" s="77"/>
    </row>
    <row r="46" spans="1:11" x14ac:dyDescent="0.25">
      <c r="A46" s="36" t="s">
        <v>133</v>
      </c>
      <c r="B46" s="37">
        <v>22</v>
      </c>
      <c r="C46" s="74"/>
      <c r="D46" s="38" t="s">
        <v>946</v>
      </c>
      <c r="E46" s="30" t="s">
        <v>154</v>
      </c>
      <c r="F46" s="36" t="s">
        <v>155</v>
      </c>
      <c r="G46" s="36" t="s">
        <v>1029</v>
      </c>
      <c r="H46" s="36">
        <v>1</v>
      </c>
      <c r="I46" s="62">
        <v>55</v>
      </c>
      <c r="J46" s="59" t="s">
        <v>18</v>
      </c>
      <c r="K46" s="77"/>
    </row>
    <row r="47" spans="1:11" x14ac:dyDescent="0.25">
      <c r="A47" s="63" t="s">
        <v>180</v>
      </c>
      <c r="B47" s="64">
        <v>23</v>
      </c>
      <c r="C47" s="74"/>
      <c r="D47" s="66" t="s">
        <v>181</v>
      </c>
      <c r="E47" s="30" t="s">
        <v>182</v>
      </c>
      <c r="F47" s="30" t="s">
        <v>182</v>
      </c>
      <c r="G47" s="30" t="s">
        <v>1038</v>
      </c>
      <c r="H47" s="30">
        <v>30</v>
      </c>
      <c r="I47" s="58">
        <v>6</v>
      </c>
      <c r="J47" s="58" t="s">
        <v>18</v>
      </c>
      <c r="K47" s="77"/>
    </row>
    <row r="48" spans="1:11" x14ac:dyDescent="0.25">
      <c r="A48" s="63"/>
      <c r="B48" s="65"/>
      <c r="C48" s="74"/>
      <c r="D48" s="63"/>
      <c r="E48" s="30" t="s">
        <v>235</v>
      </c>
      <c r="F48" s="30" t="s">
        <v>235</v>
      </c>
      <c r="G48" s="30" t="s">
        <v>1038</v>
      </c>
      <c r="H48" s="30">
        <v>300</v>
      </c>
      <c r="I48" s="58">
        <v>2.75</v>
      </c>
      <c r="J48" s="58" t="s">
        <v>18</v>
      </c>
      <c r="K48" s="77"/>
    </row>
    <row r="49" spans="1:11" x14ac:dyDescent="0.25">
      <c r="A49" s="36" t="s">
        <v>538</v>
      </c>
      <c r="B49" s="37">
        <v>24</v>
      </c>
      <c r="C49" s="74"/>
      <c r="D49" s="38" t="s">
        <v>181</v>
      </c>
      <c r="E49" s="30" t="s">
        <v>182</v>
      </c>
      <c r="F49" s="36" t="s">
        <v>182</v>
      </c>
      <c r="G49" s="36" t="s">
        <v>1038</v>
      </c>
      <c r="H49" s="36">
        <v>30</v>
      </c>
      <c r="I49" s="59">
        <v>16.5</v>
      </c>
      <c r="J49" s="59" t="s">
        <v>18</v>
      </c>
      <c r="K49" s="77"/>
    </row>
    <row r="50" spans="1:11" x14ac:dyDescent="0.25">
      <c r="A50" s="63" t="s">
        <v>392</v>
      </c>
      <c r="B50" s="64">
        <v>25</v>
      </c>
      <c r="C50" s="74"/>
      <c r="D50" s="66" t="s">
        <v>947</v>
      </c>
      <c r="E50" s="30" t="s">
        <v>186</v>
      </c>
      <c r="F50" s="30" t="s">
        <v>187</v>
      </c>
      <c r="G50" s="30" t="s">
        <v>1028</v>
      </c>
      <c r="H50" s="30">
        <v>100</v>
      </c>
      <c r="I50" s="58">
        <v>165</v>
      </c>
      <c r="J50" s="58" t="s">
        <v>18</v>
      </c>
      <c r="K50" s="77"/>
    </row>
    <row r="51" spans="1:11" x14ac:dyDescent="0.25">
      <c r="A51" s="63"/>
      <c r="B51" s="65"/>
      <c r="C51" s="74"/>
      <c r="D51" s="63"/>
      <c r="E51" s="30" t="s">
        <v>192</v>
      </c>
      <c r="F51" s="30" t="s">
        <v>193</v>
      </c>
      <c r="G51" s="30" t="s">
        <v>1031</v>
      </c>
      <c r="H51" s="30">
        <v>10</v>
      </c>
      <c r="I51" s="58">
        <v>2750</v>
      </c>
      <c r="J51" s="58" t="s">
        <v>18</v>
      </c>
      <c r="K51" s="77"/>
    </row>
    <row r="52" spans="1:11" x14ac:dyDescent="0.25">
      <c r="A52" s="63"/>
      <c r="B52" s="65"/>
      <c r="C52" s="74"/>
      <c r="D52" s="63"/>
      <c r="E52" s="30" t="s">
        <v>189</v>
      </c>
      <c r="F52" s="30" t="s">
        <v>190</v>
      </c>
      <c r="G52" s="30" t="s">
        <v>1031</v>
      </c>
      <c r="H52" s="30">
        <v>10</v>
      </c>
      <c r="I52" s="58">
        <v>2420</v>
      </c>
      <c r="J52" s="58" t="s">
        <v>18</v>
      </c>
      <c r="K52" s="77"/>
    </row>
    <row r="53" spans="1:11" x14ac:dyDescent="0.25">
      <c r="A53" s="36" t="s">
        <v>194</v>
      </c>
      <c r="B53" s="37">
        <v>26</v>
      </c>
      <c r="C53" s="74"/>
      <c r="D53" s="38" t="s">
        <v>195</v>
      </c>
      <c r="E53" s="30" t="s">
        <v>197</v>
      </c>
      <c r="F53" s="36" t="s">
        <v>198</v>
      </c>
      <c r="G53" s="36" t="s">
        <v>1035</v>
      </c>
      <c r="H53" s="36">
        <v>20</v>
      </c>
      <c r="I53" s="59">
        <v>350</v>
      </c>
      <c r="J53" s="59" t="s">
        <v>18</v>
      </c>
      <c r="K53" s="77"/>
    </row>
    <row r="54" spans="1:11" x14ac:dyDescent="0.25">
      <c r="A54" s="63" t="s">
        <v>1013</v>
      </c>
      <c r="B54" s="64">
        <v>27</v>
      </c>
      <c r="C54" s="74"/>
      <c r="D54" s="66" t="s">
        <v>200</v>
      </c>
      <c r="E54" s="30" t="s">
        <v>215</v>
      </c>
      <c r="F54" s="30" t="s">
        <v>216</v>
      </c>
      <c r="G54" s="30" t="s">
        <v>1039</v>
      </c>
      <c r="H54" s="30">
        <v>20</v>
      </c>
      <c r="I54" s="58">
        <v>68</v>
      </c>
      <c r="J54" s="58" t="s">
        <v>18</v>
      </c>
      <c r="K54" s="77"/>
    </row>
    <row r="55" spans="1:11" x14ac:dyDescent="0.25">
      <c r="A55" s="63"/>
      <c r="B55" s="65"/>
      <c r="C55" s="74"/>
      <c r="D55" s="63"/>
      <c r="E55" s="30" t="s">
        <v>202</v>
      </c>
      <c r="F55" s="30" t="s">
        <v>203</v>
      </c>
      <c r="G55" s="30" t="s">
        <v>1038</v>
      </c>
      <c r="H55" s="30">
        <v>3</v>
      </c>
      <c r="I55" s="58">
        <v>400</v>
      </c>
      <c r="J55" s="58" t="s">
        <v>18</v>
      </c>
      <c r="K55" s="77"/>
    </row>
    <row r="56" spans="1:11" x14ac:dyDescent="0.25">
      <c r="A56" s="63"/>
      <c r="B56" s="65"/>
      <c r="C56" s="74"/>
      <c r="D56" s="63"/>
      <c r="E56" s="30" t="s">
        <v>205</v>
      </c>
      <c r="F56" s="30" t="s">
        <v>206</v>
      </c>
      <c r="G56" s="30" t="s">
        <v>1038</v>
      </c>
      <c r="H56" s="30">
        <v>100</v>
      </c>
      <c r="I56" s="58">
        <v>38</v>
      </c>
      <c r="J56" s="58" t="s">
        <v>147</v>
      </c>
      <c r="K56" s="77"/>
    </row>
    <row r="57" spans="1:11" x14ac:dyDescent="0.25">
      <c r="A57" s="63"/>
      <c r="B57" s="65"/>
      <c r="C57" s="74"/>
      <c r="D57" s="63"/>
      <c r="E57" s="30" t="s">
        <v>208</v>
      </c>
      <c r="F57" s="30" t="s">
        <v>207</v>
      </c>
      <c r="G57" s="30" t="s">
        <v>1038</v>
      </c>
      <c r="H57" s="30">
        <v>100</v>
      </c>
      <c r="I57" s="58">
        <v>6.5</v>
      </c>
      <c r="J57" s="58" t="s">
        <v>209</v>
      </c>
      <c r="K57" s="77"/>
    </row>
    <row r="58" spans="1:11" x14ac:dyDescent="0.25">
      <c r="A58" s="63"/>
      <c r="B58" s="65"/>
      <c r="C58" s="74"/>
      <c r="D58" s="63"/>
      <c r="E58" s="30" t="s">
        <v>211</v>
      </c>
      <c r="F58" s="30" t="s">
        <v>211</v>
      </c>
      <c r="G58" s="30" t="s">
        <v>1038</v>
      </c>
      <c r="H58" s="30">
        <v>30</v>
      </c>
      <c r="I58" s="58">
        <v>1.4</v>
      </c>
      <c r="J58" s="58" t="s">
        <v>18</v>
      </c>
      <c r="K58" s="77"/>
    </row>
    <row r="59" spans="1:11" x14ac:dyDescent="0.25">
      <c r="A59" s="63"/>
      <c r="B59" s="65"/>
      <c r="C59" s="74"/>
      <c r="D59" s="63"/>
      <c r="E59" s="30" t="s">
        <v>213</v>
      </c>
      <c r="F59" s="30" t="s">
        <v>213</v>
      </c>
      <c r="G59" s="30" t="s">
        <v>1038</v>
      </c>
      <c r="H59" s="30">
        <v>30</v>
      </c>
      <c r="I59" s="58">
        <v>1.55</v>
      </c>
      <c r="J59" s="58" t="s">
        <v>18</v>
      </c>
      <c r="K59" s="77"/>
    </row>
    <row r="60" spans="1:11" x14ac:dyDescent="0.25">
      <c r="A60" s="63"/>
      <c r="B60" s="65"/>
      <c r="C60" s="74"/>
      <c r="D60" s="63"/>
      <c r="E60" s="30" t="s">
        <v>210</v>
      </c>
      <c r="F60" s="30" t="s">
        <v>210</v>
      </c>
      <c r="G60" s="30" t="s">
        <v>1040</v>
      </c>
      <c r="H60" s="30">
        <v>35</v>
      </c>
      <c r="I60" s="58">
        <v>11.5</v>
      </c>
      <c r="J60" s="58" t="s">
        <v>18</v>
      </c>
      <c r="K60" s="77"/>
    </row>
    <row r="61" spans="1:11" x14ac:dyDescent="0.25">
      <c r="A61" s="67" t="s">
        <v>1023</v>
      </c>
      <c r="B61" s="68">
        <v>28</v>
      </c>
      <c r="C61" s="74"/>
      <c r="D61" s="70" t="s">
        <v>218</v>
      </c>
      <c r="E61" s="30" t="s">
        <v>220</v>
      </c>
      <c r="F61" s="36" t="s">
        <v>221</v>
      </c>
      <c r="G61" s="36" t="s">
        <v>1033</v>
      </c>
      <c r="H61" s="36">
        <v>1</v>
      </c>
      <c r="I61" s="62">
        <v>128</v>
      </c>
      <c r="J61" s="59" t="s">
        <v>18</v>
      </c>
      <c r="K61" s="77"/>
    </row>
    <row r="62" spans="1:11" x14ac:dyDescent="0.25">
      <c r="A62" s="67"/>
      <c r="B62" s="69"/>
      <c r="C62" s="74"/>
      <c r="D62" s="67"/>
      <c r="E62" s="30" t="s">
        <v>223</v>
      </c>
      <c r="F62" s="36" t="s">
        <v>224</v>
      </c>
      <c r="G62" s="36" t="s">
        <v>1033</v>
      </c>
      <c r="H62" s="36">
        <v>138</v>
      </c>
      <c r="I62" s="62">
        <v>126</v>
      </c>
      <c r="J62" s="59" t="s">
        <v>18</v>
      </c>
      <c r="K62" s="77"/>
    </row>
    <row r="63" spans="1:11" x14ac:dyDescent="0.25">
      <c r="A63" s="30" t="s">
        <v>845</v>
      </c>
      <c r="B63" s="31">
        <v>29</v>
      </c>
      <c r="C63" s="74"/>
      <c r="D63" s="32" t="s">
        <v>218</v>
      </c>
      <c r="E63" s="30" t="s">
        <v>223</v>
      </c>
      <c r="F63" s="30" t="s">
        <v>224</v>
      </c>
      <c r="G63" s="30" t="s">
        <v>1033</v>
      </c>
      <c r="H63" s="30">
        <v>92</v>
      </c>
      <c r="I63" s="61">
        <v>128</v>
      </c>
      <c r="J63" s="58" t="s">
        <v>18</v>
      </c>
      <c r="K63" s="77"/>
    </row>
    <row r="64" spans="1:11" x14ac:dyDescent="0.25">
      <c r="A64" s="30" t="s">
        <v>225</v>
      </c>
      <c r="B64" s="31">
        <v>30</v>
      </c>
      <c r="C64" s="74"/>
      <c r="D64" s="32" t="s">
        <v>226</v>
      </c>
      <c r="E64" s="30" t="s">
        <v>228</v>
      </c>
      <c r="F64" s="30" t="s">
        <v>229</v>
      </c>
      <c r="G64" s="30" t="s">
        <v>1028</v>
      </c>
      <c r="H64" s="30">
        <v>150</v>
      </c>
      <c r="I64" s="58">
        <v>60</v>
      </c>
      <c r="J64" s="58" t="s">
        <v>18</v>
      </c>
      <c r="K64" s="77"/>
    </row>
    <row r="65" spans="1:11" x14ac:dyDescent="0.25">
      <c r="A65" s="63" t="s">
        <v>230</v>
      </c>
      <c r="B65" s="64">
        <v>31</v>
      </c>
      <c r="C65" s="74"/>
      <c r="D65" s="66" t="s">
        <v>231</v>
      </c>
      <c r="E65" s="30" t="s">
        <v>236</v>
      </c>
      <c r="F65" s="30" t="s">
        <v>236</v>
      </c>
      <c r="G65" s="30" t="s">
        <v>1038</v>
      </c>
      <c r="H65" s="30">
        <v>50</v>
      </c>
      <c r="I65" s="58">
        <v>6</v>
      </c>
      <c r="J65" s="58" t="s">
        <v>18</v>
      </c>
      <c r="K65" s="77"/>
    </row>
    <row r="66" spans="1:11" x14ac:dyDescent="0.25">
      <c r="A66" s="63"/>
      <c r="B66" s="65"/>
      <c r="C66" s="74"/>
      <c r="D66" s="63"/>
      <c r="E66" s="30" t="s">
        <v>235</v>
      </c>
      <c r="F66" s="30" t="s">
        <v>235</v>
      </c>
      <c r="G66" s="30" t="s">
        <v>1038</v>
      </c>
      <c r="H66" s="30">
        <v>200</v>
      </c>
      <c r="I66" s="58">
        <v>2.75</v>
      </c>
      <c r="J66" s="58" t="s">
        <v>18</v>
      </c>
      <c r="K66" s="77"/>
    </row>
    <row r="67" spans="1:11" x14ac:dyDescent="0.25">
      <c r="A67" s="63"/>
      <c r="B67" s="65"/>
      <c r="C67" s="74"/>
      <c r="D67" s="63"/>
      <c r="E67" s="30" t="s">
        <v>233</v>
      </c>
      <c r="F67" s="30" t="s">
        <v>234</v>
      </c>
      <c r="G67" s="30" t="s">
        <v>1038</v>
      </c>
      <c r="H67" s="30">
        <v>500</v>
      </c>
      <c r="I67" s="58">
        <v>5.25</v>
      </c>
      <c r="J67" s="58" t="s">
        <v>18</v>
      </c>
      <c r="K67" s="77"/>
    </row>
    <row r="68" spans="1:11" x14ac:dyDescent="0.25">
      <c r="A68" s="63"/>
      <c r="B68" s="65"/>
      <c r="C68" s="74"/>
      <c r="D68" s="63"/>
      <c r="E68" s="30" t="s">
        <v>238</v>
      </c>
      <c r="F68" s="30" t="s">
        <v>237</v>
      </c>
      <c r="G68" s="30" t="s">
        <v>1038</v>
      </c>
      <c r="H68" s="30">
        <v>100</v>
      </c>
      <c r="I68" s="58">
        <v>2</v>
      </c>
      <c r="J68" s="58" t="s">
        <v>147</v>
      </c>
      <c r="K68" s="77"/>
    </row>
    <row r="69" spans="1:11" x14ac:dyDescent="0.25">
      <c r="A69" s="67" t="s">
        <v>1014</v>
      </c>
      <c r="B69" s="68">
        <v>32</v>
      </c>
      <c r="C69" s="74"/>
      <c r="D69" s="70" t="s">
        <v>950</v>
      </c>
      <c r="E69" s="30" t="s">
        <v>276</v>
      </c>
      <c r="F69" s="36" t="s">
        <v>277</v>
      </c>
      <c r="G69" s="36" t="s">
        <v>1033</v>
      </c>
      <c r="H69" s="36">
        <v>276</v>
      </c>
      <c r="I69" s="62">
        <v>110</v>
      </c>
      <c r="J69" s="59" t="s">
        <v>18</v>
      </c>
      <c r="K69" s="77"/>
    </row>
    <row r="70" spans="1:11" x14ac:dyDescent="0.25">
      <c r="A70" s="67"/>
      <c r="B70" s="69"/>
      <c r="C70" s="74"/>
      <c r="D70" s="67"/>
      <c r="E70" s="30" t="s">
        <v>255</v>
      </c>
      <c r="F70" s="36" t="s">
        <v>256</v>
      </c>
      <c r="G70" s="36" t="s">
        <v>1034</v>
      </c>
      <c r="H70" s="36">
        <v>100</v>
      </c>
      <c r="I70" s="59">
        <v>32</v>
      </c>
      <c r="J70" s="59" t="s">
        <v>18</v>
      </c>
      <c r="K70" s="77"/>
    </row>
    <row r="71" spans="1:11" x14ac:dyDescent="0.25">
      <c r="A71" s="67"/>
      <c r="B71" s="69"/>
      <c r="C71" s="74"/>
      <c r="D71" s="67"/>
      <c r="E71" s="30" t="s">
        <v>271</v>
      </c>
      <c r="F71" s="36" t="s">
        <v>272</v>
      </c>
      <c r="G71" s="36" t="s">
        <v>1037</v>
      </c>
      <c r="H71" s="36">
        <v>46</v>
      </c>
      <c r="I71" s="59">
        <v>414</v>
      </c>
      <c r="J71" s="59" t="s">
        <v>18</v>
      </c>
      <c r="K71" s="77"/>
    </row>
    <row r="72" spans="1:11" x14ac:dyDescent="0.25">
      <c r="A72" s="67"/>
      <c r="B72" s="69"/>
      <c r="C72" s="74"/>
      <c r="D72" s="67"/>
      <c r="E72" s="30" t="s">
        <v>268</v>
      </c>
      <c r="F72" s="36" t="s">
        <v>269</v>
      </c>
      <c r="G72" s="36" t="s">
        <v>1041</v>
      </c>
      <c r="H72" s="36">
        <v>2</v>
      </c>
      <c r="I72" s="59">
        <v>128</v>
      </c>
      <c r="J72" s="59" t="s">
        <v>18</v>
      </c>
      <c r="K72" s="77"/>
    </row>
    <row r="73" spans="1:11" x14ac:dyDescent="0.25">
      <c r="A73" s="67"/>
      <c r="B73" s="69"/>
      <c r="C73" s="74"/>
      <c r="D73" s="67"/>
      <c r="E73" s="30" t="s">
        <v>246</v>
      </c>
      <c r="F73" s="36" t="s">
        <v>247</v>
      </c>
      <c r="G73" s="36" t="s">
        <v>1031</v>
      </c>
      <c r="H73" s="36">
        <v>6</v>
      </c>
      <c r="I73" s="59">
        <v>2025</v>
      </c>
      <c r="J73" s="59" t="s">
        <v>18</v>
      </c>
      <c r="K73" s="77"/>
    </row>
    <row r="74" spans="1:11" x14ac:dyDescent="0.25">
      <c r="A74" s="67"/>
      <c r="B74" s="69"/>
      <c r="C74" s="74"/>
      <c r="D74" s="67"/>
      <c r="E74" s="30" t="s">
        <v>249</v>
      </c>
      <c r="F74" s="36" t="s">
        <v>250</v>
      </c>
      <c r="G74" s="36" t="s">
        <v>1031</v>
      </c>
      <c r="H74" s="36">
        <v>6</v>
      </c>
      <c r="I74" s="59">
        <v>1782</v>
      </c>
      <c r="J74" s="59" t="s">
        <v>18</v>
      </c>
      <c r="K74" s="77"/>
    </row>
    <row r="75" spans="1:11" x14ac:dyDescent="0.25">
      <c r="A75" s="67"/>
      <c r="B75" s="69"/>
      <c r="C75" s="74"/>
      <c r="D75" s="67"/>
      <c r="E75" s="30" t="s">
        <v>243</v>
      </c>
      <c r="F75" s="36" t="s">
        <v>244</v>
      </c>
      <c r="G75" s="36" t="s">
        <v>1028</v>
      </c>
      <c r="H75" s="36">
        <v>1075</v>
      </c>
      <c r="I75" s="59">
        <v>47</v>
      </c>
      <c r="J75" s="59" t="s">
        <v>18</v>
      </c>
      <c r="K75" s="77"/>
    </row>
    <row r="76" spans="1:11" x14ac:dyDescent="0.25">
      <c r="A76" s="67"/>
      <c r="B76" s="69"/>
      <c r="C76" s="74"/>
      <c r="D76" s="67"/>
      <c r="E76" s="30" t="s">
        <v>258</v>
      </c>
      <c r="F76" s="36" t="s">
        <v>257</v>
      </c>
      <c r="G76" s="36" t="s">
        <v>1028</v>
      </c>
      <c r="H76" s="36">
        <v>450</v>
      </c>
      <c r="I76" s="59">
        <v>47</v>
      </c>
      <c r="J76" s="59" t="s">
        <v>18</v>
      </c>
      <c r="K76" s="77"/>
    </row>
    <row r="77" spans="1:11" x14ac:dyDescent="0.25">
      <c r="A77" s="67"/>
      <c r="B77" s="69"/>
      <c r="C77" s="74"/>
      <c r="D77" s="67"/>
      <c r="E77" s="30" t="s">
        <v>266</v>
      </c>
      <c r="F77" s="36" t="s">
        <v>265</v>
      </c>
      <c r="G77" s="36" t="s">
        <v>1028</v>
      </c>
      <c r="H77" s="36">
        <v>50</v>
      </c>
      <c r="I77" s="59">
        <v>110</v>
      </c>
      <c r="J77" s="59" t="s">
        <v>18</v>
      </c>
      <c r="K77" s="77"/>
    </row>
    <row r="78" spans="1:11" x14ac:dyDescent="0.25">
      <c r="A78" s="67"/>
      <c r="B78" s="69"/>
      <c r="C78" s="74"/>
      <c r="D78" s="67"/>
      <c r="E78" s="30" t="s">
        <v>274</v>
      </c>
      <c r="F78" s="36" t="s">
        <v>273</v>
      </c>
      <c r="G78" s="36" t="s">
        <v>1028</v>
      </c>
      <c r="H78" s="36">
        <v>100</v>
      </c>
      <c r="I78" s="59">
        <v>112</v>
      </c>
      <c r="J78" s="59" t="s">
        <v>18</v>
      </c>
      <c r="K78" s="77"/>
    </row>
    <row r="79" spans="1:11" x14ac:dyDescent="0.25">
      <c r="A79" s="67"/>
      <c r="B79" s="69"/>
      <c r="C79" s="74"/>
      <c r="D79" s="67"/>
      <c r="E79" s="30" t="s">
        <v>263</v>
      </c>
      <c r="F79" s="36" t="s">
        <v>264</v>
      </c>
      <c r="G79" s="36" t="s">
        <v>1042</v>
      </c>
      <c r="H79" s="36">
        <v>10</v>
      </c>
      <c r="I79" s="59">
        <v>215</v>
      </c>
      <c r="J79" s="59" t="s">
        <v>18</v>
      </c>
      <c r="K79" s="77"/>
    </row>
    <row r="80" spans="1:11" x14ac:dyDescent="0.25">
      <c r="A80" s="67"/>
      <c r="B80" s="69"/>
      <c r="C80" s="74"/>
      <c r="D80" s="67"/>
      <c r="E80" s="30" t="s">
        <v>252</v>
      </c>
      <c r="F80" s="36" t="s">
        <v>253</v>
      </c>
      <c r="G80" s="36" t="s">
        <v>1036</v>
      </c>
      <c r="H80" s="36">
        <v>45</v>
      </c>
      <c r="I80" s="59">
        <v>46</v>
      </c>
      <c r="J80" s="59" t="s">
        <v>18</v>
      </c>
      <c r="K80" s="77"/>
    </row>
    <row r="81" spans="1:11" x14ac:dyDescent="0.25">
      <c r="A81" s="67"/>
      <c r="B81" s="69"/>
      <c r="C81" s="74"/>
      <c r="D81" s="67"/>
      <c r="E81" s="30" t="s">
        <v>260</v>
      </c>
      <c r="F81" s="36" t="s">
        <v>261</v>
      </c>
      <c r="G81" s="36" t="s">
        <v>1043</v>
      </c>
      <c r="H81" s="36">
        <v>2</v>
      </c>
      <c r="I81" s="59">
        <v>97</v>
      </c>
      <c r="J81" s="59" t="s">
        <v>18</v>
      </c>
      <c r="K81" s="77"/>
    </row>
    <row r="82" spans="1:11" x14ac:dyDescent="0.25">
      <c r="A82" s="63" t="s">
        <v>1015</v>
      </c>
      <c r="B82" s="64">
        <v>33</v>
      </c>
      <c r="C82" s="74"/>
      <c r="D82" s="66" t="s">
        <v>950</v>
      </c>
      <c r="E82" s="30" t="s">
        <v>276</v>
      </c>
      <c r="F82" s="30" t="s">
        <v>277</v>
      </c>
      <c r="G82" s="30" t="s">
        <v>1033</v>
      </c>
      <c r="H82" s="30">
        <v>322</v>
      </c>
      <c r="I82" s="61">
        <v>109</v>
      </c>
      <c r="J82" s="58" t="s">
        <v>18</v>
      </c>
      <c r="K82" s="77"/>
    </row>
    <row r="83" spans="1:11" x14ac:dyDescent="0.25">
      <c r="A83" s="63"/>
      <c r="B83" s="65"/>
      <c r="C83" s="74"/>
      <c r="D83" s="63"/>
      <c r="E83" s="30" t="s">
        <v>246</v>
      </c>
      <c r="F83" s="30" t="s">
        <v>247</v>
      </c>
      <c r="G83" s="30" t="s">
        <v>1031</v>
      </c>
      <c r="H83" s="30">
        <v>19</v>
      </c>
      <c r="I83" s="58">
        <v>2225</v>
      </c>
      <c r="J83" s="58" t="s">
        <v>18</v>
      </c>
      <c r="K83" s="77"/>
    </row>
    <row r="84" spans="1:11" x14ac:dyDescent="0.25">
      <c r="A84" s="63"/>
      <c r="B84" s="65"/>
      <c r="C84" s="74"/>
      <c r="D84" s="63"/>
      <c r="E84" s="30" t="s">
        <v>249</v>
      </c>
      <c r="F84" s="30" t="s">
        <v>250</v>
      </c>
      <c r="G84" s="30" t="s">
        <v>1031</v>
      </c>
      <c r="H84" s="30">
        <v>19</v>
      </c>
      <c r="I84" s="58">
        <v>1958</v>
      </c>
      <c r="J84" s="58" t="s">
        <v>18</v>
      </c>
      <c r="K84" s="77"/>
    </row>
    <row r="85" spans="1:11" x14ac:dyDescent="0.25">
      <c r="A85" s="63"/>
      <c r="B85" s="65"/>
      <c r="C85" s="74"/>
      <c r="D85" s="63"/>
      <c r="E85" s="30" t="s">
        <v>243</v>
      </c>
      <c r="F85" s="30" t="s">
        <v>244</v>
      </c>
      <c r="G85" s="30" t="s">
        <v>1028</v>
      </c>
      <c r="H85" s="30">
        <v>200</v>
      </c>
      <c r="I85" s="58">
        <v>49</v>
      </c>
      <c r="J85" s="58" t="s">
        <v>18</v>
      </c>
      <c r="K85" s="77"/>
    </row>
    <row r="86" spans="1:11" x14ac:dyDescent="0.25">
      <c r="A86" s="63"/>
      <c r="B86" s="65"/>
      <c r="C86" s="74"/>
      <c r="D86" s="63"/>
      <c r="E86" s="30" t="s">
        <v>263</v>
      </c>
      <c r="F86" s="30" t="s">
        <v>264</v>
      </c>
      <c r="G86" s="30" t="s">
        <v>1042</v>
      </c>
      <c r="H86" s="30">
        <v>270</v>
      </c>
      <c r="I86" s="58">
        <v>216</v>
      </c>
      <c r="J86" s="58" t="s">
        <v>18</v>
      </c>
      <c r="K86" s="77"/>
    </row>
    <row r="87" spans="1:11" x14ac:dyDescent="0.25">
      <c r="A87" s="67" t="s">
        <v>1016</v>
      </c>
      <c r="B87" s="68">
        <v>34</v>
      </c>
      <c r="C87" s="74"/>
      <c r="D87" s="70" t="s">
        <v>950</v>
      </c>
      <c r="E87" s="30" t="s">
        <v>255</v>
      </c>
      <c r="F87" s="36" t="s">
        <v>256</v>
      </c>
      <c r="G87" s="36" t="s">
        <v>1034</v>
      </c>
      <c r="H87" s="36">
        <v>30</v>
      </c>
      <c r="I87" s="59">
        <v>39</v>
      </c>
      <c r="J87" s="59" t="s">
        <v>18</v>
      </c>
      <c r="K87" s="77"/>
    </row>
    <row r="88" spans="1:11" x14ac:dyDescent="0.25">
      <c r="A88" s="67"/>
      <c r="B88" s="69"/>
      <c r="C88" s="74"/>
      <c r="D88" s="67"/>
      <c r="E88" s="30" t="s">
        <v>246</v>
      </c>
      <c r="F88" s="36" t="s">
        <v>247</v>
      </c>
      <c r="G88" s="36" t="s">
        <v>1031</v>
      </c>
      <c r="H88" s="36">
        <v>1</v>
      </c>
      <c r="I88" s="59">
        <v>2600</v>
      </c>
      <c r="J88" s="59" t="s">
        <v>18</v>
      </c>
      <c r="K88" s="77"/>
    </row>
    <row r="89" spans="1:11" x14ac:dyDescent="0.25">
      <c r="A89" s="67"/>
      <c r="B89" s="69"/>
      <c r="C89" s="74"/>
      <c r="D89" s="67"/>
      <c r="E89" s="30" t="s">
        <v>249</v>
      </c>
      <c r="F89" s="36" t="s">
        <v>250</v>
      </c>
      <c r="G89" s="36" t="s">
        <v>1031</v>
      </c>
      <c r="H89" s="36">
        <v>1</v>
      </c>
      <c r="I89" s="59">
        <v>2288</v>
      </c>
      <c r="J89" s="59" t="s">
        <v>18</v>
      </c>
      <c r="K89" s="77"/>
    </row>
    <row r="90" spans="1:11" x14ac:dyDescent="0.25">
      <c r="A90" s="63" t="s">
        <v>1017</v>
      </c>
      <c r="B90" s="64">
        <v>35</v>
      </c>
      <c r="C90" s="74"/>
      <c r="D90" s="66" t="s">
        <v>950</v>
      </c>
      <c r="E90" s="30" t="s">
        <v>246</v>
      </c>
      <c r="F90" s="30" t="s">
        <v>247</v>
      </c>
      <c r="G90" s="30" t="s">
        <v>1031</v>
      </c>
      <c r="H90" s="30">
        <v>25</v>
      </c>
      <c r="I90" s="58">
        <v>2700</v>
      </c>
      <c r="J90" s="58" t="s">
        <v>18</v>
      </c>
      <c r="K90" s="77"/>
    </row>
    <row r="91" spans="1:11" x14ac:dyDescent="0.25">
      <c r="A91" s="63"/>
      <c r="B91" s="64"/>
      <c r="C91" s="74"/>
      <c r="D91" s="66"/>
      <c r="E91" s="30" t="s">
        <v>249</v>
      </c>
      <c r="F91" s="30" t="s">
        <v>250</v>
      </c>
      <c r="G91" s="30" t="s">
        <v>1031</v>
      </c>
      <c r="H91" s="30">
        <v>25</v>
      </c>
      <c r="I91" s="58">
        <v>2376</v>
      </c>
      <c r="J91" s="58" t="s">
        <v>18</v>
      </c>
      <c r="K91" s="77"/>
    </row>
    <row r="92" spans="1:11" x14ac:dyDescent="0.25">
      <c r="A92" s="67" t="s">
        <v>1018</v>
      </c>
      <c r="B92" s="68">
        <v>36</v>
      </c>
      <c r="C92" s="74"/>
      <c r="D92" s="70" t="s">
        <v>950</v>
      </c>
      <c r="E92" s="30" t="s">
        <v>255</v>
      </c>
      <c r="F92" s="36" t="s">
        <v>256</v>
      </c>
      <c r="G92" s="36" t="s">
        <v>1034</v>
      </c>
      <c r="H92" s="36">
        <v>150</v>
      </c>
      <c r="I92" s="59">
        <v>60</v>
      </c>
      <c r="J92" s="59" t="s">
        <v>18</v>
      </c>
      <c r="K92" s="77"/>
    </row>
    <row r="93" spans="1:11" x14ac:dyDescent="0.25">
      <c r="A93" s="67"/>
      <c r="B93" s="69"/>
      <c r="C93" s="74"/>
      <c r="D93" s="67"/>
      <c r="E93" s="30" t="s">
        <v>246</v>
      </c>
      <c r="F93" s="36" t="s">
        <v>247</v>
      </c>
      <c r="G93" s="36" t="s">
        <v>1031</v>
      </c>
      <c r="H93" s="36">
        <v>53</v>
      </c>
      <c r="I93" s="59">
        <v>3125</v>
      </c>
      <c r="J93" s="59" t="s">
        <v>18</v>
      </c>
      <c r="K93" s="77"/>
    </row>
    <row r="94" spans="1:11" x14ac:dyDescent="0.25">
      <c r="A94" s="67"/>
      <c r="B94" s="69"/>
      <c r="C94" s="74"/>
      <c r="D94" s="67"/>
      <c r="E94" s="30" t="s">
        <v>249</v>
      </c>
      <c r="F94" s="36" t="s">
        <v>250</v>
      </c>
      <c r="G94" s="36" t="s">
        <v>1031</v>
      </c>
      <c r="H94" s="36">
        <v>53</v>
      </c>
      <c r="I94" s="59">
        <v>2750</v>
      </c>
      <c r="J94" s="59" t="s">
        <v>18</v>
      </c>
      <c r="K94" s="77"/>
    </row>
    <row r="95" spans="1:11" x14ac:dyDescent="0.25">
      <c r="A95" s="67"/>
      <c r="B95" s="69"/>
      <c r="C95" s="74"/>
      <c r="D95" s="67"/>
      <c r="E95" s="30" t="s">
        <v>263</v>
      </c>
      <c r="F95" s="36" t="s">
        <v>264</v>
      </c>
      <c r="G95" s="36" t="s">
        <v>1042</v>
      </c>
      <c r="H95" s="36">
        <v>160</v>
      </c>
      <c r="I95" s="59">
        <v>170</v>
      </c>
      <c r="J95" s="59" t="s">
        <v>18</v>
      </c>
      <c r="K95" s="77"/>
    </row>
    <row r="96" spans="1:11" x14ac:dyDescent="0.25">
      <c r="A96" s="67" t="s">
        <v>1019</v>
      </c>
      <c r="B96" s="68">
        <v>37</v>
      </c>
      <c r="C96" s="74"/>
      <c r="D96" s="70" t="s">
        <v>950</v>
      </c>
      <c r="E96" s="30" t="s">
        <v>246</v>
      </c>
      <c r="F96" s="36" t="s">
        <v>247</v>
      </c>
      <c r="G96" s="36" t="s">
        <v>1031</v>
      </c>
      <c r="H96" s="36">
        <v>14</v>
      </c>
      <c r="I96" s="59">
        <v>2950</v>
      </c>
      <c r="J96" s="59" t="s">
        <v>18</v>
      </c>
      <c r="K96" s="77"/>
    </row>
    <row r="97" spans="1:11" x14ac:dyDescent="0.25">
      <c r="A97" s="67"/>
      <c r="B97" s="69"/>
      <c r="C97" s="74"/>
      <c r="D97" s="67"/>
      <c r="E97" s="30" t="s">
        <v>249</v>
      </c>
      <c r="F97" s="36" t="s">
        <v>250</v>
      </c>
      <c r="G97" s="36" t="s">
        <v>1031</v>
      </c>
      <c r="H97" s="36">
        <v>19</v>
      </c>
      <c r="I97" s="59">
        <v>2596</v>
      </c>
      <c r="J97" s="59" t="s">
        <v>18</v>
      </c>
      <c r="K97" s="77"/>
    </row>
    <row r="98" spans="1:11" x14ac:dyDescent="0.25">
      <c r="A98" s="30" t="s">
        <v>1020</v>
      </c>
      <c r="B98" s="31">
        <v>38</v>
      </c>
      <c r="C98" s="74"/>
      <c r="D98" s="32" t="s">
        <v>950</v>
      </c>
      <c r="E98" s="30" t="s">
        <v>246</v>
      </c>
      <c r="F98" s="30" t="s">
        <v>247</v>
      </c>
      <c r="G98" s="30" t="s">
        <v>1031</v>
      </c>
      <c r="H98" s="30">
        <v>14</v>
      </c>
      <c r="I98" s="58">
        <v>2050</v>
      </c>
      <c r="J98" s="58" t="s">
        <v>18</v>
      </c>
      <c r="K98" s="77"/>
    </row>
    <row r="99" spans="1:11" x14ac:dyDescent="0.25">
      <c r="A99" s="36" t="s">
        <v>797</v>
      </c>
      <c r="B99" s="37">
        <v>39</v>
      </c>
      <c r="C99" s="74"/>
      <c r="D99" s="38" t="s">
        <v>950</v>
      </c>
      <c r="E99" s="30" t="s">
        <v>249</v>
      </c>
      <c r="F99" s="36" t="s">
        <v>250</v>
      </c>
      <c r="G99" s="36" t="s">
        <v>1031</v>
      </c>
      <c r="H99" s="36">
        <v>14</v>
      </c>
      <c r="I99" s="59">
        <v>1804</v>
      </c>
      <c r="J99" s="59" t="s">
        <v>18</v>
      </c>
      <c r="K99" s="77"/>
    </row>
    <row r="100" spans="1:11" x14ac:dyDescent="0.25">
      <c r="A100" s="30" t="s">
        <v>278</v>
      </c>
      <c r="B100" s="31">
        <v>40</v>
      </c>
      <c r="C100" s="74"/>
      <c r="D100" s="32" t="s">
        <v>279</v>
      </c>
      <c r="E100" s="30" t="s">
        <v>281</v>
      </c>
      <c r="F100" s="30" t="s">
        <v>282</v>
      </c>
      <c r="G100" s="30" t="s">
        <v>1030</v>
      </c>
      <c r="H100" s="30">
        <v>1</v>
      </c>
      <c r="I100" s="58">
        <v>8000</v>
      </c>
      <c r="J100" s="58" t="s">
        <v>283</v>
      </c>
      <c r="K100" s="77"/>
    </row>
    <row r="101" spans="1:11" x14ac:dyDescent="0.25">
      <c r="A101" s="67" t="s">
        <v>1021</v>
      </c>
      <c r="B101" s="68">
        <v>41</v>
      </c>
      <c r="C101" s="74"/>
      <c r="D101" s="70" t="s">
        <v>285</v>
      </c>
      <c r="E101" s="30" t="s">
        <v>287</v>
      </c>
      <c r="F101" s="36" t="s">
        <v>288</v>
      </c>
      <c r="G101" s="36" t="s">
        <v>1033</v>
      </c>
      <c r="H101" s="36">
        <v>4488</v>
      </c>
      <c r="I101" s="62">
        <v>100</v>
      </c>
      <c r="J101" s="59" t="s">
        <v>18</v>
      </c>
      <c r="K101" s="77"/>
    </row>
    <row r="102" spans="1:11" x14ac:dyDescent="0.25">
      <c r="A102" s="67"/>
      <c r="B102" s="69"/>
      <c r="C102" s="74"/>
      <c r="D102" s="67"/>
      <c r="E102" s="30" t="s">
        <v>290</v>
      </c>
      <c r="F102" s="36" t="s">
        <v>291</v>
      </c>
      <c r="G102" s="36" t="s">
        <v>1033</v>
      </c>
      <c r="H102" s="36">
        <v>1777</v>
      </c>
      <c r="I102" s="62">
        <v>115</v>
      </c>
      <c r="J102" s="59" t="s">
        <v>18</v>
      </c>
      <c r="K102" s="77"/>
    </row>
    <row r="103" spans="1:11" x14ac:dyDescent="0.25">
      <c r="A103" s="67"/>
      <c r="B103" s="69"/>
      <c r="C103" s="74"/>
      <c r="D103" s="67"/>
      <c r="E103" s="30" t="s">
        <v>299</v>
      </c>
      <c r="F103" s="36" t="s">
        <v>300</v>
      </c>
      <c r="G103" s="36" t="s">
        <v>1035</v>
      </c>
      <c r="H103" s="36">
        <v>2</v>
      </c>
      <c r="I103" s="59">
        <v>900</v>
      </c>
      <c r="J103" s="59" t="s">
        <v>18</v>
      </c>
      <c r="K103" s="77"/>
    </row>
    <row r="104" spans="1:11" x14ac:dyDescent="0.25">
      <c r="A104" s="67"/>
      <c r="B104" s="69"/>
      <c r="C104" s="74"/>
      <c r="D104" s="67"/>
      <c r="E104" s="30" t="s">
        <v>296</v>
      </c>
      <c r="F104" s="36" t="s">
        <v>297</v>
      </c>
      <c r="G104" s="36" t="s">
        <v>1036</v>
      </c>
      <c r="H104" s="36">
        <v>1000</v>
      </c>
      <c r="I104" s="59">
        <v>14.4</v>
      </c>
      <c r="J104" s="59" t="s">
        <v>18</v>
      </c>
      <c r="K104" s="77"/>
    </row>
    <row r="105" spans="1:11" x14ac:dyDescent="0.25">
      <c r="A105" s="67"/>
      <c r="B105" s="69"/>
      <c r="C105" s="74"/>
      <c r="D105" s="67"/>
      <c r="E105" s="30" t="s">
        <v>293</v>
      </c>
      <c r="F105" s="36" t="s">
        <v>294</v>
      </c>
      <c r="G105" s="36" t="s">
        <v>1028</v>
      </c>
      <c r="H105" s="36">
        <v>64</v>
      </c>
      <c r="I105" s="59">
        <v>115</v>
      </c>
      <c r="J105" s="59" t="s">
        <v>18</v>
      </c>
      <c r="K105" s="77"/>
    </row>
    <row r="106" spans="1:11" x14ac:dyDescent="0.25">
      <c r="A106" s="67"/>
      <c r="B106" s="69"/>
      <c r="C106" s="74"/>
      <c r="D106" s="67"/>
      <c r="E106" s="30" t="s">
        <v>302</v>
      </c>
      <c r="F106" s="36" t="s">
        <v>303</v>
      </c>
      <c r="G106" s="36" t="s">
        <v>1042</v>
      </c>
      <c r="H106" s="36">
        <v>5</v>
      </c>
      <c r="I106" s="59">
        <v>238</v>
      </c>
      <c r="J106" s="59" t="s">
        <v>18</v>
      </c>
      <c r="K106" s="77"/>
    </row>
    <row r="107" spans="1:11" x14ac:dyDescent="0.25">
      <c r="A107" s="67"/>
      <c r="B107" s="69"/>
      <c r="C107" s="74"/>
      <c r="D107" s="67"/>
      <c r="E107" s="30" t="s">
        <v>305</v>
      </c>
      <c r="F107" s="36" t="s">
        <v>306</v>
      </c>
      <c r="G107" s="36" t="s">
        <v>1033</v>
      </c>
      <c r="H107" s="36">
        <v>184</v>
      </c>
      <c r="I107" s="62">
        <v>128</v>
      </c>
      <c r="J107" s="59" t="s">
        <v>18</v>
      </c>
      <c r="K107" s="77"/>
    </row>
    <row r="108" spans="1:11" x14ac:dyDescent="0.25">
      <c r="A108" s="63" t="s">
        <v>1022</v>
      </c>
      <c r="B108" s="64">
        <v>42</v>
      </c>
      <c r="C108" s="74"/>
      <c r="D108" s="66" t="s">
        <v>285</v>
      </c>
      <c r="E108" s="30" t="s">
        <v>290</v>
      </c>
      <c r="F108" s="30" t="s">
        <v>291</v>
      </c>
      <c r="G108" s="30" t="s">
        <v>1033</v>
      </c>
      <c r="H108" s="30">
        <v>873</v>
      </c>
      <c r="I108" s="61">
        <v>125</v>
      </c>
      <c r="J108" s="58" t="s">
        <v>18</v>
      </c>
      <c r="K108" s="77"/>
    </row>
    <row r="109" spans="1:11" x14ac:dyDescent="0.25">
      <c r="A109" s="63"/>
      <c r="B109" s="64"/>
      <c r="C109" s="74"/>
      <c r="D109" s="66"/>
      <c r="E109" s="30" t="s">
        <v>299</v>
      </c>
      <c r="F109" s="30" t="s">
        <v>300</v>
      </c>
      <c r="G109" s="30" t="s">
        <v>1035</v>
      </c>
      <c r="H109" s="30">
        <v>8</v>
      </c>
      <c r="I109" s="58">
        <v>850</v>
      </c>
      <c r="J109" s="58" t="s">
        <v>18</v>
      </c>
      <c r="K109" s="77"/>
    </row>
    <row r="110" spans="1:11" x14ac:dyDescent="0.25">
      <c r="A110" s="43" t="s">
        <v>813</v>
      </c>
      <c r="B110" s="44">
        <v>43</v>
      </c>
      <c r="C110" s="74"/>
      <c r="D110" s="45" t="s">
        <v>285</v>
      </c>
      <c r="E110" s="57" t="s">
        <v>287</v>
      </c>
      <c r="F110" s="43" t="s">
        <v>288</v>
      </c>
      <c r="G110" s="43" t="s">
        <v>1033</v>
      </c>
      <c r="H110" s="43">
        <v>3739</v>
      </c>
      <c r="I110" s="62">
        <v>110</v>
      </c>
      <c r="J110" s="59" t="s">
        <v>18</v>
      </c>
      <c r="K110" s="77"/>
    </row>
    <row r="111" spans="1:11" x14ac:dyDescent="0.25">
      <c r="A111" s="67" t="s">
        <v>307</v>
      </c>
      <c r="B111" s="68">
        <v>44</v>
      </c>
      <c r="C111" s="74"/>
      <c r="D111" s="70" t="s">
        <v>308</v>
      </c>
      <c r="E111" s="30" t="s">
        <v>317</v>
      </c>
      <c r="F111" s="36" t="s">
        <v>318</v>
      </c>
      <c r="G111" s="36" t="s">
        <v>1034</v>
      </c>
      <c r="H111" s="36">
        <v>65</v>
      </c>
      <c r="I111" s="59">
        <v>36</v>
      </c>
      <c r="J111" s="59" t="s">
        <v>18</v>
      </c>
      <c r="K111" s="77"/>
    </row>
    <row r="112" spans="1:11" x14ac:dyDescent="0.25">
      <c r="A112" s="67"/>
      <c r="B112" s="69"/>
      <c r="C112" s="74"/>
      <c r="D112" s="67"/>
      <c r="E112" s="30" t="s">
        <v>336</v>
      </c>
      <c r="F112" s="36" t="s">
        <v>337</v>
      </c>
      <c r="G112" s="36" t="s">
        <v>1036</v>
      </c>
      <c r="H112" s="36">
        <v>200</v>
      </c>
      <c r="I112" s="59">
        <v>14</v>
      </c>
      <c r="J112" s="59" t="s">
        <v>18</v>
      </c>
      <c r="K112" s="77"/>
    </row>
    <row r="113" spans="1:11" x14ac:dyDescent="0.25">
      <c r="A113" s="67"/>
      <c r="B113" s="69"/>
      <c r="C113" s="74"/>
      <c r="D113" s="67"/>
      <c r="E113" s="30" t="s">
        <v>332</v>
      </c>
      <c r="F113" s="36" t="s">
        <v>333</v>
      </c>
      <c r="G113" s="36" t="s">
        <v>1028</v>
      </c>
      <c r="H113" s="36">
        <v>2000</v>
      </c>
      <c r="I113" s="59">
        <v>48</v>
      </c>
      <c r="J113" s="59" t="s">
        <v>18</v>
      </c>
      <c r="K113" s="77"/>
    </row>
    <row r="114" spans="1:11" x14ac:dyDescent="0.25">
      <c r="A114" s="67"/>
      <c r="B114" s="69"/>
      <c r="C114" s="74"/>
      <c r="D114" s="67"/>
      <c r="E114" s="30" t="s">
        <v>324</v>
      </c>
      <c r="F114" s="36" t="s">
        <v>325</v>
      </c>
      <c r="G114" s="36" t="s">
        <v>1028</v>
      </c>
      <c r="H114" s="36">
        <v>650</v>
      </c>
      <c r="I114" s="59">
        <v>71</v>
      </c>
      <c r="J114" s="59" t="s">
        <v>18</v>
      </c>
      <c r="K114" s="77"/>
    </row>
    <row r="115" spans="1:11" x14ac:dyDescent="0.25">
      <c r="A115" s="67"/>
      <c r="B115" s="69"/>
      <c r="C115" s="74"/>
      <c r="D115" s="67"/>
      <c r="E115" s="30" t="s">
        <v>321</v>
      </c>
      <c r="F115" s="36" t="s">
        <v>322</v>
      </c>
      <c r="G115" s="36" t="s">
        <v>1028</v>
      </c>
      <c r="H115" s="36">
        <v>600</v>
      </c>
      <c r="I115" s="59">
        <v>79</v>
      </c>
      <c r="J115" s="59" t="s">
        <v>18</v>
      </c>
      <c r="K115" s="77"/>
    </row>
    <row r="116" spans="1:11" x14ac:dyDescent="0.25">
      <c r="A116" s="67"/>
      <c r="B116" s="69"/>
      <c r="C116" s="74"/>
      <c r="D116" s="67"/>
      <c r="E116" s="30" t="s">
        <v>328</v>
      </c>
      <c r="F116" s="36" t="s">
        <v>329</v>
      </c>
      <c r="G116" s="36" t="s">
        <v>1028</v>
      </c>
      <c r="H116" s="36">
        <v>200</v>
      </c>
      <c r="I116" s="59">
        <v>56</v>
      </c>
      <c r="J116" s="59" t="s">
        <v>18</v>
      </c>
      <c r="K116" s="77"/>
    </row>
    <row r="117" spans="1:11" x14ac:dyDescent="0.25">
      <c r="A117" s="67"/>
      <c r="B117" s="69"/>
      <c r="C117" s="74"/>
      <c r="D117" s="67"/>
      <c r="E117" s="30" t="s">
        <v>310</v>
      </c>
      <c r="F117" s="36" t="s">
        <v>311</v>
      </c>
      <c r="G117" s="36" t="s">
        <v>1028</v>
      </c>
      <c r="H117" s="36">
        <v>120</v>
      </c>
      <c r="I117" s="59">
        <v>85</v>
      </c>
      <c r="J117" s="59" t="s">
        <v>18</v>
      </c>
      <c r="K117" s="77"/>
    </row>
    <row r="118" spans="1:11" x14ac:dyDescent="0.25">
      <c r="A118" s="67"/>
      <c r="B118" s="69"/>
      <c r="C118" s="74"/>
      <c r="D118" s="67"/>
      <c r="E118" s="30" t="s">
        <v>313</v>
      </c>
      <c r="F118" s="36" t="s">
        <v>314</v>
      </c>
      <c r="G118" s="36" t="s">
        <v>1036</v>
      </c>
      <c r="H118" s="36">
        <v>100</v>
      </c>
      <c r="I118" s="59">
        <v>100</v>
      </c>
      <c r="J118" s="59" t="s">
        <v>18</v>
      </c>
      <c r="K118" s="77"/>
    </row>
    <row r="119" spans="1:11" x14ac:dyDescent="0.25">
      <c r="A119" s="63" t="s">
        <v>338</v>
      </c>
      <c r="B119" s="64">
        <v>45</v>
      </c>
      <c r="C119" s="74"/>
      <c r="D119" s="66" t="s">
        <v>339</v>
      </c>
      <c r="E119" s="30" t="s">
        <v>341</v>
      </c>
      <c r="F119" s="30" t="s">
        <v>342</v>
      </c>
      <c r="G119" s="30" t="s">
        <v>1033</v>
      </c>
      <c r="H119" s="30">
        <v>155</v>
      </c>
      <c r="I119" s="61">
        <v>240</v>
      </c>
      <c r="J119" s="58" t="s">
        <v>18</v>
      </c>
      <c r="K119" s="77"/>
    </row>
    <row r="120" spans="1:11" x14ac:dyDescent="0.25">
      <c r="A120" s="63"/>
      <c r="B120" s="65"/>
      <c r="C120" s="74"/>
      <c r="D120" s="63"/>
      <c r="E120" s="30" t="s">
        <v>351</v>
      </c>
      <c r="F120" s="30" t="s">
        <v>352</v>
      </c>
      <c r="G120" s="30" t="s">
        <v>1033</v>
      </c>
      <c r="H120" s="30">
        <v>25</v>
      </c>
      <c r="I120" s="61">
        <v>100</v>
      </c>
      <c r="J120" s="58" t="s">
        <v>18</v>
      </c>
      <c r="K120" s="77"/>
    </row>
    <row r="121" spans="1:11" x14ac:dyDescent="0.25">
      <c r="A121" s="63"/>
      <c r="B121" s="65"/>
      <c r="C121" s="74"/>
      <c r="D121" s="63"/>
      <c r="E121" s="30" t="s">
        <v>348</v>
      </c>
      <c r="F121" s="30" t="s">
        <v>349</v>
      </c>
      <c r="G121" s="30" t="s">
        <v>1034</v>
      </c>
      <c r="H121" s="30">
        <v>350</v>
      </c>
      <c r="I121" s="58">
        <v>18</v>
      </c>
      <c r="J121" s="58" t="s">
        <v>18</v>
      </c>
      <c r="K121" s="77"/>
    </row>
    <row r="122" spans="1:11" x14ac:dyDescent="0.25">
      <c r="A122" s="63"/>
      <c r="B122" s="65"/>
      <c r="C122" s="74"/>
      <c r="D122" s="63"/>
      <c r="E122" s="30" t="s">
        <v>364</v>
      </c>
      <c r="F122" s="30" t="s">
        <v>363</v>
      </c>
      <c r="G122" s="30" t="s">
        <v>1034</v>
      </c>
      <c r="H122" s="30">
        <v>150</v>
      </c>
      <c r="I122" s="58">
        <v>30</v>
      </c>
      <c r="J122" s="58" t="s">
        <v>18</v>
      </c>
      <c r="K122" s="77"/>
    </row>
    <row r="123" spans="1:11" x14ac:dyDescent="0.25">
      <c r="A123" s="63"/>
      <c r="B123" s="65"/>
      <c r="C123" s="74"/>
      <c r="D123" s="63"/>
      <c r="E123" s="30" t="s">
        <v>354</v>
      </c>
      <c r="F123" s="30" t="s">
        <v>355</v>
      </c>
      <c r="G123" s="30" t="s">
        <v>1035</v>
      </c>
      <c r="H123" s="30">
        <v>1</v>
      </c>
      <c r="I123" s="58">
        <v>850</v>
      </c>
      <c r="J123" s="58" t="s">
        <v>18</v>
      </c>
      <c r="K123" s="77"/>
    </row>
    <row r="124" spans="1:11" x14ac:dyDescent="0.25">
      <c r="A124" s="63"/>
      <c r="B124" s="65"/>
      <c r="C124" s="74"/>
      <c r="D124" s="63"/>
      <c r="E124" s="30" t="s">
        <v>357</v>
      </c>
      <c r="F124" s="30" t="s">
        <v>358</v>
      </c>
      <c r="G124" s="30" t="s">
        <v>1033</v>
      </c>
      <c r="H124" s="30">
        <v>235</v>
      </c>
      <c r="I124" s="61">
        <v>126</v>
      </c>
      <c r="J124" s="58" t="s">
        <v>18</v>
      </c>
      <c r="K124" s="77"/>
    </row>
    <row r="125" spans="1:11" x14ac:dyDescent="0.25">
      <c r="A125" s="63"/>
      <c r="B125" s="65"/>
      <c r="C125" s="74"/>
      <c r="D125" s="63"/>
      <c r="E125" s="30" t="s">
        <v>360</v>
      </c>
      <c r="F125" s="30" t="s">
        <v>361</v>
      </c>
      <c r="G125" s="30" t="s">
        <v>1033</v>
      </c>
      <c r="H125" s="30">
        <v>822</v>
      </c>
      <c r="I125" s="61">
        <v>120</v>
      </c>
      <c r="J125" s="58" t="s">
        <v>18</v>
      </c>
      <c r="K125" s="77"/>
    </row>
    <row r="126" spans="1:11" x14ac:dyDescent="0.25">
      <c r="A126" s="63"/>
      <c r="B126" s="65"/>
      <c r="C126" s="74"/>
      <c r="D126" s="63"/>
      <c r="E126" s="30" t="s">
        <v>345</v>
      </c>
      <c r="F126" s="30" t="s">
        <v>346</v>
      </c>
      <c r="G126" s="30" t="s">
        <v>1036</v>
      </c>
      <c r="H126" s="30">
        <v>2</v>
      </c>
      <c r="I126" s="58">
        <v>120</v>
      </c>
      <c r="J126" s="58" t="s">
        <v>18</v>
      </c>
      <c r="K126" s="77"/>
    </row>
    <row r="127" spans="1:11" ht="27" x14ac:dyDescent="0.25">
      <c r="A127" s="46" t="s">
        <v>338</v>
      </c>
      <c r="B127" s="47">
        <v>46</v>
      </c>
      <c r="C127" s="75"/>
      <c r="D127" s="48" t="s">
        <v>339</v>
      </c>
      <c r="E127" s="56" t="s">
        <v>354</v>
      </c>
      <c r="F127" s="46" t="s">
        <v>355</v>
      </c>
      <c r="G127" s="46" t="s">
        <v>1035</v>
      </c>
      <c r="H127" s="46">
        <v>8</v>
      </c>
      <c r="I127" s="59">
        <v>1000</v>
      </c>
      <c r="J127" s="59" t="s">
        <v>18</v>
      </c>
      <c r="K127" s="78"/>
    </row>
  </sheetData>
  <autoFilter ref="A1:L127" xr:uid="{28541AEC-58C0-4275-81CA-D5161539FA42}"/>
  <mergeCells count="83">
    <mergeCell ref="K2:K127"/>
    <mergeCell ref="A2:A4"/>
    <mergeCell ref="B2:B4"/>
    <mergeCell ref="D2:D4"/>
    <mergeCell ref="A7:A8"/>
    <mergeCell ref="B7:B8"/>
    <mergeCell ref="D7:D8"/>
    <mergeCell ref="C2:C127"/>
    <mergeCell ref="A10:A11"/>
    <mergeCell ref="B10:B11"/>
    <mergeCell ref="D10:D11"/>
    <mergeCell ref="A12:A19"/>
    <mergeCell ref="B12:B19"/>
    <mergeCell ref="D12:D19"/>
    <mergeCell ref="A20:A21"/>
    <mergeCell ref="B20:B21"/>
    <mergeCell ref="D20:D21"/>
    <mergeCell ref="A22:A23"/>
    <mergeCell ref="B22:B23"/>
    <mergeCell ref="D22:D23"/>
    <mergeCell ref="A25:A27"/>
    <mergeCell ref="B25:B27"/>
    <mergeCell ref="D25:D27"/>
    <mergeCell ref="A28:A29"/>
    <mergeCell ref="B28:B29"/>
    <mergeCell ref="D28:D29"/>
    <mergeCell ref="A31:A34"/>
    <mergeCell ref="B31:B34"/>
    <mergeCell ref="D31:D34"/>
    <mergeCell ref="A35:A37"/>
    <mergeCell ref="B35:B37"/>
    <mergeCell ref="D35:D37"/>
    <mergeCell ref="A44:A45"/>
    <mergeCell ref="B44:B45"/>
    <mergeCell ref="D44:D45"/>
    <mergeCell ref="A40:A41"/>
    <mergeCell ref="B40:B41"/>
    <mergeCell ref="D40:D41"/>
    <mergeCell ref="A47:A48"/>
    <mergeCell ref="B47:B48"/>
    <mergeCell ref="D47:D48"/>
    <mergeCell ref="A50:A52"/>
    <mergeCell ref="B50:B52"/>
    <mergeCell ref="D50:D52"/>
    <mergeCell ref="A54:A60"/>
    <mergeCell ref="B54:B60"/>
    <mergeCell ref="D54:D60"/>
    <mergeCell ref="A61:A62"/>
    <mergeCell ref="B61:B62"/>
    <mergeCell ref="D61:D62"/>
    <mergeCell ref="A65:A68"/>
    <mergeCell ref="B65:B68"/>
    <mergeCell ref="D65:D68"/>
    <mergeCell ref="A69:A81"/>
    <mergeCell ref="B69:B81"/>
    <mergeCell ref="D69:D81"/>
    <mergeCell ref="A82:A86"/>
    <mergeCell ref="B82:B86"/>
    <mergeCell ref="D82:D86"/>
    <mergeCell ref="A87:A89"/>
    <mergeCell ref="B87:B89"/>
    <mergeCell ref="D87:D89"/>
    <mergeCell ref="A90:A91"/>
    <mergeCell ref="B90:B91"/>
    <mergeCell ref="D90:D91"/>
    <mergeCell ref="A92:A95"/>
    <mergeCell ref="B92:B95"/>
    <mergeCell ref="D92:D95"/>
    <mergeCell ref="A96:A97"/>
    <mergeCell ref="B96:B97"/>
    <mergeCell ref="D96:D97"/>
    <mergeCell ref="A101:A107"/>
    <mergeCell ref="B101:B107"/>
    <mergeCell ref="D101:D107"/>
    <mergeCell ref="A119:A126"/>
    <mergeCell ref="B119:B126"/>
    <mergeCell ref="D119:D126"/>
    <mergeCell ref="A108:A109"/>
    <mergeCell ref="B108:B109"/>
    <mergeCell ref="D108:D109"/>
    <mergeCell ref="A111:A118"/>
    <mergeCell ref="B111:B118"/>
    <mergeCell ref="D111:D1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1AEC-58C0-4275-81CA-D5161539FA42}">
  <dimension ref="A1:I144"/>
  <sheetViews>
    <sheetView topLeftCell="A103" zoomScaleNormal="100" workbookViewId="0">
      <selection activeCell="K2" sqref="K2:K127"/>
    </sheetView>
  </sheetViews>
  <sheetFormatPr defaultRowHeight="15" x14ac:dyDescent="0.25"/>
  <cols>
    <col min="1" max="1" width="37.140625" customWidth="1"/>
    <col min="2" max="2" width="18.7109375" style="7" customWidth="1"/>
    <col min="3" max="3" width="52.140625" customWidth="1"/>
    <col min="4" max="4" width="62" customWidth="1"/>
    <col min="5" max="5" width="10.7109375" style="7" customWidth="1"/>
    <col min="6" max="6" width="12.28515625" style="29" customWidth="1"/>
    <col min="7" max="7" width="10.7109375" style="8" customWidth="1"/>
    <col min="8" max="8" width="136.42578125" style="5" customWidth="1"/>
    <col min="9" max="9" width="9.140625" customWidth="1"/>
  </cols>
  <sheetData>
    <row r="1" spans="1:9" s="50" customFormat="1" ht="24" customHeight="1" x14ac:dyDescent="0.25">
      <c r="A1" s="51" t="s">
        <v>0</v>
      </c>
      <c r="B1" s="52" t="s">
        <v>1005</v>
      </c>
      <c r="C1" s="51" t="s">
        <v>1</v>
      </c>
      <c r="D1" s="51" t="s">
        <v>6</v>
      </c>
      <c r="E1" s="51" t="s">
        <v>8</v>
      </c>
      <c r="F1" s="53" t="s">
        <v>940</v>
      </c>
      <c r="G1" s="51" t="s">
        <v>942</v>
      </c>
      <c r="H1" s="49"/>
    </row>
    <row r="2" spans="1:9" s="1" customFormat="1" x14ac:dyDescent="0.25">
      <c r="A2" s="63" t="s">
        <v>861</v>
      </c>
      <c r="B2" s="64">
        <v>1</v>
      </c>
      <c r="C2" s="66" t="s">
        <v>13</v>
      </c>
      <c r="D2" s="33" t="s">
        <v>20</v>
      </c>
      <c r="E2" s="34">
        <v>1</v>
      </c>
      <c r="F2" s="54">
        <v>200</v>
      </c>
      <c r="G2" s="35" t="s">
        <v>18</v>
      </c>
      <c r="H2" s="12"/>
      <c r="I2" s="1" t="str" cm="1">
        <f t="array" aca="1" ref="I2" ca="1">IFERROR(TOCOL(TEXTSPLIT(_xlfn.TEXTJOIN(CHAR(10),TRUE,'Main Sheet'!L2:L5000),,CHAR(10),TRUE),1),"")</f>
        <v/>
      </c>
    </row>
    <row r="3" spans="1:9" x14ac:dyDescent="0.25">
      <c r="A3" s="63"/>
      <c r="B3" s="65"/>
      <c r="C3" s="63"/>
      <c r="D3" s="33" t="s">
        <v>14</v>
      </c>
      <c r="E3" s="34">
        <v>14</v>
      </c>
      <c r="F3" s="54">
        <v>110</v>
      </c>
      <c r="G3" s="35" t="s">
        <v>836</v>
      </c>
      <c r="H3" s="12"/>
    </row>
    <row r="4" spans="1:9" x14ac:dyDescent="0.25">
      <c r="A4" s="36" t="s">
        <v>835</v>
      </c>
      <c r="B4" s="37">
        <v>2</v>
      </c>
      <c r="C4" s="38" t="s">
        <v>13</v>
      </c>
      <c r="D4" s="39" t="s">
        <v>14</v>
      </c>
      <c r="E4" s="40">
        <v>272</v>
      </c>
      <c r="F4" s="42">
        <v>126</v>
      </c>
      <c r="G4" s="41" t="s">
        <v>836</v>
      </c>
      <c r="H4" s="12"/>
    </row>
    <row r="5" spans="1:9" x14ac:dyDescent="0.25">
      <c r="A5" s="30" t="s">
        <v>22</v>
      </c>
      <c r="B5" s="31">
        <v>3</v>
      </c>
      <c r="C5" s="32" t="s">
        <v>23</v>
      </c>
      <c r="D5" s="33" t="s">
        <v>24</v>
      </c>
      <c r="E5" s="34">
        <v>150</v>
      </c>
      <c r="F5" s="54">
        <v>66</v>
      </c>
      <c r="G5" s="35" t="s">
        <v>394</v>
      </c>
      <c r="H5" s="12"/>
    </row>
    <row r="6" spans="1:9" x14ac:dyDescent="0.25">
      <c r="A6" s="67" t="s">
        <v>27</v>
      </c>
      <c r="B6" s="68">
        <v>4</v>
      </c>
      <c r="C6" s="70" t="s">
        <v>28</v>
      </c>
      <c r="D6" s="39" t="s">
        <v>31</v>
      </c>
      <c r="E6" s="40">
        <v>60</v>
      </c>
      <c r="F6" s="42">
        <v>0.5</v>
      </c>
      <c r="G6" s="41" t="s">
        <v>18</v>
      </c>
      <c r="H6" s="12" t="str" cm="1">
        <f t="array" ref="H6">IFERROR(TRIM(MID(SUBSTITUTE(SUBSTITUTE(SUBSTITUTE(INDEX('Main Sheet'!$L$2:$L$5000,INT((ROWS($H$2:H6)-1)/20)+1),"&lt;br&gt;",CHAR(10)),"&lt;br /&gt;",CHAR(10)),CHAR(10),REPT(" ",1000)),MOD(ROWS($H$2:H6)-1,20)*1000+1,1000)),"")</f>
        <v/>
      </c>
    </row>
    <row r="7" spans="1:9" x14ac:dyDescent="0.25">
      <c r="A7" s="67"/>
      <c r="B7" s="69"/>
      <c r="C7" s="67"/>
      <c r="D7" s="39" t="s">
        <v>29</v>
      </c>
      <c r="E7" s="40">
        <v>20</v>
      </c>
      <c r="F7" s="42">
        <v>1.5</v>
      </c>
      <c r="G7" s="41" t="s">
        <v>18</v>
      </c>
      <c r="H7" s="12" t="str" cm="1">
        <f t="array" ref="H7">IFERROR(TRIM(MID(SUBSTITUTE(SUBSTITUTE(INDEX('Main Sheet'!$L$2:$L$5000,INT((ROWS($H$2:H7)-1)/20)+1),"&lt;br&gt;",REPT(" ",1000)),CHAR(10),REPT(" ",1000)),MOD(ROWS($H$2:H7)-1,20)*1000+1,1000)),"")</f>
        <v/>
      </c>
    </row>
    <row r="8" spans="1:9" x14ac:dyDescent="0.25">
      <c r="A8" s="30" t="s">
        <v>34</v>
      </c>
      <c r="B8" s="31">
        <v>5</v>
      </c>
      <c r="C8" s="32" t="s">
        <v>35</v>
      </c>
      <c r="D8" s="33" t="s">
        <v>36</v>
      </c>
      <c r="E8" s="34">
        <v>22</v>
      </c>
      <c r="F8" s="54">
        <v>60</v>
      </c>
      <c r="G8" s="35" t="s">
        <v>18</v>
      </c>
      <c r="H8" s="12" t="str" cm="1">
        <f t="array" ref="H8">IFERROR(TRIM(MID(SUBSTITUTE(SUBSTITUTE(INDEX('Main Sheet'!$L$2:$L$5000,INT((ROWS($H$2:H8)-1)/20)+1),"&lt;br&gt;",REPT(" ",1000)),CHAR(10),REPT(" ",1000)),MOD(ROWS($H$2:H8)-1,20)*1000+1,1000)),"")</f>
        <v/>
      </c>
    </row>
    <row r="9" spans="1:9" x14ac:dyDescent="0.25">
      <c r="A9" s="67" t="s">
        <v>39</v>
      </c>
      <c r="B9" s="68">
        <v>6</v>
      </c>
      <c r="C9" s="70" t="s">
        <v>40</v>
      </c>
      <c r="D9" s="39" t="s">
        <v>41</v>
      </c>
      <c r="E9" s="40">
        <v>24</v>
      </c>
      <c r="F9" s="42">
        <v>2530</v>
      </c>
      <c r="G9" s="41" t="s">
        <v>398</v>
      </c>
      <c r="H9" s="12" t="str" cm="1">
        <f t="array" ref="H9">IFERROR(TRIM(MID(SUBSTITUTE(SUBSTITUTE(INDEX('Main Sheet'!$L$2:$L$5000,INT((ROWS($H$2:H9)-1)/20)+1),"&lt;br&gt;",REPT(" ",1000)),CHAR(10),REPT(" ",1000)),MOD(ROWS($H$2:H9)-1,20)*1000+1,1000)),"")</f>
        <v/>
      </c>
    </row>
    <row r="10" spans="1:9" x14ac:dyDescent="0.25">
      <c r="A10" s="67"/>
      <c r="B10" s="69"/>
      <c r="C10" s="67"/>
      <c r="D10" s="39" t="s">
        <v>44</v>
      </c>
      <c r="E10" s="40">
        <v>24</v>
      </c>
      <c r="F10" s="42">
        <v>2875</v>
      </c>
      <c r="G10" s="41" t="s">
        <v>398</v>
      </c>
    </row>
    <row r="11" spans="1:9" x14ac:dyDescent="0.25">
      <c r="A11" s="63" t="s">
        <v>1006</v>
      </c>
      <c r="B11" s="64">
        <v>7</v>
      </c>
      <c r="C11" s="66" t="s">
        <v>48</v>
      </c>
      <c r="D11" s="33" t="s">
        <v>943</v>
      </c>
      <c r="E11" s="34">
        <v>50</v>
      </c>
      <c r="F11" s="54">
        <v>150</v>
      </c>
      <c r="G11" s="35" t="s">
        <v>209</v>
      </c>
    </row>
    <row r="12" spans="1:9" x14ac:dyDescent="0.25">
      <c r="A12" s="63"/>
      <c r="B12" s="65"/>
      <c r="C12" s="63"/>
      <c r="D12" s="33" t="s">
        <v>52</v>
      </c>
      <c r="E12" s="34">
        <v>18</v>
      </c>
      <c r="F12" s="54">
        <v>3250</v>
      </c>
      <c r="G12" s="35" t="s">
        <v>398</v>
      </c>
    </row>
    <row r="13" spans="1:9" x14ac:dyDescent="0.25">
      <c r="A13" s="63"/>
      <c r="B13" s="65"/>
      <c r="C13" s="63"/>
      <c r="D13" s="33" t="s">
        <v>49</v>
      </c>
      <c r="E13" s="34">
        <v>28</v>
      </c>
      <c r="F13" s="54">
        <v>2860</v>
      </c>
      <c r="G13" s="35" t="s">
        <v>398</v>
      </c>
    </row>
    <row r="14" spans="1:9" x14ac:dyDescent="0.25">
      <c r="A14" s="63"/>
      <c r="B14" s="65"/>
      <c r="C14" s="63"/>
      <c r="D14" s="33" t="s">
        <v>55</v>
      </c>
      <c r="E14" s="34">
        <v>4</v>
      </c>
      <c r="F14" s="54">
        <v>2640</v>
      </c>
      <c r="G14" s="35" t="s">
        <v>398</v>
      </c>
    </row>
    <row r="15" spans="1:9" x14ac:dyDescent="0.25">
      <c r="A15" s="63"/>
      <c r="B15" s="65"/>
      <c r="C15" s="63"/>
      <c r="D15" s="33" t="s">
        <v>64</v>
      </c>
      <c r="E15" s="34">
        <v>228</v>
      </c>
      <c r="F15" s="54">
        <v>280</v>
      </c>
      <c r="G15" s="35" t="s">
        <v>209</v>
      </c>
    </row>
    <row r="16" spans="1:9" x14ac:dyDescent="0.25">
      <c r="A16" s="63"/>
      <c r="B16" s="65"/>
      <c r="C16" s="63"/>
      <c r="D16" s="33" t="s">
        <v>61</v>
      </c>
      <c r="E16" s="34">
        <v>150</v>
      </c>
      <c r="F16" s="54">
        <v>38</v>
      </c>
      <c r="G16" s="35" t="s">
        <v>402</v>
      </c>
    </row>
    <row r="17" spans="1:7" x14ac:dyDescent="0.25">
      <c r="A17" s="63"/>
      <c r="B17" s="65"/>
      <c r="C17" s="63"/>
      <c r="D17" s="33" t="s">
        <v>58</v>
      </c>
      <c r="E17" s="34">
        <v>161</v>
      </c>
      <c r="F17" s="54">
        <v>138</v>
      </c>
      <c r="G17" s="35" t="s">
        <v>388</v>
      </c>
    </row>
    <row r="18" spans="1:7" x14ac:dyDescent="0.25">
      <c r="A18" s="63"/>
      <c r="B18" s="65"/>
      <c r="C18" s="63"/>
      <c r="D18" s="33" t="s">
        <v>67</v>
      </c>
      <c r="E18" s="34">
        <v>69</v>
      </c>
      <c r="F18" s="54">
        <v>125</v>
      </c>
      <c r="G18" s="35" t="s">
        <v>388</v>
      </c>
    </row>
    <row r="19" spans="1:7" x14ac:dyDescent="0.25">
      <c r="A19" s="67" t="s">
        <v>1007</v>
      </c>
      <c r="B19" s="68">
        <v>8</v>
      </c>
      <c r="C19" s="70" t="s">
        <v>48</v>
      </c>
      <c r="D19" s="39" t="s">
        <v>52</v>
      </c>
      <c r="E19" s="40">
        <v>4</v>
      </c>
      <c r="F19" s="42">
        <v>3000</v>
      </c>
      <c r="G19" s="41" t="s">
        <v>398</v>
      </c>
    </row>
    <row r="20" spans="1:7" x14ac:dyDescent="0.25">
      <c r="A20" s="67"/>
      <c r="B20" s="69"/>
      <c r="C20" s="67"/>
      <c r="D20" s="39" t="s">
        <v>49</v>
      </c>
      <c r="E20" s="40">
        <v>18</v>
      </c>
      <c r="F20" s="42">
        <v>2750</v>
      </c>
      <c r="G20" s="41" t="s">
        <v>398</v>
      </c>
    </row>
    <row r="21" spans="1:7" x14ac:dyDescent="0.25">
      <c r="A21" s="63" t="s">
        <v>1008</v>
      </c>
      <c r="B21" s="64">
        <v>9</v>
      </c>
      <c r="C21" s="66" t="s">
        <v>48</v>
      </c>
      <c r="D21" s="33" t="s">
        <v>52</v>
      </c>
      <c r="E21" s="34">
        <v>18</v>
      </c>
      <c r="F21" s="54">
        <v>3125</v>
      </c>
      <c r="G21" s="35" t="s">
        <v>398</v>
      </c>
    </row>
    <row r="22" spans="1:7" x14ac:dyDescent="0.25">
      <c r="A22" s="63"/>
      <c r="B22" s="65"/>
      <c r="C22" s="63"/>
      <c r="D22" s="33" t="s">
        <v>61</v>
      </c>
      <c r="E22" s="34">
        <v>750</v>
      </c>
      <c r="F22" s="54">
        <v>32</v>
      </c>
      <c r="G22" s="35" t="s">
        <v>509</v>
      </c>
    </row>
    <row r="23" spans="1:7" x14ac:dyDescent="0.25">
      <c r="A23" s="46" t="s">
        <v>1009</v>
      </c>
      <c r="B23" s="47">
        <v>10</v>
      </c>
      <c r="C23" s="48" t="s">
        <v>48</v>
      </c>
      <c r="D23" s="39" t="s">
        <v>58</v>
      </c>
      <c r="E23" s="40">
        <v>690</v>
      </c>
      <c r="F23" s="42">
        <v>117</v>
      </c>
      <c r="G23" s="41" t="s">
        <v>388</v>
      </c>
    </row>
    <row r="24" spans="1:7" x14ac:dyDescent="0.25">
      <c r="A24" s="63" t="s">
        <v>755</v>
      </c>
      <c r="B24" s="64">
        <v>11</v>
      </c>
      <c r="C24" s="66" t="s">
        <v>944</v>
      </c>
      <c r="D24" s="33" t="s">
        <v>78</v>
      </c>
      <c r="E24" s="34">
        <v>6400</v>
      </c>
      <c r="F24" s="54">
        <v>17</v>
      </c>
      <c r="G24" s="35" t="s">
        <v>402</v>
      </c>
    </row>
    <row r="25" spans="1:7" x14ac:dyDescent="0.25">
      <c r="A25" s="63"/>
      <c r="B25" s="65"/>
      <c r="C25" s="63"/>
      <c r="D25" s="33" t="s">
        <v>82</v>
      </c>
      <c r="E25" s="34">
        <v>30</v>
      </c>
      <c r="F25" s="54">
        <v>750</v>
      </c>
      <c r="G25" s="35" t="s">
        <v>556</v>
      </c>
    </row>
    <row r="26" spans="1:7" x14ac:dyDescent="0.25">
      <c r="A26" s="63"/>
      <c r="B26" s="65"/>
      <c r="C26" s="63"/>
      <c r="D26" s="33" t="s">
        <v>75</v>
      </c>
      <c r="E26" s="34">
        <v>3448</v>
      </c>
      <c r="F26" s="54">
        <v>96</v>
      </c>
      <c r="G26" s="35" t="s">
        <v>209</v>
      </c>
    </row>
    <row r="27" spans="1:7" x14ac:dyDescent="0.25">
      <c r="A27" s="67" t="s">
        <v>1010</v>
      </c>
      <c r="B27" s="68">
        <v>12</v>
      </c>
      <c r="C27" s="70" t="s">
        <v>944</v>
      </c>
      <c r="D27" s="39" t="s">
        <v>78</v>
      </c>
      <c r="E27" s="40">
        <v>200</v>
      </c>
      <c r="F27" s="42">
        <v>18.899999999999999</v>
      </c>
      <c r="G27" s="41" t="s">
        <v>402</v>
      </c>
    </row>
    <row r="28" spans="1:7" x14ac:dyDescent="0.25">
      <c r="A28" s="67"/>
      <c r="B28" s="69"/>
      <c r="C28" s="67"/>
      <c r="D28" s="39" t="s">
        <v>75</v>
      </c>
      <c r="E28" s="40">
        <v>506</v>
      </c>
      <c r="F28" s="42">
        <v>115</v>
      </c>
      <c r="G28" s="41" t="s">
        <v>209</v>
      </c>
    </row>
    <row r="29" spans="1:7" x14ac:dyDescent="0.25">
      <c r="A29" s="30" t="s">
        <v>786</v>
      </c>
      <c r="B29" s="31">
        <v>13</v>
      </c>
      <c r="C29" s="32" t="s">
        <v>944</v>
      </c>
      <c r="D29" s="33" t="s">
        <v>75</v>
      </c>
      <c r="E29" s="34">
        <v>1012</v>
      </c>
      <c r="F29" s="54">
        <v>112</v>
      </c>
      <c r="G29" s="35" t="s">
        <v>209</v>
      </c>
    </row>
    <row r="30" spans="1:7" x14ac:dyDescent="0.25">
      <c r="A30" s="67" t="s">
        <v>85</v>
      </c>
      <c r="B30" s="68">
        <v>14</v>
      </c>
      <c r="C30" s="70" t="s">
        <v>86</v>
      </c>
      <c r="D30" s="39" t="s">
        <v>94</v>
      </c>
      <c r="E30" s="40">
        <v>32</v>
      </c>
      <c r="F30" s="42">
        <v>115</v>
      </c>
      <c r="G30" s="41" t="s">
        <v>491</v>
      </c>
    </row>
    <row r="31" spans="1:7" x14ac:dyDescent="0.25">
      <c r="A31" s="67"/>
      <c r="B31" s="69"/>
      <c r="C31" s="67"/>
      <c r="D31" s="39" t="s">
        <v>945</v>
      </c>
      <c r="E31" s="40">
        <v>46</v>
      </c>
      <c r="F31" s="42">
        <v>148</v>
      </c>
      <c r="G31" s="41" t="s">
        <v>209</v>
      </c>
    </row>
    <row r="32" spans="1:7" x14ac:dyDescent="0.25">
      <c r="A32" s="67"/>
      <c r="B32" s="69"/>
      <c r="C32" s="67"/>
      <c r="D32" s="39" t="s">
        <v>98</v>
      </c>
      <c r="E32" s="40">
        <v>112</v>
      </c>
      <c r="F32" s="42">
        <v>144</v>
      </c>
      <c r="G32" s="41" t="s">
        <v>209</v>
      </c>
    </row>
    <row r="33" spans="1:7" x14ac:dyDescent="0.25">
      <c r="A33" s="67"/>
      <c r="B33" s="69"/>
      <c r="C33" s="67"/>
      <c r="D33" s="39" t="s">
        <v>87</v>
      </c>
      <c r="E33" s="40">
        <v>3</v>
      </c>
      <c r="F33" s="42">
        <v>1300</v>
      </c>
      <c r="G33" s="41" t="s">
        <v>441</v>
      </c>
    </row>
    <row r="34" spans="1:7" x14ac:dyDescent="0.25">
      <c r="A34" s="67" t="s">
        <v>101</v>
      </c>
      <c r="B34" s="68">
        <v>15</v>
      </c>
      <c r="C34" s="70" t="s">
        <v>102</v>
      </c>
      <c r="D34" s="39" t="s">
        <v>109</v>
      </c>
      <c r="E34" s="40">
        <v>460</v>
      </c>
      <c r="F34" s="42">
        <v>110</v>
      </c>
      <c r="G34" s="41" t="s">
        <v>388</v>
      </c>
    </row>
    <row r="35" spans="1:7" x14ac:dyDescent="0.25">
      <c r="A35" s="67"/>
      <c r="B35" s="69"/>
      <c r="C35" s="67"/>
      <c r="D35" s="39" t="s">
        <v>106</v>
      </c>
      <c r="E35" s="40">
        <v>20</v>
      </c>
      <c r="F35" s="42">
        <v>2150</v>
      </c>
      <c r="G35" s="41" t="s">
        <v>398</v>
      </c>
    </row>
    <row r="36" spans="1:7" x14ac:dyDescent="0.25">
      <c r="A36" s="67"/>
      <c r="B36" s="69"/>
      <c r="C36" s="67"/>
      <c r="D36" s="39" t="s">
        <v>103</v>
      </c>
      <c r="E36" s="40">
        <v>20</v>
      </c>
      <c r="F36" s="42">
        <v>1892</v>
      </c>
      <c r="G36" s="41" t="s">
        <v>398</v>
      </c>
    </row>
    <row r="37" spans="1:7" x14ac:dyDescent="0.25">
      <c r="A37" s="30" t="s">
        <v>112</v>
      </c>
      <c r="B37" s="31">
        <v>16</v>
      </c>
      <c r="C37" s="32" t="s">
        <v>113</v>
      </c>
      <c r="D37" s="33" t="s">
        <v>114</v>
      </c>
      <c r="E37" s="34">
        <v>1</v>
      </c>
      <c r="F37" s="54">
        <v>420</v>
      </c>
      <c r="G37" s="35" t="s">
        <v>283</v>
      </c>
    </row>
    <row r="38" spans="1:7" x14ac:dyDescent="0.25">
      <c r="A38" s="36" t="s">
        <v>112</v>
      </c>
      <c r="B38" s="37">
        <v>17</v>
      </c>
      <c r="C38" s="38" t="s">
        <v>113</v>
      </c>
      <c r="D38" s="39" t="s">
        <v>114</v>
      </c>
      <c r="E38" s="40">
        <v>1</v>
      </c>
      <c r="F38" s="42">
        <v>350</v>
      </c>
      <c r="G38" s="41" t="s">
        <v>283</v>
      </c>
    </row>
    <row r="39" spans="1:7" x14ac:dyDescent="0.25">
      <c r="A39" s="63" t="s">
        <v>1011</v>
      </c>
      <c r="B39" s="64">
        <v>18</v>
      </c>
      <c r="C39" s="66" t="s">
        <v>118</v>
      </c>
      <c r="D39" s="33" t="s">
        <v>119</v>
      </c>
      <c r="E39" s="34">
        <v>1</v>
      </c>
      <c r="F39" s="54">
        <v>305</v>
      </c>
      <c r="G39" s="35" t="s">
        <v>388</v>
      </c>
    </row>
    <row r="40" spans="1:7" x14ac:dyDescent="0.25">
      <c r="A40" s="63"/>
      <c r="B40" s="65"/>
      <c r="C40" s="63"/>
      <c r="D40" s="33" t="s">
        <v>122</v>
      </c>
      <c r="E40" s="34">
        <v>50</v>
      </c>
      <c r="F40" s="54">
        <v>745</v>
      </c>
      <c r="G40" s="35" t="s">
        <v>388</v>
      </c>
    </row>
    <row r="41" spans="1:7" x14ac:dyDescent="0.25">
      <c r="A41" s="67" t="s">
        <v>1012</v>
      </c>
      <c r="B41" s="68">
        <v>19</v>
      </c>
      <c r="C41" s="70" t="s">
        <v>118</v>
      </c>
      <c r="D41" s="39" t="s">
        <v>119</v>
      </c>
      <c r="E41" s="40">
        <v>10</v>
      </c>
      <c r="F41" s="42">
        <v>335</v>
      </c>
      <c r="G41" s="41" t="s">
        <v>388</v>
      </c>
    </row>
    <row r="42" spans="1:7" x14ac:dyDescent="0.25">
      <c r="A42" s="67"/>
      <c r="B42" s="69"/>
      <c r="C42" s="67"/>
      <c r="D42" s="39" t="s">
        <v>122</v>
      </c>
      <c r="E42" s="40">
        <v>30</v>
      </c>
      <c r="F42" s="42">
        <v>560</v>
      </c>
      <c r="G42" s="41" t="s">
        <v>388</v>
      </c>
    </row>
    <row r="43" spans="1:7" x14ac:dyDescent="0.25">
      <c r="A43" s="30" t="s">
        <v>854</v>
      </c>
      <c r="B43" s="31">
        <v>20</v>
      </c>
      <c r="C43" s="32" t="s">
        <v>118</v>
      </c>
      <c r="D43" s="33" t="s">
        <v>119</v>
      </c>
      <c r="E43" s="34">
        <v>7</v>
      </c>
      <c r="F43" s="54">
        <v>335</v>
      </c>
      <c r="G43" s="35" t="s">
        <v>388</v>
      </c>
    </row>
    <row r="44" spans="1:7" x14ac:dyDescent="0.25">
      <c r="A44" s="67" t="s">
        <v>396</v>
      </c>
      <c r="B44" s="68">
        <v>21</v>
      </c>
      <c r="C44" s="70" t="s">
        <v>126</v>
      </c>
      <c r="D44" s="39" t="s">
        <v>130</v>
      </c>
      <c r="E44" s="40">
        <f>3000/250</f>
        <v>12</v>
      </c>
      <c r="F44" s="42">
        <f>250*10.5</f>
        <v>2625</v>
      </c>
      <c r="G44" s="41" t="s">
        <v>398</v>
      </c>
    </row>
    <row r="45" spans="1:7" x14ac:dyDescent="0.25">
      <c r="A45" s="67"/>
      <c r="B45" s="69"/>
      <c r="C45" s="67"/>
      <c r="D45" s="39" t="s">
        <v>127</v>
      </c>
      <c r="E45" s="40">
        <f>2640/220</f>
        <v>12</v>
      </c>
      <c r="F45" s="42">
        <f>220*10.5</f>
        <v>2310</v>
      </c>
      <c r="G45" s="41" t="s">
        <v>398</v>
      </c>
    </row>
    <row r="46" spans="1:7" x14ac:dyDescent="0.25">
      <c r="A46" s="63" t="s">
        <v>133</v>
      </c>
      <c r="B46" s="64">
        <v>22</v>
      </c>
      <c r="C46" s="66" t="s">
        <v>946</v>
      </c>
      <c r="D46" s="33" t="s">
        <v>164</v>
      </c>
      <c r="E46" s="34">
        <v>8</v>
      </c>
      <c r="F46" s="54">
        <v>72</v>
      </c>
      <c r="G46" s="35" t="s">
        <v>147</v>
      </c>
    </row>
    <row r="47" spans="1:7" x14ac:dyDescent="0.25">
      <c r="A47" s="63"/>
      <c r="B47" s="65"/>
      <c r="C47" s="63"/>
      <c r="D47" s="33" t="s">
        <v>135</v>
      </c>
      <c r="E47" s="34">
        <v>1</v>
      </c>
      <c r="F47" s="54">
        <v>235</v>
      </c>
      <c r="G47" s="35" t="s">
        <v>138</v>
      </c>
    </row>
    <row r="48" spans="1:7" x14ac:dyDescent="0.25">
      <c r="A48" s="63"/>
      <c r="B48" s="65"/>
      <c r="C48" s="63"/>
      <c r="D48" s="33" t="s">
        <v>168</v>
      </c>
      <c r="E48" s="34">
        <v>5</v>
      </c>
      <c r="F48" s="54">
        <v>7.5</v>
      </c>
      <c r="G48" s="35" t="s">
        <v>18</v>
      </c>
    </row>
    <row r="49" spans="1:7" x14ac:dyDescent="0.25">
      <c r="A49" s="63"/>
      <c r="B49" s="65"/>
      <c r="C49" s="63"/>
      <c r="D49" s="33" t="s">
        <v>158</v>
      </c>
      <c r="E49" s="34">
        <v>3</v>
      </c>
      <c r="F49" s="54">
        <v>120</v>
      </c>
      <c r="G49" s="35" t="s">
        <v>147</v>
      </c>
    </row>
    <row r="50" spans="1:7" x14ac:dyDescent="0.25">
      <c r="A50" s="63"/>
      <c r="B50" s="65"/>
      <c r="C50" s="63"/>
      <c r="D50" s="33" t="s">
        <v>161</v>
      </c>
      <c r="E50" s="34">
        <v>4</v>
      </c>
      <c r="F50" s="54">
        <v>106.25</v>
      </c>
      <c r="G50" s="35" t="s">
        <v>147</v>
      </c>
    </row>
    <row r="51" spans="1:7" x14ac:dyDescent="0.25">
      <c r="A51" s="63"/>
      <c r="B51" s="65"/>
      <c r="C51" s="63"/>
      <c r="D51" s="33" t="s">
        <v>156</v>
      </c>
      <c r="E51" s="34">
        <v>10</v>
      </c>
      <c r="F51" s="54">
        <v>2</v>
      </c>
      <c r="G51" s="35" t="s">
        <v>18</v>
      </c>
    </row>
    <row r="52" spans="1:7" x14ac:dyDescent="0.25">
      <c r="A52" s="63"/>
      <c r="B52" s="65"/>
      <c r="C52" s="63"/>
      <c r="D52" s="33" t="s">
        <v>177</v>
      </c>
      <c r="E52" s="34">
        <v>5</v>
      </c>
      <c r="F52" s="54">
        <v>18</v>
      </c>
      <c r="G52" s="35" t="s">
        <v>18</v>
      </c>
    </row>
    <row r="53" spans="1:7" x14ac:dyDescent="0.25">
      <c r="A53" s="63"/>
      <c r="B53" s="65"/>
      <c r="C53" s="63"/>
      <c r="D53" s="33" t="s">
        <v>142</v>
      </c>
      <c r="E53" s="34">
        <v>1</v>
      </c>
      <c r="F53" s="54">
        <v>18</v>
      </c>
      <c r="G53" s="35" t="s">
        <v>143</v>
      </c>
    </row>
    <row r="54" spans="1:7" x14ac:dyDescent="0.25">
      <c r="A54" s="63"/>
      <c r="B54" s="65"/>
      <c r="C54" s="63"/>
      <c r="D54" s="33" t="s">
        <v>170</v>
      </c>
      <c r="E54" s="34">
        <v>2</v>
      </c>
      <c r="F54" s="54">
        <v>6.5</v>
      </c>
      <c r="G54" s="35" t="s">
        <v>147</v>
      </c>
    </row>
    <row r="55" spans="1:7" x14ac:dyDescent="0.25">
      <c r="A55" s="63"/>
      <c r="B55" s="65"/>
      <c r="C55" s="63"/>
      <c r="D55" s="33" t="s">
        <v>173</v>
      </c>
      <c r="E55" s="34">
        <v>3</v>
      </c>
      <c r="F55" s="54">
        <v>165</v>
      </c>
      <c r="G55" s="35" t="s">
        <v>147</v>
      </c>
    </row>
    <row r="56" spans="1:7" x14ac:dyDescent="0.25">
      <c r="A56" s="63"/>
      <c r="B56" s="65"/>
      <c r="C56" s="63"/>
      <c r="D56" s="33" t="s">
        <v>152</v>
      </c>
      <c r="E56" s="34">
        <v>1</v>
      </c>
      <c r="F56" s="54">
        <v>20</v>
      </c>
      <c r="G56" s="35" t="s">
        <v>18</v>
      </c>
    </row>
    <row r="57" spans="1:7" x14ac:dyDescent="0.25">
      <c r="A57" s="63"/>
      <c r="B57" s="65"/>
      <c r="C57" s="63"/>
      <c r="D57" s="33" t="s">
        <v>148</v>
      </c>
      <c r="E57" s="34">
        <v>2</v>
      </c>
      <c r="F57" s="54">
        <v>42</v>
      </c>
      <c r="G57" s="35" t="s">
        <v>143</v>
      </c>
    </row>
    <row r="58" spans="1:7" x14ac:dyDescent="0.25">
      <c r="A58" s="63"/>
      <c r="B58" s="65"/>
      <c r="C58" s="63"/>
      <c r="D58" s="33" t="s">
        <v>167</v>
      </c>
      <c r="E58" s="34">
        <v>3</v>
      </c>
      <c r="F58" s="54">
        <v>13</v>
      </c>
      <c r="G58" s="35" t="s">
        <v>18</v>
      </c>
    </row>
    <row r="59" spans="1:7" x14ac:dyDescent="0.25">
      <c r="A59" s="63"/>
      <c r="B59" s="65"/>
      <c r="C59" s="63"/>
      <c r="D59" s="33" t="s">
        <v>145</v>
      </c>
      <c r="E59" s="34">
        <v>2</v>
      </c>
      <c r="F59" s="54">
        <v>12</v>
      </c>
      <c r="G59" s="35" t="s">
        <v>18</v>
      </c>
    </row>
    <row r="60" spans="1:7" x14ac:dyDescent="0.25">
      <c r="A60" s="63"/>
      <c r="B60" s="65"/>
      <c r="C60" s="63"/>
      <c r="D60" s="33" t="s">
        <v>139</v>
      </c>
      <c r="E60" s="34">
        <v>1</v>
      </c>
      <c r="F60" s="54">
        <v>15</v>
      </c>
      <c r="G60" s="35" t="s">
        <v>18</v>
      </c>
    </row>
    <row r="61" spans="1:7" ht="27" x14ac:dyDescent="0.25">
      <c r="A61" s="36" t="s">
        <v>133</v>
      </c>
      <c r="B61" s="37">
        <v>23</v>
      </c>
      <c r="C61" s="38" t="s">
        <v>946</v>
      </c>
      <c r="D61" s="39" t="s">
        <v>152</v>
      </c>
      <c r="E61" s="40">
        <v>1</v>
      </c>
      <c r="F61" s="42">
        <v>55</v>
      </c>
      <c r="G61" s="41" t="s">
        <v>18</v>
      </c>
    </row>
    <row r="62" spans="1:7" x14ac:dyDescent="0.25">
      <c r="A62" s="63" t="s">
        <v>180</v>
      </c>
      <c r="B62" s="64">
        <v>24</v>
      </c>
      <c r="C62" s="66" t="s">
        <v>181</v>
      </c>
      <c r="D62" s="33" t="s">
        <v>182</v>
      </c>
      <c r="E62" s="34">
        <v>30</v>
      </c>
      <c r="F62" s="54">
        <v>6</v>
      </c>
      <c r="G62" s="35" t="s">
        <v>18</v>
      </c>
    </row>
    <row r="63" spans="1:7" x14ac:dyDescent="0.25">
      <c r="A63" s="63"/>
      <c r="B63" s="65"/>
      <c r="C63" s="63"/>
      <c r="D63" s="33" t="s">
        <v>949</v>
      </c>
      <c r="E63" s="34">
        <v>300</v>
      </c>
      <c r="F63" s="54">
        <v>2.75</v>
      </c>
      <c r="G63" s="35" t="s">
        <v>18</v>
      </c>
    </row>
    <row r="64" spans="1:7" x14ac:dyDescent="0.25">
      <c r="A64" s="36" t="s">
        <v>538</v>
      </c>
      <c r="B64" s="37">
        <v>25</v>
      </c>
      <c r="C64" s="38" t="s">
        <v>181</v>
      </c>
      <c r="D64" s="39" t="s">
        <v>182</v>
      </c>
      <c r="E64" s="40">
        <v>30</v>
      </c>
      <c r="F64" s="42">
        <v>16.5</v>
      </c>
      <c r="G64" s="41" t="s">
        <v>18</v>
      </c>
    </row>
    <row r="65" spans="1:7" x14ac:dyDescent="0.25">
      <c r="A65" s="63" t="s">
        <v>183</v>
      </c>
      <c r="B65" s="64">
        <v>26</v>
      </c>
      <c r="C65" s="66" t="s">
        <v>947</v>
      </c>
      <c r="D65" s="33" t="s">
        <v>185</v>
      </c>
      <c r="E65" s="34">
        <v>100</v>
      </c>
      <c r="F65" s="54">
        <v>165</v>
      </c>
      <c r="G65" s="35" t="s">
        <v>394</v>
      </c>
    </row>
    <row r="66" spans="1:7" x14ac:dyDescent="0.25">
      <c r="A66" s="63"/>
      <c r="B66" s="65"/>
      <c r="C66" s="63"/>
      <c r="D66" s="33" t="s">
        <v>191</v>
      </c>
      <c r="E66" s="34">
        <v>10</v>
      </c>
      <c r="F66" s="54">
        <v>2750</v>
      </c>
      <c r="G66" s="35" t="s">
        <v>398</v>
      </c>
    </row>
    <row r="67" spans="1:7" x14ac:dyDescent="0.25">
      <c r="A67" s="63"/>
      <c r="B67" s="65"/>
      <c r="C67" s="63"/>
      <c r="D67" s="33" t="s">
        <v>188</v>
      </c>
      <c r="E67" s="34">
        <v>10</v>
      </c>
      <c r="F67" s="54">
        <v>2420</v>
      </c>
      <c r="G67" s="35" t="s">
        <v>398</v>
      </c>
    </row>
    <row r="68" spans="1:7" x14ac:dyDescent="0.25">
      <c r="A68" s="36" t="s">
        <v>194</v>
      </c>
      <c r="B68" s="37">
        <v>27</v>
      </c>
      <c r="C68" s="38" t="s">
        <v>195</v>
      </c>
      <c r="D68" s="39" t="s">
        <v>196</v>
      </c>
      <c r="E68" s="40">
        <v>20</v>
      </c>
      <c r="F68" s="42">
        <v>350</v>
      </c>
      <c r="G68" s="41" t="s">
        <v>556</v>
      </c>
    </row>
    <row r="69" spans="1:7" x14ac:dyDescent="0.25">
      <c r="A69" s="63" t="s">
        <v>1013</v>
      </c>
      <c r="B69" s="64">
        <v>28</v>
      </c>
      <c r="C69" s="66" t="s">
        <v>200</v>
      </c>
      <c r="D69" s="33" t="s">
        <v>214</v>
      </c>
      <c r="E69" s="34">
        <v>20</v>
      </c>
      <c r="F69" s="54">
        <v>68</v>
      </c>
      <c r="G69" s="35" t="s">
        <v>18</v>
      </c>
    </row>
    <row r="70" spans="1:7" x14ac:dyDescent="0.25">
      <c r="A70" s="63"/>
      <c r="B70" s="65"/>
      <c r="C70" s="63"/>
      <c r="D70" s="33" t="s">
        <v>201</v>
      </c>
      <c r="E70" s="34">
        <v>3</v>
      </c>
      <c r="F70" s="54">
        <v>400</v>
      </c>
      <c r="G70" s="35" t="s">
        <v>388</v>
      </c>
    </row>
    <row r="71" spans="1:7" x14ac:dyDescent="0.25">
      <c r="A71" s="63"/>
      <c r="B71" s="65"/>
      <c r="C71" s="63"/>
      <c r="D71" s="33" t="s">
        <v>204</v>
      </c>
      <c r="E71" s="34">
        <v>100</v>
      </c>
      <c r="F71" s="54">
        <v>38</v>
      </c>
      <c r="G71" s="35" t="s">
        <v>147</v>
      </c>
    </row>
    <row r="72" spans="1:7" x14ac:dyDescent="0.25">
      <c r="A72" s="63"/>
      <c r="B72" s="65"/>
      <c r="C72" s="63"/>
      <c r="D72" s="33" t="s">
        <v>208</v>
      </c>
      <c r="E72" s="34">
        <v>100</v>
      </c>
      <c r="F72" s="54">
        <v>6.5</v>
      </c>
      <c r="G72" s="35" t="s">
        <v>209</v>
      </c>
    </row>
    <row r="73" spans="1:7" x14ac:dyDescent="0.25">
      <c r="A73" s="63"/>
      <c r="B73" s="65"/>
      <c r="C73" s="63"/>
      <c r="D73" s="33" t="s">
        <v>211</v>
      </c>
      <c r="E73" s="34">
        <v>30</v>
      </c>
      <c r="F73" s="54">
        <v>1.4</v>
      </c>
      <c r="G73" s="35" t="s">
        <v>18</v>
      </c>
    </row>
    <row r="74" spans="1:7" x14ac:dyDescent="0.25">
      <c r="A74" s="63"/>
      <c r="B74" s="65"/>
      <c r="C74" s="63"/>
      <c r="D74" s="33" t="s">
        <v>212</v>
      </c>
      <c r="E74" s="34">
        <v>30</v>
      </c>
      <c r="F74" s="54">
        <v>1.55</v>
      </c>
      <c r="G74" s="35" t="s">
        <v>18</v>
      </c>
    </row>
    <row r="75" spans="1:7" x14ac:dyDescent="0.25">
      <c r="A75" s="63"/>
      <c r="B75" s="65"/>
      <c r="C75" s="63"/>
      <c r="D75" s="33" t="s">
        <v>210</v>
      </c>
      <c r="E75" s="34">
        <v>35</v>
      </c>
      <c r="F75" s="54">
        <v>11.5</v>
      </c>
      <c r="G75" s="35" t="s">
        <v>18</v>
      </c>
    </row>
    <row r="76" spans="1:7" x14ac:dyDescent="0.25">
      <c r="A76" s="67" t="s">
        <v>217</v>
      </c>
      <c r="B76" s="68">
        <v>29</v>
      </c>
      <c r="C76" s="70" t="s">
        <v>218</v>
      </c>
      <c r="D76" s="39" t="s">
        <v>219</v>
      </c>
      <c r="E76" s="40">
        <v>1</v>
      </c>
      <c r="F76" s="42">
        <v>128</v>
      </c>
      <c r="G76" s="41" t="s">
        <v>209</v>
      </c>
    </row>
    <row r="77" spans="1:7" x14ac:dyDescent="0.25">
      <c r="A77" s="67"/>
      <c r="B77" s="69"/>
      <c r="C77" s="67"/>
      <c r="D77" s="39" t="s">
        <v>948</v>
      </c>
      <c r="E77" s="40">
        <v>23</v>
      </c>
      <c r="F77" s="42">
        <v>126</v>
      </c>
      <c r="G77" s="41" t="s">
        <v>18</v>
      </c>
    </row>
    <row r="78" spans="1:7" x14ac:dyDescent="0.25">
      <c r="A78" s="30" t="s">
        <v>845</v>
      </c>
      <c r="B78" s="31">
        <v>30</v>
      </c>
      <c r="C78" s="32" t="s">
        <v>218</v>
      </c>
      <c r="D78" s="33" t="s">
        <v>948</v>
      </c>
      <c r="E78" s="34">
        <v>92</v>
      </c>
      <c r="F78" s="54">
        <v>128</v>
      </c>
      <c r="G78" s="35" t="s">
        <v>18</v>
      </c>
    </row>
    <row r="79" spans="1:7" x14ac:dyDescent="0.25">
      <c r="A79" s="36" t="s">
        <v>520</v>
      </c>
      <c r="B79" s="37">
        <v>31</v>
      </c>
      <c r="C79" s="38" t="s">
        <v>218</v>
      </c>
      <c r="D79" s="39" t="s">
        <v>948</v>
      </c>
      <c r="E79" s="40">
        <v>115</v>
      </c>
      <c r="F79" s="42">
        <v>126</v>
      </c>
      <c r="G79" s="41" t="s">
        <v>18</v>
      </c>
    </row>
    <row r="80" spans="1:7" x14ac:dyDescent="0.25">
      <c r="A80" s="30" t="s">
        <v>225</v>
      </c>
      <c r="B80" s="31">
        <v>32</v>
      </c>
      <c r="C80" s="32" t="s">
        <v>226</v>
      </c>
      <c r="D80" s="33" t="s">
        <v>227</v>
      </c>
      <c r="E80" s="34">
        <v>150</v>
      </c>
      <c r="F80" s="54">
        <v>60</v>
      </c>
      <c r="G80" s="35" t="s">
        <v>394</v>
      </c>
    </row>
    <row r="81" spans="1:7" x14ac:dyDescent="0.25">
      <c r="A81" s="63" t="s">
        <v>230</v>
      </c>
      <c r="B81" s="64">
        <v>33</v>
      </c>
      <c r="C81" s="66" t="s">
        <v>231</v>
      </c>
      <c r="D81" s="33" t="s">
        <v>236</v>
      </c>
      <c r="E81" s="34">
        <v>50</v>
      </c>
      <c r="F81" s="54">
        <v>6</v>
      </c>
      <c r="G81" s="35" t="s">
        <v>18</v>
      </c>
    </row>
    <row r="82" spans="1:7" x14ac:dyDescent="0.25">
      <c r="A82" s="63"/>
      <c r="B82" s="65"/>
      <c r="C82" s="63"/>
      <c r="D82" s="33" t="s">
        <v>949</v>
      </c>
      <c r="E82" s="34">
        <v>200</v>
      </c>
      <c r="F82" s="54">
        <v>2.75</v>
      </c>
      <c r="G82" s="35" t="s">
        <v>18</v>
      </c>
    </row>
    <row r="83" spans="1:7" x14ac:dyDescent="0.25">
      <c r="A83" s="63"/>
      <c r="B83" s="65"/>
      <c r="C83" s="63"/>
      <c r="D83" s="33" t="s">
        <v>232</v>
      </c>
      <c r="E83" s="34">
        <v>500</v>
      </c>
      <c r="F83" s="54">
        <v>5.25</v>
      </c>
      <c r="G83" s="35" t="s">
        <v>18</v>
      </c>
    </row>
    <row r="84" spans="1:7" x14ac:dyDescent="0.25">
      <c r="A84" s="63"/>
      <c r="B84" s="65"/>
      <c r="C84" s="63"/>
      <c r="D84" s="33" t="s">
        <v>237</v>
      </c>
      <c r="E84" s="34">
        <v>100</v>
      </c>
      <c r="F84" s="54">
        <v>2</v>
      </c>
      <c r="G84" s="35" t="s">
        <v>18</v>
      </c>
    </row>
    <row r="85" spans="1:7" x14ac:dyDescent="0.25">
      <c r="A85" s="67" t="s">
        <v>1014</v>
      </c>
      <c r="B85" s="68">
        <v>34</v>
      </c>
      <c r="C85" s="70" t="s">
        <v>950</v>
      </c>
      <c r="D85" s="39" t="s">
        <v>275</v>
      </c>
      <c r="E85" s="40">
        <v>276</v>
      </c>
      <c r="F85" s="42">
        <v>110</v>
      </c>
      <c r="G85" s="41" t="s">
        <v>388</v>
      </c>
    </row>
    <row r="86" spans="1:7" x14ac:dyDescent="0.25">
      <c r="A86" s="67"/>
      <c r="B86" s="69"/>
      <c r="C86" s="67"/>
      <c r="D86" s="39" t="s">
        <v>254</v>
      </c>
      <c r="E86" s="40">
        <v>100</v>
      </c>
      <c r="F86" s="42">
        <v>32</v>
      </c>
      <c r="G86" s="41" t="s">
        <v>402</v>
      </c>
    </row>
    <row r="87" spans="1:7" x14ac:dyDescent="0.25">
      <c r="A87" s="67"/>
      <c r="B87" s="69"/>
      <c r="C87" s="67"/>
      <c r="D87" s="39" t="s">
        <v>952</v>
      </c>
      <c r="E87" s="40">
        <v>46</v>
      </c>
      <c r="F87" s="42">
        <v>414</v>
      </c>
      <c r="G87" s="41" t="s">
        <v>388</v>
      </c>
    </row>
    <row r="88" spans="1:7" x14ac:dyDescent="0.25">
      <c r="A88" s="67"/>
      <c r="B88" s="69"/>
      <c r="C88" s="67"/>
      <c r="D88" s="39" t="s">
        <v>267</v>
      </c>
      <c r="E88" s="40">
        <v>2</v>
      </c>
      <c r="F88" s="42">
        <v>128</v>
      </c>
      <c r="G88" s="41" t="s">
        <v>491</v>
      </c>
    </row>
    <row r="89" spans="1:7" x14ac:dyDescent="0.25">
      <c r="A89" s="67"/>
      <c r="B89" s="69"/>
      <c r="C89" s="67"/>
      <c r="D89" s="39" t="s">
        <v>245</v>
      </c>
      <c r="E89" s="40">
        <v>6</v>
      </c>
      <c r="F89" s="42">
        <v>2025</v>
      </c>
      <c r="G89" s="41" t="s">
        <v>398</v>
      </c>
    </row>
    <row r="90" spans="1:7" x14ac:dyDescent="0.25">
      <c r="A90" s="67"/>
      <c r="B90" s="69"/>
      <c r="C90" s="67"/>
      <c r="D90" s="39" t="s">
        <v>951</v>
      </c>
      <c r="E90" s="40">
        <v>6</v>
      </c>
      <c r="F90" s="42">
        <v>1782</v>
      </c>
      <c r="G90" s="41" t="s">
        <v>398</v>
      </c>
    </row>
    <row r="91" spans="1:7" x14ac:dyDescent="0.25">
      <c r="A91" s="67"/>
      <c r="B91" s="69"/>
      <c r="C91" s="67"/>
      <c r="D91" s="39" t="s">
        <v>241</v>
      </c>
      <c r="E91" s="40">
        <v>1075</v>
      </c>
      <c r="F91" s="42">
        <v>47</v>
      </c>
      <c r="G91" s="41" t="s">
        <v>394</v>
      </c>
    </row>
    <row r="92" spans="1:7" x14ac:dyDescent="0.25">
      <c r="A92" s="67"/>
      <c r="B92" s="69"/>
      <c r="C92" s="67"/>
      <c r="D92" s="39" t="s">
        <v>257</v>
      </c>
      <c r="E92" s="40">
        <v>450</v>
      </c>
      <c r="F92" s="42">
        <v>47</v>
      </c>
      <c r="G92" s="41" t="s">
        <v>394</v>
      </c>
    </row>
    <row r="93" spans="1:7" x14ac:dyDescent="0.25">
      <c r="A93" s="67"/>
      <c r="B93" s="69"/>
      <c r="C93" s="67"/>
      <c r="D93" s="39" t="s">
        <v>265</v>
      </c>
      <c r="E93" s="40">
        <v>100</v>
      </c>
      <c r="F93" s="42">
        <v>110</v>
      </c>
      <c r="G93" s="41" t="s">
        <v>394</v>
      </c>
    </row>
    <row r="94" spans="1:7" x14ac:dyDescent="0.25">
      <c r="A94" s="67"/>
      <c r="B94" s="69"/>
      <c r="C94" s="67"/>
      <c r="D94" s="39" t="s">
        <v>273</v>
      </c>
      <c r="E94" s="40">
        <v>100</v>
      </c>
      <c r="F94" s="42">
        <v>112</v>
      </c>
      <c r="G94" s="41" t="s">
        <v>394</v>
      </c>
    </row>
    <row r="95" spans="1:7" x14ac:dyDescent="0.25">
      <c r="A95" s="67"/>
      <c r="B95" s="69"/>
      <c r="C95" s="67"/>
      <c r="D95" s="39" t="s">
        <v>262</v>
      </c>
      <c r="E95" s="40">
        <v>10</v>
      </c>
      <c r="F95" s="42">
        <v>215</v>
      </c>
      <c r="G95" s="41" t="s">
        <v>394</v>
      </c>
    </row>
    <row r="96" spans="1:7" x14ac:dyDescent="0.25">
      <c r="A96" s="67"/>
      <c r="B96" s="69"/>
      <c r="C96" s="67"/>
      <c r="D96" s="39" t="s">
        <v>251</v>
      </c>
      <c r="E96" s="40">
        <v>45</v>
      </c>
      <c r="F96" s="42">
        <v>46</v>
      </c>
      <c r="G96" s="41" t="s">
        <v>394</v>
      </c>
    </row>
    <row r="97" spans="1:7" x14ac:dyDescent="0.25">
      <c r="A97" s="67"/>
      <c r="B97" s="69"/>
      <c r="C97" s="67"/>
      <c r="D97" s="39" t="s">
        <v>259</v>
      </c>
      <c r="E97" s="40">
        <v>2</v>
      </c>
      <c r="F97" s="42">
        <v>97</v>
      </c>
      <c r="G97" s="41" t="s">
        <v>491</v>
      </c>
    </row>
    <row r="98" spans="1:7" x14ac:dyDescent="0.25">
      <c r="A98" s="63" t="s">
        <v>1015</v>
      </c>
      <c r="B98" s="64">
        <v>35</v>
      </c>
      <c r="C98" s="66" t="s">
        <v>950</v>
      </c>
      <c r="D98" s="33" t="s">
        <v>275</v>
      </c>
      <c r="E98" s="34">
        <v>322</v>
      </c>
      <c r="F98" s="54">
        <v>109</v>
      </c>
      <c r="G98" s="35" t="s">
        <v>388</v>
      </c>
    </row>
    <row r="99" spans="1:7" x14ac:dyDescent="0.25">
      <c r="A99" s="63"/>
      <c r="B99" s="65"/>
      <c r="C99" s="63"/>
      <c r="D99" s="33" t="s">
        <v>245</v>
      </c>
      <c r="E99" s="34">
        <v>19</v>
      </c>
      <c r="F99" s="54">
        <v>2225</v>
      </c>
      <c r="G99" s="35" t="s">
        <v>398</v>
      </c>
    </row>
    <row r="100" spans="1:7" x14ac:dyDescent="0.25">
      <c r="A100" s="63"/>
      <c r="B100" s="65"/>
      <c r="C100" s="63"/>
      <c r="D100" s="33" t="s">
        <v>951</v>
      </c>
      <c r="E100" s="34">
        <v>19</v>
      </c>
      <c r="F100" s="54">
        <v>1958</v>
      </c>
      <c r="G100" s="35" t="s">
        <v>398</v>
      </c>
    </row>
    <row r="101" spans="1:7" x14ac:dyDescent="0.25">
      <c r="A101" s="63"/>
      <c r="B101" s="65"/>
      <c r="C101" s="63"/>
      <c r="D101" s="33" t="s">
        <v>241</v>
      </c>
      <c r="E101" s="34">
        <v>200</v>
      </c>
      <c r="F101" s="54">
        <v>49</v>
      </c>
      <c r="G101" s="35" t="s">
        <v>394</v>
      </c>
    </row>
    <row r="102" spans="1:7" x14ac:dyDescent="0.25">
      <c r="A102" s="63"/>
      <c r="B102" s="65"/>
      <c r="C102" s="63"/>
      <c r="D102" s="33" t="s">
        <v>262</v>
      </c>
      <c r="E102" s="34">
        <v>270</v>
      </c>
      <c r="F102" s="54">
        <v>216</v>
      </c>
      <c r="G102" s="35" t="s">
        <v>394</v>
      </c>
    </row>
    <row r="103" spans="1:7" x14ac:dyDescent="0.25">
      <c r="A103" s="67" t="s">
        <v>1016</v>
      </c>
      <c r="B103" s="68">
        <v>36</v>
      </c>
      <c r="C103" s="70" t="s">
        <v>950</v>
      </c>
      <c r="D103" s="39" t="s">
        <v>254</v>
      </c>
      <c r="E103" s="40">
        <v>30</v>
      </c>
      <c r="F103" s="42">
        <v>39</v>
      </c>
      <c r="G103" s="41" t="s">
        <v>402</v>
      </c>
    </row>
    <row r="104" spans="1:7" x14ac:dyDescent="0.25">
      <c r="A104" s="67"/>
      <c r="B104" s="69"/>
      <c r="C104" s="67"/>
      <c r="D104" s="39" t="s">
        <v>245</v>
      </c>
      <c r="E104" s="40">
        <v>1</v>
      </c>
      <c r="F104" s="42">
        <v>2600</v>
      </c>
      <c r="G104" s="41" t="s">
        <v>398</v>
      </c>
    </row>
    <row r="105" spans="1:7" x14ac:dyDescent="0.25">
      <c r="A105" s="67"/>
      <c r="B105" s="69"/>
      <c r="C105" s="67"/>
      <c r="D105" s="39" t="s">
        <v>951</v>
      </c>
      <c r="E105" s="40">
        <v>1</v>
      </c>
      <c r="F105" s="42">
        <v>2288</v>
      </c>
      <c r="G105" s="41" t="s">
        <v>398</v>
      </c>
    </row>
    <row r="106" spans="1:7" x14ac:dyDescent="0.25">
      <c r="A106" s="63" t="s">
        <v>1017</v>
      </c>
      <c r="B106" s="64">
        <v>37</v>
      </c>
      <c r="C106" s="66" t="s">
        <v>950</v>
      </c>
      <c r="D106" s="33" t="s">
        <v>245</v>
      </c>
      <c r="E106" s="34">
        <v>25</v>
      </c>
      <c r="F106" s="54">
        <v>2700</v>
      </c>
      <c r="G106" s="35" t="s">
        <v>398</v>
      </c>
    </row>
    <row r="107" spans="1:7" x14ac:dyDescent="0.25">
      <c r="A107" s="63"/>
      <c r="B107" s="64"/>
      <c r="C107" s="66"/>
      <c r="D107" s="33" t="s">
        <v>951</v>
      </c>
      <c r="E107" s="34">
        <v>25</v>
      </c>
      <c r="F107" s="54">
        <v>2376</v>
      </c>
      <c r="G107" s="35" t="s">
        <v>398</v>
      </c>
    </row>
    <row r="108" spans="1:7" x14ac:dyDescent="0.25">
      <c r="A108" s="67" t="s">
        <v>1018</v>
      </c>
      <c r="B108" s="68">
        <v>38</v>
      </c>
      <c r="C108" s="70" t="s">
        <v>950</v>
      </c>
      <c r="D108" s="39" t="s">
        <v>254</v>
      </c>
      <c r="E108" s="40">
        <v>150</v>
      </c>
      <c r="F108" s="42">
        <v>60</v>
      </c>
      <c r="G108" s="41" t="s">
        <v>402</v>
      </c>
    </row>
    <row r="109" spans="1:7" x14ac:dyDescent="0.25">
      <c r="A109" s="67"/>
      <c r="B109" s="69"/>
      <c r="C109" s="67"/>
      <c r="D109" s="39" t="s">
        <v>245</v>
      </c>
      <c r="E109" s="40">
        <v>53</v>
      </c>
      <c r="F109" s="42">
        <v>3125</v>
      </c>
      <c r="G109" s="41" t="s">
        <v>398</v>
      </c>
    </row>
    <row r="110" spans="1:7" x14ac:dyDescent="0.25">
      <c r="A110" s="67"/>
      <c r="B110" s="69"/>
      <c r="C110" s="67"/>
      <c r="D110" s="39" t="s">
        <v>951</v>
      </c>
      <c r="E110" s="40">
        <v>53</v>
      </c>
      <c r="F110" s="42">
        <v>2750</v>
      </c>
      <c r="G110" s="41" t="s">
        <v>398</v>
      </c>
    </row>
    <row r="111" spans="1:7" x14ac:dyDescent="0.25">
      <c r="A111" s="67"/>
      <c r="B111" s="69"/>
      <c r="C111" s="67"/>
      <c r="D111" s="39" t="s">
        <v>262</v>
      </c>
      <c r="E111" s="40">
        <v>160</v>
      </c>
      <c r="F111" s="42">
        <v>170</v>
      </c>
      <c r="G111" s="41" t="s">
        <v>394</v>
      </c>
    </row>
    <row r="112" spans="1:7" x14ac:dyDescent="0.25">
      <c r="A112" s="67" t="s">
        <v>1019</v>
      </c>
      <c r="B112" s="68">
        <v>39</v>
      </c>
      <c r="C112" s="70" t="s">
        <v>950</v>
      </c>
      <c r="D112" s="39" t="s">
        <v>245</v>
      </c>
      <c r="E112" s="40">
        <v>14</v>
      </c>
      <c r="F112" s="42">
        <v>2950</v>
      </c>
      <c r="G112" s="41" t="s">
        <v>398</v>
      </c>
    </row>
    <row r="113" spans="1:7" x14ac:dyDescent="0.25">
      <c r="A113" s="67"/>
      <c r="B113" s="69"/>
      <c r="C113" s="67"/>
      <c r="D113" s="39" t="s">
        <v>951</v>
      </c>
      <c r="E113" s="40">
        <v>19</v>
      </c>
      <c r="F113" s="42">
        <v>2596</v>
      </c>
      <c r="G113" s="41" t="s">
        <v>398</v>
      </c>
    </row>
    <row r="114" spans="1:7" x14ac:dyDescent="0.25">
      <c r="A114" s="30" t="s">
        <v>1020</v>
      </c>
      <c r="B114" s="31">
        <v>40</v>
      </c>
      <c r="C114" s="32" t="s">
        <v>950</v>
      </c>
      <c r="D114" s="33" t="s">
        <v>245</v>
      </c>
      <c r="E114" s="34">
        <v>14</v>
      </c>
      <c r="F114" s="54">
        <v>2050</v>
      </c>
      <c r="G114" s="35" t="s">
        <v>398</v>
      </c>
    </row>
    <row r="115" spans="1:7" x14ac:dyDescent="0.25">
      <c r="A115" s="36" t="s">
        <v>797</v>
      </c>
      <c r="B115" s="37">
        <v>41</v>
      </c>
      <c r="C115" s="38" t="s">
        <v>950</v>
      </c>
      <c r="D115" s="39" t="s">
        <v>951</v>
      </c>
      <c r="E115" s="40">
        <v>14</v>
      </c>
      <c r="F115" s="42">
        <v>1804</v>
      </c>
      <c r="G115" s="41" t="s">
        <v>398</v>
      </c>
    </row>
    <row r="116" spans="1:7" ht="27" x14ac:dyDescent="0.25">
      <c r="A116" s="30" t="s">
        <v>278</v>
      </c>
      <c r="B116" s="31">
        <v>42</v>
      </c>
      <c r="C116" s="32" t="s">
        <v>279</v>
      </c>
      <c r="D116" s="33" t="s">
        <v>280</v>
      </c>
      <c r="E116" s="34">
        <v>1</v>
      </c>
      <c r="F116" s="54">
        <v>8000</v>
      </c>
      <c r="G116" s="35" t="s">
        <v>18</v>
      </c>
    </row>
    <row r="117" spans="1:7" x14ac:dyDescent="0.25">
      <c r="A117" s="67" t="s">
        <v>1021</v>
      </c>
      <c r="B117" s="68">
        <v>43</v>
      </c>
      <c r="C117" s="70" t="s">
        <v>285</v>
      </c>
      <c r="D117" s="39" t="s">
        <v>286</v>
      </c>
      <c r="E117" s="40">
        <v>4488</v>
      </c>
      <c r="F117" s="42">
        <v>100</v>
      </c>
      <c r="G117" s="41" t="s">
        <v>388</v>
      </c>
    </row>
    <row r="118" spans="1:7" x14ac:dyDescent="0.25">
      <c r="A118" s="67"/>
      <c r="B118" s="69"/>
      <c r="C118" s="67"/>
      <c r="D118" s="39" t="s">
        <v>289</v>
      </c>
      <c r="E118" s="40">
        <v>1777</v>
      </c>
      <c r="F118" s="42">
        <v>115</v>
      </c>
      <c r="G118" s="41" t="s">
        <v>388</v>
      </c>
    </row>
    <row r="119" spans="1:7" x14ac:dyDescent="0.25">
      <c r="A119" s="67"/>
      <c r="B119" s="69"/>
      <c r="C119" s="67"/>
      <c r="D119" s="39" t="s">
        <v>953</v>
      </c>
      <c r="E119" s="40">
        <v>2</v>
      </c>
      <c r="F119" s="42">
        <v>900</v>
      </c>
      <c r="G119" s="41" t="s">
        <v>398</v>
      </c>
    </row>
    <row r="120" spans="1:7" x14ac:dyDescent="0.25">
      <c r="A120" s="67"/>
      <c r="B120" s="69"/>
      <c r="C120" s="67"/>
      <c r="D120" s="39" t="s">
        <v>295</v>
      </c>
      <c r="E120" s="40">
        <v>50</v>
      </c>
      <c r="F120" s="42">
        <v>288</v>
      </c>
      <c r="G120" s="41" t="s">
        <v>583</v>
      </c>
    </row>
    <row r="121" spans="1:7" x14ac:dyDescent="0.25">
      <c r="A121" s="67"/>
      <c r="B121" s="69"/>
      <c r="C121" s="67"/>
      <c r="D121" s="39" t="s">
        <v>292</v>
      </c>
      <c r="E121" s="40">
        <v>64</v>
      </c>
      <c r="F121" s="42">
        <v>115</v>
      </c>
      <c r="G121" s="41" t="s">
        <v>394</v>
      </c>
    </row>
    <row r="122" spans="1:7" x14ac:dyDescent="0.25">
      <c r="A122" s="67"/>
      <c r="B122" s="69"/>
      <c r="C122" s="67"/>
      <c r="D122" s="39" t="s">
        <v>301</v>
      </c>
      <c r="E122" s="40">
        <v>5</v>
      </c>
      <c r="F122" s="42">
        <v>238</v>
      </c>
      <c r="G122" s="41" t="s">
        <v>825</v>
      </c>
    </row>
    <row r="123" spans="1:7" x14ac:dyDescent="0.25">
      <c r="A123" s="67"/>
      <c r="B123" s="69"/>
      <c r="C123" s="67"/>
      <c r="D123" s="39" t="s">
        <v>304</v>
      </c>
      <c r="E123" s="40">
        <v>184</v>
      </c>
      <c r="F123" s="42">
        <v>128</v>
      </c>
      <c r="G123" s="41" t="s">
        <v>388</v>
      </c>
    </row>
    <row r="124" spans="1:7" x14ac:dyDescent="0.25">
      <c r="A124" s="63" t="s">
        <v>1022</v>
      </c>
      <c r="B124" s="64">
        <v>44</v>
      </c>
      <c r="C124" s="66" t="s">
        <v>285</v>
      </c>
      <c r="D124" s="33" t="s">
        <v>286</v>
      </c>
      <c r="E124" s="34">
        <v>11</v>
      </c>
      <c r="F124" s="54">
        <v>110</v>
      </c>
      <c r="G124" s="35" t="s">
        <v>388</v>
      </c>
    </row>
    <row r="125" spans="1:7" x14ac:dyDescent="0.25">
      <c r="A125" s="63"/>
      <c r="B125" s="65"/>
      <c r="C125" s="63"/>
      <c r="D125" s="33" t="s">
        <v>289</v>
      </c>
      <c r="E125" s="34">
        <v>873</v>
      </c>
      <c r="F125" s="54">
        <v>125</v>
      </c>
      <c r="G125" s="35" t="s">
        <v>388</v>
      </c>
    </row>
    <row r="126" spans="1:7" x14ac:dyDescent="0.25">
      <c r="A126" s="63"/>
      <c r="B126" s="65"/>
      <c r="C126" s="63"/>
      <c r="D126" s="33" t="s">
        <v>953</v>
      </c>
      <c r="E126" s="34">
        <v>8</v>
      </c>
      <c r="F126" s="54">
        <v>850</v>
      </c>
      <c r="G126" s="35" t="s">
        <v>398</v>
      </c>
    </row>
    <row r="127" spans="1:7" x14ac:dyDescent="0.25">
      <c r="A127" s="43" t="s">
        <v>813</v>
      </c>
      <c r="B127" s="44">
        <v>45</v>
      </c>
      <c r="C127" s="45" t="s">
        <v>285</v>
      </c>
      <c r="D127" s="39" t="s">
        <v>286</v>
      </c>
      <c r="E127" s="40">
        <v>3728</v>
      </c>
      <c r="F127" s="42">
        <v>110</v>
      </c>
      <c r="G127" s="41" t="s">
        <v>388</v>
      </c>
    </row>
    <row r="128" spans="1:7" x14ac:dyDescent="0.25">
      <c r="A128" s="67" t="s">
        <v>307</v>
      </c>
      <c r="B128" s="68">
        <v>46</v>
      </c>
      <c r="C128" s="70" t="s">
        <v>308</v>
      </c>
      <c r="D128" s="39" t="s">
        <v>955</v>
      </c>
      <c r="E128" s="40">
        <v>65</v>
      </c>
      <c r="F128" s="42">
        <v>36</v>
      </c>
      <c r="G128" s="41" t="s">
        <v>509</v>
      </c>
    </row>
    <row r="129" spans="1:7" x14ac:dyDescent="0.25">
      <c r="A129" s="67"/>
      <c r="B129" s="69"/>
      <c r="C129" s="67"/>
      <c r="D129" s="39" t="s">
        <v>334</v>
      </c>
      <c r="E129" s="40">
        <v>200</v>
      </c>
      <c r="F129" s="42">
        <v>14</v>
      </c>
      <c r="G129" s="41" t="s">
        <v>467</v>
      </c>
    </row>
    <row r="130" spans="1:7" x14ac:dyDescent="0.25">
      <c r="A130" s="67"/>
      <c r="B130" s="69"/>
      <c r="C130" s="67"/>
      <c r="D130" s="39" t="s">
        <v>330</v>
      </c>
      <c r="E130" s="40">
        <v>2000</v>
      </c>
      <c r="F130" s="42">
        <v>48</v>
      </c>
      <c r="G130" s="41" t="s">
        <v>394</v>
      </c>
    </row>
    <row r="131" spans="1:7" x14ac:dyDescent="0.25">
      <c r="A131" s="67"/>
      <c r="B131" s="69"/>
      <c r="C131" s="67"/>
      <c r="D131" s="39" t="s">
        <v>956</v>
      </c>
      <c r="E131" s="40">
        <v>650</v>
      </c>
      <c r="F131" s="42">
        <v>71</v>
      </c>
      <c r="G131" s="41" t="s">
        <v>394</v>
      </c>
    </row>
    <row r="132" spans="1:7" x14ac:dyDescent="0.25">
      <c r="A132" s="67"/>
      <c r="B132" s="69"/>
      <c r="C132" s="67"/>
      <c r="D132" s="39" t="s">
        <v>319</v>
      </c>
      <c r="E132" s="40">
        <v>600</v>
      </c>
      <c r="F132" s="42">
        <v>79</v>
      </c>
      <c r="G132" s="41" t="s">
        <v>394</v>
      </c>
    </row>
    <row r="133" spans="1:7" x14ac:dyDescent="0.25">
      <c r="A133" s="67"/>
      <c r="B133" s="69"/>
      <c r="C133" s="67"/>
      <c r="D133" s="39" t="s">
        <v>326</v>
      </c>
      <c r="E133" s="40">
        <v>200</v>
      </c>
      <c r="F133" s="42">
        <v>56</v>
      </c>
      <c r="G133" s="41" t="s">
        <v>394</v>
      </c>
    </row>
    <row r="134" spans="1:7" x14ac:dyDescent="0.25">
      <c r="A134" s="67"/>
      <c r="B134" s="69"/>
      <c r="C134" s="67"/>
      <c r="D134" s="39" t="s">
        <v>309</v>
      </c>
      <c r="E134" s="40">
        <v>120</v>
      </c>
      <c r="F134" s="42">
        <v>85</v>
      </c>
      <c r="G134" s="41" t="s">
        <v>394</v>
      </c>
    </row>
    <row r="135" spans="1:7" x14ac:dyDescent="0.25">
      <c r="A135" s="67"/>
      <c r="B135" s="69"/>
      <c r="C135" s="67"/>
      <c r="D135" s="39" t="s">
        <v>954</v>
      </c>
      <c r="E135" s="40">
        <v>100</v>
      </c>
      <c r="F135" s="42">
        <v>100</v>
      </c>
      <c r="G135" s="41" t="s">
        <v>394</v>
      </c>
    </row>
    <row r="136" spans="1:7" x14ac:dyDescent="0.25">
      <c r="A136" s="63" t="s">
        <v>338</v>
      </c>
      <c r="B136" s="64">
        <v>47</v>
      </c>
      <c r="C136" s="66" t="s">
        <v>339</v>
      </c>
      <c r="D136" s="33" t="s">
        <v>340</v>
      </c>
      <c r="E136" s="34">
        <v>155</v>
      </c>
      <c r="F136" s="54">
        <v>240</v>
      </c>
      <c r="G136" s="35" t="s">
        <v>209</v>
      </c>
    </row>
    <row r="137" spans="1:7" x14ac:dyDescent="0.25">
      <c r="A137" s="63"/>
      <c r="B137" s="65"/>
      <c r="C137" s="63"/>
      <c r="D137" s="33" t="s">
        <v>350</v>
      </c>
      <c r="E137" s="34">
        <v>25</v>
      </c>
      <c r="F137" s="54">
        <v>100</v>
      </c>
      <c r="G137" s="35" t="s">
        <v>209</v>
      </c>
    </row>
    <row r="138" spans="1:7" x14ac:dyDescent="0.25">
      <c r="A138" s="63"/>
      <c r="B138" s="65"/>
      <c r="C138" s="63"/>
      <c r="D138" s="33" t="s">
        <v>347</v>
      </c>
      <c r="E138" s="34">
        <v>350</v>
      </c>
      <c r="F138" s="54">
        <v>18</v>
      </c>
      <c r="G138" s="35" t="s">
        <v>509</v>
      </c>
    </row>
    <row r="139" spans="1:7" x14ac:dyDescent="0.25">
      <c r="A139" s="63"/>
      <c r="B139" s="65"/>
      <c r="C139" s="63"/>
      <c r="D139" s="33" t="s">
        <v>363</v>
      </c>
      <c r="E139" s="34">
        <v>150</v>
      </c>
      <c r="F139" s="54">
        <v>30</v>
      </c>
      <c r="G139" s="35" t="s">
        <v>18</v>
      </c>
    </row>
    <row r="140" spans="1:7" x14ac:dyDescent="0.25">
      <c r="A140" s="63"/>
      <c r="B140" s="65"/>
      <c r="C140" s="63"/>
      <c r="D140" s="33" t="s">
        <v>353</v>
      </c>
      <c r="E140" s="34">
        <v>1</v>
      </c>
      <c r="F140" s="54">
        <v>850</v>
      </c>
      <c r="G140" s="35" t="s">
        <v>441</v>
      </c>
    </row>
    <row r="141" spans="1:7" x14ac:dyDescent="0.25">
      <c r="A141" s="63"/>
      <c r="B141" s="65"/>
      <c r="C141" s="63"/>
      <c r="D141" s="33" t="s">
        <v>356</v>
      </c>
      <c r="E141" s="34">
        <v>235</v>
      </c>
      <c r="F141" s="54">
        <v>126</v>
      </c>
      <c r="G141" s="35" t="s">
        <v>18</v>
      </c>
    </row>
    <row r="142" spans="1:7" x14ac:dyDescent="0.25">
      <c r="A142" s="63"/>
      <c r="B142" s="65"/>
      <c r="C142" s="63"/>
      <c r="D142" s="33" t="s">
        <v>359</v>
      </c>
      <c r="E142" s="34">
        <v>822</v>
      </c>
      <c r="F142" s="54">
        <v>120</v>
      </c>
      <c r="G142" s="35" t="s">
        <v>209</v>
      </c>
    </row>
    <row r="143" spans="1:7" x14ac:dyDescent="0.25">
      <c r="A143" s="63"/>
      <c r="B143" s="65"/>
      <c r="C143" s="63"/>
      <c r="D143" s="33" t="s">
        <v>343</v>
      </c>
      <c r="E143" s="34">
        <v>2</v>
      </c>
      <c r="F143" s="54">
        <v>120</v>
      </c>
      <c r="G143" s="35" t="s">
        <v>491</v>
      </c>
    </row>
    <row r="144" spans="1:7" ht="27" x14ac:dyDescent="0.25">
      <c r="A144" s="46" t="s">
        <v>338</v>
      </c>
      <c r="B144" s="47">
        <v>48</v>
      </c>
      <c r="C144" s="48" t="s">
        <v>339</v>
      </c>
      <c r="D144" s="39" t="s">
        <v>353</v>
      </c>
      <c r="E144" s="40">
        <v>8</v>
      </c>
      <c r="F144" s="42">
        <v>1000</v>
      </c>
      <c r="G144" s="41" t="s">
        <v>18</v>
      </c>
    </row>
  </sheetData>
  <autoFilter ref="A1:I144" xr:uid="{28541AEC-58C0-4275-81CA-D5161539FA42}"/>
  <mergeCells count="87">
    <mergeCell ref="A2:A3"/>
    <mergeCell ref="B2:B3"/>
    <mergeCell ref="C2:C3"/>
    <mergeCell ref="A6:A7"/>
    <mergeCell ref="B6:B7"/>
    <mergeCell ref="C6:C7"/>
    <mergeCell ref="A9:A10"/>
    <mergeCell ref="B9:B10"/>
    <mergeCell ref="C9:C10"/>
    <mergeCell ref="A11:A18"/>
    <mergeCell ref="B11:B18"/>
    <mergeCell ref="C11:C18"/>
    <mergeCell ref="A24:A26"/>
    <mergeCell ref="B24:B26"/>
    <mergeCell ref="C24:C26"/>
    <mergeCell ref="A19:A20"/>
    <mergeCell ref="B19:B20"/>
    <mergeCell ref="C19:C20"/>
    <mergeCell ref="A21:A22"/>
    <mergeCell ref="B21:B22"/>
    <mergeCell ref="C21:C22"/>
    <mergeCell ref="A27:A28"/>
    <mergeCell ref="B27:B28"/>
    <mergeCell ref="C27:C28"/>
    <mergeCell ref="A30:A33"/>
    <mergeCell ref="B30:B33"/>
    <mergeCell ref="C30:C33"/>
    <mergeCell ref="A34:A36"/>
    <mergeCell ref="B34:B36"/>
    <mergeCell ref="C34:C36"/>
    <mergeCell ref="A39:A40"/>
    <mergeCell ref="B39:B40"/>
    <mergeCell ref="C39:C40"/>
    <mergeCell ref="A41:A42"/>
    <mergeCell ref="B41:B42"/>
    <mergeCell ref="C41:C42"/>
    <mergeCell ref="A44:A45"/>
    <mergeCell ref="B44:B45"/>
    <mergeCell ref="C44:C45"/>
    <mergeCell ref="A46:A60"/>
    <mergeCell ref="B46:B60"/>
    <mergeCell ref="C46:C60"/>
    <mergeCell ref="A62:A63"/>
    <mergeCell ref="B62:B63"/>
    <mergeCell ref="C62:C63"/>
    <mergeCell ref="A65:A67"/>
    <mergeCell ref="B65:B67"/>
    <mergeCell ref="C65:C67"/>
    <mergeCell ref="A69:A75"/>
    <mergeCell ref="B69:B75"/>
    <mergeCell ref="C69:C75"/>
    <mergeCell ref="A76:A77"/>
    <mergeCell ref="B76:B77"/>
    <mergeCell ref="C76:C77"/>
    <mergeCell ref="A81:A84"/>
    <mergeCell ref="B81:B84"/>
    <mergeCell ref="C81:C84"/>
    <mergeCell ref="A85:A97"/>
    <mergeCell ref="B85:B97"/>
    <mergeCell ref="C85:C97"/>
    <mergeCell ref="A98:A102"/>
    <mergeCell ref="B98:B102"/>
    <mergeCell ref="C98:C102"/>
    <mergeCell ref="A103:A105"/>
    <mergeCell ref="B103:B105"/>
    <mergeCell ref="C103:C105"/>
    <mergeCell ref="A106:A107"/>
    <mergeCell ref="B106:B107"/>
    <mergeCell ref="C106:C107"/>
    <mergeCell ref="A112:A113"/>
    <mergeCell ref="B112:B113"/>
    <mergeCell ref="C112:C113"/>
    <mergeCell ref="A108:A111"/>
    <mergeCell ref="B108:B111"/>
    <mergeCell ref="C108:C111"/>
    <mergeCell ref="A117:A123"/>
    <mergeCell ref="B117:B123"/>
    <mergeCell ref="C117:C123"/>
    <mergeCell ref="A124:A126"/>
    <mergeCell ref="B124:B126"/>
    <mergeCell ref="C124:C126"/>
    <mergeCell ref="A136:A143"/>
    <mergeCell ref="B136:B143"/>
    <mergeCell ref="C136:C143"/>
    <mergeCell ref="A128:A135"/>
    <mergeCell ref="B128:B135"/>
    <mergeCell ref="C128:C1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5FBF-79FE-4DB8-A4F4-FC33DA2F7585}">
  <sheetPr filterMode="1"/>
  <dimension ref="A1:G176"/>
  <sheetViews>
    <sheetView zoomScale="85" zoomScaleNormal="85" workbookViewId="0">
      <selection activeCell="K2" sqref="K2:K127"/>
    </sheetView>
  </sheetViews>
  <sheetFormatPr defaultRowHeight="15" x14ac:dyDescent="0.25"/>
  <cols>
    <col min="1" max="1" width="36.7109375" customWidth="1"/>
    <col min="2" max="2" width="71.85546875" customWidth="1"/>
    <col min="3" max="3" width="62" customWidth="1"/>
    <col min="4" max="4" width="16.140625" style="29" customWidth="1"/>
    <col min="5" max="6" width="16.140625" style="7" customWidth="1"/>
    <col min="7" max="7" width="16" style="7" customWidth="1"/>
  </cols>
  <sheetData>
    <row r="1" spans="1:7" ht="21" customHeight="1" x14ac:dyDescent="0.25">
      <c r="A1" s="26" t="s">
        <v>0</v>
      </c>
      <c r="B1" s="26" t="s">
        <v>1</v>
      </c>
      <c r="C1" s="26" t="s">
        <v>6</v>
      </c>
      <c r="D1" s="27" t="s">
        <v>8</v>
      </c>
      <c r="E1" s="22"/>
      <c r="F1" s="22" t="s">
        <v>940</v>
      </c>
      <c r="G1" s="22" t="s">
        <v>942</v>
      </c>
    </row>
    <row r="2" spans="1:7" hidden="1" x14ac:dyDescent="0.25">
      <c r="A2" s="23" t="s">
        <v>835</v>
      </c>
      <c r="B2" s="23" t="s">
        <v>13</v>
      </c>
      <c r="C2" s="23" t="s">
        <v>14</v>
      </c>
      <c r="D2" s="25">
        <v>272</v>
      </c>
      <c r="E2" s="24"/>
      <c r="F2" s="24">
        <v>126</v>
      </c>
      <c r="G2" s="25" t="s">
        <v>836</v>
      </c>
    </row>
    <row r="3" spans="1:7" hidden="1" x14ac:dyDescent="0.25">
      <c r="A3" s="23" t="s">
        <v>861</v>
      </c>
      <c r="B3" s="23" t="s">
        <v>13</v>
      </c>
      <c r="C3" s="23" t="s">
        <v>14</v>
      </c>
      <c r="D3" s="25">
        <v>14</v>
      </c>
      <c r="E3" s="24"/>
      <c r="F3" s="24">
        <v>110</v>
      </c>
      <c r="G3" s="25" t="s">
        <v>836</v>
      </c>
    </row>
    <row r="4" spans="1:7" hidden="1" x14ac:dyDescent="0.25">
      <c r="A4" s="23" t="s">
        <v>861</v>
      </c>
      <c r="B4" s="23" t="s">
        <v>13</v>
      </c>
      <c r="C4" s="23" t="s">
        <v>20</v>
      </c>
      <c r="D4" s="25">
        <v>1</v>
      </c>
      <c r="E4" s="24"/>
      <c r="F4" s="24">
        <v>200</v>
      </c>
      <c r="G4" s="25" t="s">
        <v>18</v>
      </c>
    </row>
    <row r="5" spans="1:7" hidden="1" x14ac:dyDescent="0.25">
      <c r="A5" s="23" t="s">
        <v>22</v>
      </c>
      <c r="B5" s="23" t="s">
        <v>23</v>
      </c>
      <c r="C5" s="23" t="s">
        <v>24</v>
      </c>
      <c r="D5" s="25">
        <v>150</v>
      </c>
      <c r="E5" s="24"/>
      <c r="F5" s="24">
        <v>66</v>
      </c>
      <c r="G5" s="25" t="s">
        <v>394</v>
      </c>
    </row>
    <row r="6" spans="1:7" x14ac:dyDescent="0.25">
      <c r="A6" s="23" t="s">
        <v>27</v>
      </c>
      <c r="B6" s="23" t="s">
        <v>28</v>
      </c>
      <c r="C6" s="23" t="s">
        <v>29</v>
      </c>
      <c r="D6" s="25">
        <v>20</v>
      </c>
      <c r="E6" s="24"/>
      <c r="F6" s="24">
        <v>1.5</v>
      </c>
      <c r="G6" s="25" t="s">
        <v>18</v>
      </c>
    </row>
    <row r="7" spans="1:7" x14ac:dyDescent="0.25">
      <c r="A7" s="23" t="s">
        <v>27</v>
      </c>
      <c r="B7" s="23" t="s">
        <v>28</v>
      </c>
      <c r="C7" s="23" t="s">
        <v>31</v>
      </c>
      <c r="D7" s="25">
        <v>60</v>
      </c>
      <c r="E7" s="24"/>
      <c r="F7" s="24">
        <v>0.5</v>
      </c>
      <c r="G7" s="25" t="s">
        <v>18</v>
      </c>
    </row>
    <row r="8" spans="1:7" hidden="1" x14ac:dyDescent="0.25">
      <c r="A8" s="23" t="s">
        <v>34</v>
      </c>
      <c r="B8" s="23" t="s">
        <v>35</v>
      </c>
      <c r="C8" s="23" t="s">
        <v>36</v>
      </c>
      <c r="D8" s="25">
        <v>22</v>
      </c>
      <c r="E8" s="24"/>
      <c r="F8" s="24">
        <v>60</v>
      </c>
      <c r="G8" s="25" t="s">
        <v>18</v>
      </c>
    </row>
    <row r="9" spans="1:7" hidden="1" x14ac:dyDescent="0.25">
      <c r="A9" s="23" t="s">
        <v>39</v>
      </c>
      <c r="B9" s="23" t="s">
        <v>40</v>
      </c>
      <c r="C9" s="23" t="s">
        <v>41</v>
      </c>
      <c r="D9" s="25">
        <v>24</v>
      </c>
      <c r="E9" s="24"/>
      <c r="F9" s="24">
        <v>2530</v>
      </c>
      <c r="G9" s="25" t="s">
        <v>398</v>
      </c>
    </row>
    <row r="10" spans="1:7" hidden="1" x14ac:dyDescent="0.25">
      <c r="A10" s="23" t="s">
        <v>39</v>
      </c>
      <c r="B10" s="23" t="s">
        <v>40</v>
      </c>
      <c r="C10" s="23" t="s">
        <v>44</v>
      </c>
      <c r="D10" s="25">
        <v>24</v>
      </c>
      <c r="E10" s="24"/>
      <c r="F10" s="24">
        <v>2875</v>
      </c>
      <c r="G10" s="25" t="s">
        <v>398</v>
      </c>
    </row>
    <row r="11" spans="1:7" hidden="1" x14ac:dyDescent="0.25">
      <c r="A11" s="23" t="s">
        <v>778</v>
      </c>
      <c r="B11" s="23" t="s">
        <v>48</v>
      </c>
      <c r="C11" s="23" t="s">
        <v>49</v>
      </c>
      <c r="D11" s="25">
        <v>18</v>
      </c>
      <c r="E11" s="24"/>
      <c r="F11" s="24">
        <v>2750</v>
      </c>
      <c r="G11" s="25" t="s">
        <v>398</v>
      </c>
    </row>
    <row r="12" spans="1:7" hidden="1" x14ac:dyDescent="0.25">
      <c r="A12" s="23" t="s">
        <v>785</v>
      </c>
      <c r="B12" s="23" t="s">
        <v>48</v>
      </c>
      <c r="C12" s="23" t="s">
        <v>49</v>
      </c>
      <c r="D12" s="25">
        <v>16</v>
      </c>
      <c r="E12" s="24"/>
      <c r="F12" s="24">
        <v>2860</v>
      </c>
      <c r="G12" s="25" t="s">
        <v>398</v>
      </c>
    </row>
    <row r="13" spans="1:7" hidden="1" x14ac:dyDescent="0.25">
      <c r="A13" s="23" t="s">
        <v>796</v>
      </c>
      <c r="B13" s="23" t="s">
        <v>48</v>
      </c>
      <c r="C13" s="23" t="s">
        <v>49</v>
      </c>
      <c r="D13" s="25">
        <v>12</v>
      </c>
      <c r="E13" s="24"/>
      <c r="F13" s="24">
        <v>2860</v>
      </c>
      <c r="G13" s="25" t="s">
        <v>398</v>
      </c>
    </row>
    <row r="14" spans="1:7" hidden="1" x14ac:dyDescent="0.25">
      <c r="A14" s="23" t="s">
        <v>778</v>
      </c>
      <c r="B14" s="23" t="s">
        <v>48</v>
      </c>
      <c r="C14" s="23" t="s">
        <v>52</v>
      </c>
      <c r="D14" s="25">
        <v>18</v>
      </c>
      <c r="E14" s="24"/>
      <c r="F14" s="24">
        <v>3125</v>
      </c>
      <c r="G14" s="25" t="s">
        <v>398</v>
      </c>
    </row>
    <row r="15" spans="1:7" hidden="1" x14ac:dyDescent="0.25">
      <c r="A15" s="23" t="s">
        <v>785</v>
      </c>
      <c r="B15" s="23" t="s">
        <v>48</v>
      </c>
      <c r="C15" s="23" t="s">
        <v>52</v>
      </c>
      <c r="D15" s="25">
        <v>16</v>
      </c>
      <c r="E15" s="24"/>
      <c r="F15" s="24">
        <v>3250</v>
      </c>
      <c r="G15" s="25" t="s">
        <v>398</v>
      </c>
    </row>
    <row r="16" spans="1:7" hidden="1" x14ac:dyDescent="0.25">
      <c r="A16" s="23" t="s">
        <v>796</v>
      </c>
      <c r="B16" s="23" t="s">
        <v>48</v>
      </c>
      <c r="C16" s="23" t="s">
        <v>52</v>
      </c>
      <c r="D16" s="25">
        <v>12</v>
      </c>
      <c r="E16" s="24"/>
      <c r="F16" s="24">
        <v>3250</v>
      </c>
      <c r="G16" s="25" t="s">
        <v>398</v>
      </c>
    </row>
    <row r="17" spans="1:7" hidden="1" x14ac:dyDescent="0.25">
      <c r="A17" s="23" t="s">
        <v>822</v>
      </c>
      <c r="B17" s="23" t="s">
        <v>48</v>
      </c>
      <c r="C17" s="23" t="s">
        <v>52</v>
      </c>
      <c r="D17" s="25">
        <v>4</v>
      </c>
      <c r="E17" s="24"/>
      <c r="F17" s="24">
        <v>3000</v>
      </c>
      <c r="G17" s="25" t="s">
        <v>398</v>
      </c>
    </row>
    <row r="18" spans="1:7" hidden="1" x14ac:dyDescent="0.25">
      <c r="A18" s="23" t="s">
        <v>822</v>
      </c>
      <c r="B18" s="23" t="s">
        <v>48</v>
      </c>
      <c r="C18" s="23" t="s">
        <v>55</v>
      </c>
      <c r="D18" s="25">
        <v>4</v>
      </c>
      <c r="E18" s="24"/>
      <c r="F18" s="24">
        <v>2640</v>
      </c>
      <c r="G18" s="25" t="s">
        <v>398</v>
      </c>
    </row>
    <row r="19" spans="1:7" hidden="1" x14ac:dyDescent="0.25">
      <c r="A19" s="23" t="s">
        <v>508</v>
      </c>
      <c r="B19" s="23" t="s">
        <v>48</v>
      </c>
      <c r="C19" s="23" t="s">
        <v>58</v>
      </c>
      <c r="D19" s="25">
        <v>30</v>
      </c>
      <c r="E19" s="24"/>
      <c r="F19" s="24">
        <v>138</v>
      </c>
      <c r="G19" s="25" t="s">
        <v>388</v>
      </c>
    </row>
    <row r="20" spans="1:7" hidden="1" x14ac:dyDescent="0.25">
      <c r="A20" s="23" t="s">
        <v>545</v>
      </c>
      <c r="B20" s="23" t="s">
        <v>48</v>
      </c>
      <c r="C20" s="23" t="s">
        <v>58</v>
      </c>
      <c r="D20" s="25">
        <v>276</v>
      </c>
      <c r="E20" s="24"/>
      <c r="F20" s="24">
        <v>117</v>
      </c>
      <c r="G20" s="25" t="s">
        <v>388</v>
      </c>
    </row>
    <row r="21" spans="1:7" hidden="1" x14ac:dyDescent="0.25">
      <c r="A21" s="23" t="s">
        <v>547</v>
      </c>
      <c r="B21" s="23" t="s">
        <v>48</v>
      </c>
      <c r="C21" s="23" t="s">
        <v>58</v>
      </c>
      <c r="D21" s="25">
        <v>230</v>
      </c>
      <c r="E21" s="24"/>
      <c r="F21" s="24">
        <v>117</v>
      </c>
      <c r="G21" s="25" t="s">
        <v>388</v>
      </c>
    </row>
    <row r="22" spans="1:7" hidden="1" x14ac:dyDescent="0.25">
      <c r="A22" s="23" t="s">
        <v>593</v>
      </c>
      <c r="B22" s="23" t="s">
        <v>48</v>
      </c>
      <c r="C22" s="23" t="s">
        <v>58</v>
      </c>
      <c r="D22" s="25">
        <v>184</v>
      </c>
      <c r="E22" s="24"/>
      <c r="F22" s="24">
        <v>117</v>
      </c>
      <c r="G22" s="25" t="s">
        <v>388</v>
      </c>
    </row>
    <row r="23" spans="1:7" hidden="1" x14ac:dyDescent="0.25">
      <c r="A23" s="23" t="s">
        <v>832</v>
      </c>
      <c r="B23" s="23" t="s">
        <v>48</v>
      </c>
      <c r="C23" s="23" t="s">
        <v>58</v>
      </c>
      <c r="D23" s="25">
        <v>115</v>
      </c>
      <c r="E23" s="24"/>
      <c r="F23" s="24">
        <v>138</v>
      </c>
      <c r="G23" s="25" t="s">
        <v>388</v>
      </c>
    </row>
    <row r="24" spans="1:7" hidden="1" x14ac:dyDescent="0.25">
      <c r="A24" s="23" t="s">
        <v>891</v>
      </c>
      <c r="B24" s="23" t="s">
        <v>48</v>
      </c>
      <c r="C24" s="23" t="s">
        <v>58</v>
      </c>
      <c r="D24" s="25">
        <v>16</v>
      </c>
      <c r="E24" s="24"/>
      <c r="F24" s="24">
        <v>138</v>
      </c>
      <c r="G24" s="25" t="s">
        <v>388</v>
      </c>
    </row>
    <row r="25" spans="1:7" hidden="1" x14ac:dyDescent="0.25">
      <c r="A25" s="23" t="s">
        <v>508</v>
      </c>
      <c r="B25" s="23" t="s">
        <v>48</v>
      </c>
      <c r="C25" s="23" t="s">
        <v>61</v>
      </c>
      <c r="D25" s="25">
        <v>50</v>
      </c>
      <c r="E25" s="24"/>
      <c r="F25" s="24">
        <v>38</v>
      </c>
      <c r="G25" s="25" t="s">
        <v>509</v>
      </c>
    </row>
    <row r="26" spans="1:7" hidden="1" x14ac:dyDescent="0.25">
      <c r="A26" s="23" t="s">
        <v>593</v>
      </c>
      <c r="B26" s="23" t="s">
        <v>48</v>
      </c>
      <c r="C26" s="23" t="s">
        <v>61</v>
      </c>
      <c r="D26" s="25">
        <v>750</v>
      </c>
      <c r="E26" s="24"/>
      <c r="F26" s="24">
        <v>32</v>
      </c>
      <c r="G26" s="25" t="s">
        <v>509</v>
      </c>
    </row>
    <row r="27" spans="1:7" hidden="1" x14ac:dyDescent="0.25">
      <c r="A27" s="23" t="s">
        <v>832</v>
      </c>
      <c r="B27" s="23" t="s">
        <v>48</v>
      </c>
      <c r="C27" s="23" t="s">
        <v>61</v>
      </c>
      <c r="D27" s="25">
        <v>100</v>
      </c>
      <c r="E27" s="24"/>
      <c r="F27" s="24">
        <v>38</v>
      </c>
      <c r="G27" s="25" t="s">
        <v>402</v>
      </c>
    </row>
    <row r="28" spans="1:7" hidden="1" x14ac:dyDescent="0.25">
      <c r="A28" s="23" t="s">
        <v>851</v>
      </c>
      <c r="B28" s="23" t="s">
        <v>48</v>
      </c>
      <c r="C28" s="23" t="s">
        <v>64</v>
      </c>
      <c r="D28" s="25">
        <v>228</v>
      </c>
      <c r="E28" s="24"/>
      <c r="F28" s="24">
        <v>280</v>
      </c>
      <c r="G28" s="25" t="s">
        <v>209</v>
      </c>
    </row>
    <row r="29" spans="1:7" hidden="1" x14ac:dyDescent="0.25">
      <c r="A29" s="23" t="s">
        <v>468</v>
      </c>
      <c r="B29" s="23" t="s">
        <v>48</v>
      </c>
      <c r="C29" s="23" t="s">
        <v>67</v>
      </c>
      <c r="D29" s="28" t="s">
        <v>966</v>
      </c>
      <c r="E29" s="24"/>
      <c r="F29" s="24">
        <v>125</v>
      </c>
      <c r="G29" s="25" t="s">
        <v>388</v>
      </c>
    </row>
    <row r="30" spans="1:7" hidden="1" x14ac:dyDescent="0.25">
      <c r="A30" s="23" t="s">
        <v>811</v>
      </c>
      <c r="B30" s="23" t="s">
        <v>48</v>
      </c>
      <c r="C30" s="23" t="s">
        <v>943</v>
      </c>
      <c r="D30" s="28" t="s">
        <v>964</v>
      </c>
      <c r="E30" s="24"/>
      <c r="F30" s="24">
        <v>150</v>
      </c>
      <c r="G30" s="25" t="s">
        <v>209</v>
      </c>
    </row>
    <row r="31" spans="1:7" hidden="1" x14ac:dyDescent="0.25">
      <c r="A31" s="23" t="s">
        <v>755</v>
      </c>
      <c r="B31" s="23" t="s">
        <v>944</v>
      </c>
      <c r="C31" s="23" t="s">
        <v>75</v>
      </c>
      <c r="D31" s="28" t="s">
        <v>967</v>
      </c>
      <c r="E31" s="24"/>
      <c r="F31" s="24">
        <v>96</v>
      </c>
      <c r="G31" s="25" t="s">
        <v>209</v>
      </c>
    </row>
    <row r="32" spans="1:7" hidden="1" x14ac:dyDescent="0.25">
      <c r="A32" s="23" t="s">
        <v>786</v>
      </c>
      <c r="B32" s="23" t="s">
        <v>944</v>
      </c>
      <c r="C32" s="23" t="s">
        <v>75</v>
      </c>
      <c r="D32" s="28" t="s">
        <v>968</v>
      </c>
      <c r="E32" s="24"/>
      <c r="F32" s="24">
        <v>112</v>
      </c>
      <c r="G32" s="25" t="s">
        <v>209</v>
      </c>
    </row>
    <row r="33" spans="1:7" hidden="1" x14ac:dyDescent="0.25">
      <c r="A33" s="23" t="s">
        <v>823</v>
      </c>
      <c r="B33" s="23" t="s">
        <v>944</v>
      </c>
      <c r="C33" s="23" t="s">
        <v>75</v>
      </c>
      <c r="D33" s="28" t="s">
        <v>969</v>
      </c>
      <c r="E33" s="24"/>
      <c r="F33" s="24">
        <v>115</v>
      </c>
      <c r="G33" s="25" t="s">
        <v>209</v>
      </c>
    </row>
    <row r="34" spans="1:7" hidden="1" x14ac:dyDescent="0.25">
      <c r="A34" s="23" t="s">
        <v>755</v>
      </c>
      <c r="B34" s="23" t="s">
        <v>944</v>
      </c>
      <c r="C34" s="23" t="s">
        <v>78</v>
      </c>
      <c r="D34" s="28" t="s">
        <v>970</v>
      </c>
      <c r="E34" s="24"/>
      <c r="F34" s="24">
        <v>17</v>
      </c>
      <c r="G34" s="25" t="s">
        <v>402</v>
      </c>
    </row>
    <row r="35" spans="1:7" x14ac:dyDescent="0.25">
      <c r="A35" s="23" t="s">
        <v>896</v>
      </c>
      <c r="B35" s="23" t="s">
        <v>944</v>
      </c>
      <c r="C35" s="23" t="s">
        <v>78</v>
      </c>
      <c r="D35" s="28" t="s">
        <v>971</v>
      </c>
      <c r="E35" s="24"/>
      <c r="F35" s="24">
        <v>18.899999999999999</v>
      </c>
      <c r="G35" s="25" t="s">
        <v>402</v>
      </c>
    </row>
    <row r="36" spans="1:7" hidden="1" x14ac:dyDescent="0.25">
      <c r="A36" s="23" t="s">
        <v>755</v>
      </c>
      <c r="B36" s="23" t="s">
        <v>944</v>
      </c>
      <c r="C36" s="23" t="s">
        <v>82</v>
      </c>
      <c r="D36" s="28" t="s">
        <v>961</v>
      </c>
      <c r="E36" s="24"/>
      <c r="F36" s="24">
        <v>750</v>
      </c>
      <c r="G36" s="25" t="s">
        <v>556</v>
      </c>
    </row>
    <row r="37" spans="1:7" hidden="1" x14ac:dyDescent="0.25">
      <c r="A37" s="23" t="s">
        <v>850</v>
      </c>
      <c r="B37" s="23" t="s">
        <v>86</v>
      </c>
      <c r="C37" s="23" t="s">
        <v>87</v>
      </c>
      <c r="D37" s="28" t="s">
        <v>972</v>
      </c>
      <c r="E37" s="24"/>
      <c r="F37" s="24">
        <v>1300</v>
      </c>
      <c r="G37" s="25" t="s">
        <v>441</v>
      </c>
    </row>
    <row r="38" spans="1:7" hidden="1" x14ac:dyDescent="0.25">
      <c r="A38" s="23" t="s">
        <v>490</v>
      </c>
      <c r="B38" s="23" t="s">
        <v>86</v>
      </c>
      <c r="C38" s="23" t="s">
        <v>945</v>
      </c>
      <c r="D38" s="28" t="s">
        <v>973</v>
      </c>
      <c r="E38" s="24"/>
      <c r="F38" s="24">
        <v>148</v>
      </c>
      <c r="G38" s="25" t="s">
        <v>209</v>
      </c>
    </row>
    <row r="39" spans="1:7" hidden="1" x14ac:dyDescent="0.25">
      <c r="A39" s="23" t="s">
        <v>490</v>
      </c>
      <c r="B39" s="23" t="s">
        <v>86</v>
      </c>
      <c r="C39" s="23" t="s">
        <v>94</v>
      </c>
      <c r="D39" s="28" t="s">
        <v>961</v>
      </c>
      <c r="E39" s="24"/>
      <c r="F39" s="24">
        <v>115</v>
      </c>
      <c r="G39" s="25" t="s">
        <v>491</v>
      </c>
    </row>
    <row r="40" spans="1:7" hidden="1" x14ac:dyDescent="0.25">
      <c r="A40" s="23" t="s">
        <v>850</v>
      </c>
      <c r="B40" s="23" t="s">
        <v>86</v>
      </c>
      <c r="C40" s="23" t="s">
        <v>94</v>
      </c>
      <c r="D40" s="28" t="s">
        <v>974</v>
      </c>
      <c r="E40" s="24"/>
      <c r="F40" s="24">
        <v>115</v>
      </c>
      <c r="G40" s="25" t="s">
        <v>491</v>
      </c>
    </row>
    <row r="41" spans="1:7" hidden="1" x14ac:dyDescent="0.25">
      <c r="A41" s="23" t="s">
        <v>850</v>
      </c>
      <c r="B41" s="23" t="s">
        <v>86</v>
      </c>
      <c r="C41" s="23" t="s">
        <v>98</v>
      </c>
      <c r="D41" s="28" t="s">
        <v>975</v>
      </c>
      <c r="E41" s="24"/>
      <c r="F41" s="24">
        <v>144</v>
      </c>
      <c r="G41" s="25" t="s">
        <v>209</v>
      </c>
    </row>
    <row r="42" spans="1:7" hidden="1" x14ac:dyDescent="0.25">
      <c r="A42" s="23" t="s">
        <v>101</v>
      </c>
      <c r="B42" s="23" t="s">
        <v>102</v>
      </c>
      <c r="C42" s="23" t="s">
        <v>103</v>
      </c>
      <c r="D42" s="28" t="s">
        <v>959</v>
      </c>
      <c r="E42" s="24"/>
      <c r="F42" s="24">
        <v>1892</v>
      </c>
      <c r="G42" s="25" t="s">
        <v>398</v>
      </c>
    </row>
    <row r="43" spans="1:7" hidden="1" x14ac:dyDescent="0.25">
      <c r="A43" s="23" t="s">
        <v>101</v>
      </c>
      <c r="B43" s="23" t="s">
        <v>102</v>
      </c>
      <c r="C43" s="23" t="s">
        <v>106</v>
      </c>
      <c r="D43" s="28" t="s">
        <v>959</v>
      </c>
      <c r="E43" s="24"/>
      <c r="F43" s="24">
        <v>2150</v>
      </c>
      <c r="G43" s="25" t="s">
        <v>398</v>
      </c>
    </row>
    <row r="44" spans="1:7" hidden="1" x14ac:dyDescent="0.25">
      <c r="A44" s="23" t="s">
        <v>101</v>
      </c>
      <c r="B44" s="23" t="s">
        <v>102</v>
      </c>
      <c r="C44" s="23" t="s">
        <v>109</v>
      </c>
      <c r="D44" s="28" t="s">
        <v>976</v>
      </c>
      <c r="E44" s="24"/>
      <c r="F44" s="24">
        <v>110</v>
      </c>
      <c r="G44" s="25" t="s">
        <v>388</v>
      </c>
    </row>
    <row r="45" spans="1:7" hidden="1" x14ac:dyDescent="0.25">
      <c r="A45" s="23" t="s">
        <v>112</v>
      </c>
      <c r="B45" s="23" t="s">
        <v>113</v>
      </c>
      <c r="C45" s="23" t="s">
        <v>114</v>
      </c>
      <c r="D45" s="28" t="s">
        <v>957</v>
      </c>
      <c r="E45" s="24"/>
      <c r="F45" s="24">
        <v>420</v>
      </c>
      <c r="G45" s="25" t="s">
        <v>283</v>
      </c>
    </row>
    <row r="46" spans="1:7" hidden="1" x14ac:dyDescent="0.25">
      <c r="A46" s="23" t="s">
        <v>112</v>
      </c>
      <c r="B46" s="23" t="s">
        <v>113</v>
      </c>
      <c r="C46" s="23" t="s">
        <v>114</v>
      </c>
      <c r="D46" s="28" t="s">
        <v>957</v>
      </c>
      <c r="E46" s="24"/>
      <c r="F46" s="24">
        <v>350</v>
      </c>
      <c r="G46" s="25" t="s">
        <v>283</v>
      </c>
    </row>
    <row r="47" spans="1:7" hidden="1" x14ac:dyDescent="0.25">
      <c r="A47" s="23" t="s">
        <v>854</v>
      </c>
      <c r="B47" s="23" t="s">
        <v>118</v>
      </c>
      <c r="C47" s="23" t="s">
        <v>119</v>
      </c>
      <c r="D47" s="28" t="s">
        <v>977</v>
      </c>
      <c r="E47" s="24"/>
      <c r="F47" s="24">
        <v>335</v>
      </c>
      <c r="G47" s="25" t="s">
        <v>388</v>
      </c>
    </row>
    <row r="48" spans="1:7" hidden="1" x14ac:dyDescent="0.25">
      <c r="A48" s="23" t="s">
        <v>875</v>
      </c>
      <c r="B48" s="23" t="s">
        <v>118</v>
      </c>
      <c r="C48" s="23" t="s">
        <v>119</v>
      </c>
      <c r="D48" s="28" t="s">
        <v>978</v>
      </c>
      <c r="E48" s="24"/>
      <c r="F48" s="24">
        <v>335</v>
      </c>
      <c r="G48" s="25" t="s">
        <v>388</v>
      </c>
    </row>
    <row r="49" spans="1:7" hidden="1" x14ac:dyDescent="0.25">
      <c r="A49" s="23" t="s">
        <v>906</v>
      </c>
      <c r="B49" s="23" t="s">
        <v>118</v>
      </c>
      <c r="C49" s="23" t="s">
        <v>119</v>
      </c>
      <c r="D49" s="28" t="s">
        <v>957</v>
      </c>
      <c r="E49" s="24"/>
      <c r="F49" s="24">
        <v>305</v>
      </c>
      <c r="G49" s="25" t="s">
        <v>388</v>
      </c>
    </row>
    <row r="50" spans="1:7" hidden="1" x14ac:dyDescent="0.25">
      <c r="A50" s="23" t="s">
        <v>815</v>
      </c>
      <c r="B50" s="23" t="s">
        <v>118</v>
      </c>
      <c r="C50" s="23" t="s">
        <v>122</v>
      </c>
      <c r="D50" s="28" t="s">
        <v>964</v>
      </c>
      <c r="E50" s="24"/>
      <c r="F50" s="24">
        <v>745</v>
      </c>
      <c r="G50" s="25" t="s">
        <v>388</v>
      </c>
    </row>
    <row r="51" spans="1:7" hidden="1" x14ac:dyDescent="0.25">
      <c r="A51" s="23" t="s">
        <v>826</v>
      </c>
      <c r="B51" s="23" t="s">
        <v>118</v>
      </c>
      <c r="C51" s="23" t="s">
        <v>122</v>
      </c>
      <c r="D51" s="28" t="s">
        <v>961</v>
      </c>
      <c r="E51" s="24"/>
      <c r="F51" s="24">
        <v>560</v>
      </c>
      <c r="G51" s="25" t="s">
        <v>388</v>
      </c>
    </row>
    <row r="52" spans="1:7" x14ac:dyDescent="0.25">
      <c r="A52" s="23" t="s">
        <v>396</v>
      </c>
      <c r="B52" s="23" t="s">
        <v>126</v>
      </c>
      <c r="C52" s="23" t="s">
        <v>127</v>
      </c>
      <c r="D52" s="28" t="s">
        <v>979</v>
      </c>
      <c r="E52" s="24"/>
      <c r="F52" s="24">
        <v>10.5</v>
      </c>
      <c r="G52" s="25" t="s">
        <v>398</v>
      </c>
    </row>
    <row r="53" spans="1:7" x14ac:dyDescent="0.25">
      <c r="A53" s="23" t="s">
        <v>396</v>
      </c>
      <c r="B53" s="23" t="s">
        <v>126</v>
      </c>
      <c r="C53" s="23" t="s">
        <v>130</v>
      </c>
      <c r="D53" s="28" t="s">
        <v>980</v>
      </c>
      <c r="E53" s="24"/>
      <c r="F53" s="24">
        <v>10.5</v>
      </c>
      <c r="G53" s="25" t="s">
        <v>398</v>
      </c>
    </row>
    <row r="54" spans="1:7" hidden="1" x14ac:dyDescent="0.25">
      <c r="A54" s="23" t="s">
        <v>133</v>
      </c>
      <c r="B54" s="23" t="s">
        <v>946</v>
      </c>
      <c r="C54" s="23" t="s">
        <v>135</v>
      </c>
      <c r="D54" s="28" t="s">
        <v>957</v>
      </c>
      <c r="E54" s="24"/>
      <c r="F54" s="24">
        <v>235</v>
      </c>
      <c r="G54" s="25" t="s">
        <v>138</v>
      </c>
    </row>
    <row r="55" spans="1:7" hidden="1" x14ac:dyDescent="0.25">
      <c r="A55" s="23" t="s">
        <v>133</v>
      </c>
      <c r="B55" s="23" t="s">
        <v>946</v>
      </c>
      <c r="C55" s="23" t="s">
        <v>139</v>
      </c>
      <c r="D55" s="28" t="s">
        <v>957</v>
      </c>
      <c r="E55" s="24"/>
      <c r="F55" s="24">
        <v>15</v>
      </c>
      <c r="G55" s="25" t="s">
        <v>18</v>
      </c>
    </row>
    <row r="56" spans="1:7" hidden="1" x14ac:dyDescent="0.25">
      <c r="A56" s="23" t="s">
        <v>133</v>
      </c>
      <c r="B56" s="23" t="s">
        <v>946</v>
      </c>
      <c r="C56" s="23" t="s">
        <v>142</v>
      </c>
      <c r="D56" s="28" t="s">
        <v>957</v>
      </c>
      <c r="E56" s="24"/>
      <c r="F56" s="24">
        <v>18</v>
      </c>
      <c r="G56" s="25" t="s">
        <v>143</v>
      </c>
    </row>
    <row r="57" spans="1:7" hidden="1" x14ac:dyDescent="0.25">
      <c r="A57" s="23" t="s">
        <v>133</v>
      </c>
      <c r="B57" s="23" t="s">
        <v>946</v>
      </c>
      <c r="C57" s="23" t="s">
        <v>145</v>
      </c>
      <c r="D57" s="28" t="s">
        <v>974</v>
      </c>
      <c r="E57" s="24"/>
      <c r="F57" s="24">
        <v>12</v>
      </c>
      <c r="G57" s="25" t="s">
        <v>18</v>
      </c>
    </row>
    <row r="58" spans="1:7" hidden="1" x14ac:dyDescent="0.25">
      <c r="A58" s="23" t="s">
        <v>133</v>
      </c>
      <c r="B58" s="23" t="s">
        <v>946</v>
      </c>
      <c r="C58" s="23" t="s">
        <v>148</v>
      </c>
      <c r="D58" s="28" t="s">
        <v>974</v>
      </c>
      <c r="E58" s="24"/>
      <c r="F58" s="24">
        <v>42</v>
      </c>
      <c r="G58" s="25" t="s">
        <v>143</v>
      </c>
    </row>
    <row r="59" spans="1:7" hidden="1" x14ac:dyDescent="0.25">
      <c r="A59" s="23" t="s">
        <v>133</v>
      </c>
      <c r="B59" s="23" t="s">
        <v>946</v>
      </c>
      <c r="C59" s="23" t="s">
        <v>152</v>
      </c>
      <c r="D59" s="28" t="s">
        <v>957</v>
      </c>
      <c r="E59" s="24"/>
      <c r="F59" s="24">
        <v>20</v>
      </c>
      <c r="G59" s="25" t="s">
        <v>18</v>
      </c>
    </row>
    <row r="60" spans="1:7" hidden="1" x14ac:dyDescent="0.25">
      <c r="A60" s="23" t="s">
        <v>133</v>
      </c>
      <c r="B60" s="23" t="s">
        <v>946</v>
      </c>
      <c r="C60" s="23" t="s">
        <v>152</v>
      </c>
      <c r="D60" s="28" t="s">
        <v>957</v>
      </c>
      <c r="E60" s="24"/>
      <c r="F60" s="24">
        <v>55</v>
      </c>
      <c r="G60" s="25" t="s">
        <v>18</v>
      </c>
    </row>
    <row r="61" spans="1:7" hidden="1" x14ac:dyDescent="0.25">
      <c r="A61" s="23" t="s">
        <v>133</v>
      </c>
      <c r="B61" s="23" t="s">
        <v>946</v>
      </c>
      <c r="C61" s="23" t="s">
        <v>156</v>
      </c>
      <c r="D61" s="28" t="s">
        <v>978</v>
      </c>
      <c r="E61" s="24"/>
      <c r="F61" s="24">
        <v>2</v>
      </c>
      <c r="G61" s="25" t="s">
        <v>18</v>
      </c>
    </row>
    <row r="62" spans="1:7" hidden="1" x14ac:dyDescent="0.25">
      <c r="A62" s="23" t="s">
        <v>133</v>
      </c>
      <c r="B62" s="23" t="s">
        <v>946</v>
      </c>
      <c r="C62" s="23" t="s">
        <v>158</v>
      </c>
      <c r="D62" s="28" t="s">
        <v>972</v>
      </c>
      <c r="E62" s="24"/>
      <c r="F62" s="24">
        <v>120</v>
      </c>
      <c r="G62" s="25" t="s">
        <v>147</v>
      </c>
    </row>
    <row r="63" spans="1:7" x14ac:dyDescent="0.25">
      <c r="A63" s="23" t="s">
        <v>133</v>
      </c>
      <c r="B63" s="23" t="s">
        <v>946</v>
      </c>
      <c r="C63" s="23" t="s">
        <v>161</v>
      </c>
      <c r="D63" s="28" t="s">
        <v>960</v>
      </c>
      <c r="E63" s="24"/>
      <c r="F63" s="24">
        <v>106.25</v>
      </c>
      <c r="G63" s="25" t="s">
        <v>147</v>
      </c>
    </row>
    <row r="64" spans="1:7" hidden="1" x14ac:dyDescent="0.25">
      <c r="A64" s="23" t="s">
        <v>133</v>
      </c>
      <c r="B64" s="23" t="s">
        <v>946</v>
      </c>
      <c r="C64" s="23" t="s">
        <v>164</v>
      </c>
      <c r="D64" s="28" t="s">
        <v>981</v>
      </c>
      <c r="E64" s="24"/>
      <c r="F64" s="24">
        <v>72</v>
      </c>
      <c r="G64" s="25" t="s">
        <v>147</v>
      </c>
    </row>
    <row r="65" spans="1:7" hidden="1" x14ac:dyDescent="0.25">
      <c r="A65" s="23" t="s">
        <v>133</v>
      </c>
      <c r="B65" s="23" t="s">
        <v>946</v>
      </c>
      <c r="C65" s="23" t="s">
        <v>167</v>
      </c>
      <c r="D65" s="28" t="s">
        <v>972</v>
      </c>
      <c r="E65" s="24"/>
      <c r="F65" s="24">
        <v>13</v>
      </c>
      <c r="G65" s="25" t="s">
        <v>18</v>
      </c>
    </row>
    <row r="66" spans="1:7" x14ac:dyDescent="0.25">
      <c r="A66" s="23" t="s">
        <v>133</v>
      </c>
      <c r="B66" s="23" t="s">
        <v>946</v>
      </c>
      <c r="C66" s="23" t="s">
        <v>168</v>
      </c>
      <c r="D66" s="28" t="s">
        <v>982</v>
      </c>
      <c r="E66" s="24"/>
      <c r="F66" s="24">
        <v>7.5</v>
      </c>
      <c r="G66" s="25" t="s">
        <v>18</v>
      </c>
    </row>
    <row r="67" spans="1:7" x14ac:dyDescent="0.25">
      <c r="A67" s="23" t="s">
        <v>133</v>
      </c>
      <c r="B67" s="23" t="s">
        <v>946</v>
      </c>
      <c r="C67" s="23" t="s">
        <v>170</v>
      </c>
      <c r="D67" s="28" t="s">
        <v>974</v>
      </c>
      <c r="E67" s="24"/>
      <c r="F67" s="24">
        <v>6.5</v>
      </c>
      <c r="G67" s="25" t="s">
        <v>147</v>
      </c>
    </row>
    <row r="68" spans="1:7" hidden="1" x14ac:dyDescent="0.25">
      <c r="A68" s="23" t="s">
        <v>133</v>
      </c>
      <c r="B68" s="23" t="s">
        <v>946</v>
      </c>
      <c r="C68" s="23" t="s">
        <v>173</v>
      </c>
      <c r="D68" s="28" t="s">
        <v>972</v>
      </c>
      <c r="E68" s="24"/>
      <c r="F68" s="24">
        <v>165</v>
      </c>
      <c r="G68" s="25" t="s">
        <v>147</v>
      </c>
    </row>
    <row r="69" spans="1:7" hidden="1" x14ac:dyDescent="0.25">
      <c r="A69" s="23" t="s">
        <v>133</v>
      </c>
      <c r="B69" s="23" t="s">
        <v>946</v>
      </c>
      <c r="C69" s="23" t="s">
        <v>177</v>
      </c>
      <c r="D69" s="28" t="s">
        <v>982</v>
      </c>
      <c r="E69" s="24"/>
      <c r="F69" s="24">
        <v>18</v>
      </c>
      <c r="G69" s="25" t="s">
        <v>18</v>
      </c>
    </row>
    <row r="70" spans="1:7" x14ac:dyDescent="0.25">
      <c r="A70" s="23" t="s">
        <v>538</v>
      </c>
      <c r="B70" s="23" t="s">
        <v>181</v>
      </c>
      <c r="C70" s="23" t="s">
        <v>182</v>
      </c>
      <c r="D70" s="28" t="s">
        <v>961</v>
      </c>
      <c r="E70" s="24"/>
      <c r="F70" s="24">
        <v>16.5</v>
      </c>
      <c r="G70" s="25" t="s">
        <v>18</v>
      </c>
    </row>
    <row r="71" spans="1:7" hidden="1" x14ac:dyDescent="0.25">
      <c r="A71" s="23" t="s">
        <v>898</v>
      </c>
      <c r="B71" s="23" t="s">
        <v>181</v>
      </c>
      <c r="C71" s="23" t="s">
        <v>182</v>
      </c>
      <c r="D71" s="28" t="s">
        <v>961</v>
      </c>
      <c r="E71" s="24"/>
      <c r="F71" s="24">
        <v>6</v>
      </c>
      <c r="G71" s="25" t="s">
        <v>18</v>
      </c>
    </row>
    <row r="72" spans="1:7" hidden="1" x14ac:dyDescent="0.25">
      <c r="A72" s="23" t="s">
        <v>392</v>
      </c>
      <c r="B72" s="23" t="s">
        <v>947</v>
      </c>
      <c r="C72" s="23" t="s">
        <v>185</v>
      </c>
      <c r="D72" s="28" t="s">
        <v>965</v>
      </c>
      <c r="E72" s="24"/>
      <c r="F72" s="24">
        <v>165</v>
      </c>
      <c r="G72" s="25" t="s">
        <v>394</v>
      </c>
    </row>
    <row r="73" spans="1:7" hidden="1" x14ac:dyDescent="0.25">
      <c r="A73" s="23" t="s">
        <v>803</v>
      </c>
      <c r="B73" s="23" t="s">
        <v>947</v>
      </c>
      <c r="C73" s="23" t="s">
        <v>188</v>
      </c>
      <c r="D73" s="28" t="s">
        <v>978</v>
      </c>
      <c r="E73" s="24"/>
      <c r="F73" s="24">
        <v>2420</v>
      </c>
      <c r="G73" s="25" t="s">
        <v>398</v>
      </c>
    </row>
    <row r="74" spans="1:7" hidden="1" x14ac:dyDescent="0.25">
      <c r="A74" s="23" t="s">
        <v>803</v>
      </c>
      <c r="B74" s="23" t="s">
        <v>947</v>
      </c>
      <c r="C74" s="23" t="s">
        <v>191</v>
      </c>
      <c r="D74" s="28" t="s">
        <v>978</v>
      </c>
      <c r="E74" s="24"/>
      <c r="F74" s="24">
        <v>2750</v>
      </c>
      <c r="G74" s="25" t="s">
        <v>398</v>
      </c>
    </row>
    <row r="75" spans="1:7" hidden="1" x14ac:dyDescent="0.25">
      <c r="A75" s="23" t="s">
        <v>194</v>
      </c>
      <c r="B75" s="23" t="s">
        <v>195</v>
      </c>
      <c r="C75" s="23" t="s">
        <v>196</v>
      </c>
      <c r="D75" s="28" t="s">
        <v>959</v>
      </c>
      <c r="E75" s="24"/>
      <c r="F75" s="24">
        <v>350</v>
      </c>
      <c r="G75" s="25" t="s">
        <v>556</v>
      </c>
    </row>
    <row r="76" spans="1:7" hidden="1" x14ac:dyDescent="0.25">
      <c r="A76" s="23" t="s">
        <v>870</v>
      </c>
      <c r="B76" s="23" t="s">
        <v>200</v>
      </c>
      <c r="C76" s="23" t="s">
        <v>201</v>
      </c>
      <c r="D76" s="28" t="s">
        <v>972</v>
      </c>
      <c r="E76" s="24"/>
      <c r="F76" s="24">
        <v>400</v>
      </c>
      <c r="G76" s="25" t="s">
        <v>388</v>
      </c>
    </row>
    <row r="77" spans="1:7" hidden="1" x14ac:dyDescent="0.25">
      <c r="A77" s="23" t="s">
        <v>199</v>
      </c>
      <c r="B77" s="23" t="s">
        <v>200</v>
      </c>
      <c r="C77" s="23" t="s">
        <v>204</v>
      </c>
      <c r="D77" s="28" t="s">
        <v>965</v>
      </c>
      <c r="E77" s="24"/>
      <c r="F77" s="24">
        <v>38</v>
      </c>
      <c r="G77" s="25" t="s">
        <v>147</v>
      </c>
    </row>
    <row r="78" spans="1:7" x14ac:dyDescent="0.25">
      <c r="A78" s="23" t="s">
        <v>199</v>
      </c>
      <c r="B78" s="23" t="s">
        <v>200</v>
      </c>
      <c r="C78" s="23" t="s">
        <v>208</v>
      </c>
      <c r="D78" s="28" t="s">
        <v>965</v>
      </c>
      <c r="E78" s="24"/>
      <c r="F78" s="24">
        <v>6.5</v>
      </c>
      <c r="G78" s="25" t="s">
        <v>209</v>
      </c>
    </row>
    <row r="79" spans="1:7" x14ac:dyDescent="0.25">
      <c r="A79" s="23" t="s">
        <v>199</v>
      </c>
      <c r="B79" s="23" t="s">
        <v>200</v>
      </c>
      <c r="C79" s="23" t="s">
        <v>210</v>
      </c>
      <c r="D79" s="28" t="s">
        <v>983</v>
      </c>
      <c r="E79" s="24"/>
      <c r="F79" s="24">
        <v>11.5</v>
      </c>
      <c r="G79" s="25" t="s">
        <v>18</v>
      </c>
    </row>
    <row r="80" spans="1:7" x14ac:dyDescent="0.25">
      <c r="A80" s="23" t="s">
        <v>199</v>
      </c>
      <c r="B80" s="23" t="s">
        <v>200</v>
      </c>
      <c r="C80" s="23" t="s">
        <v>211</v>
      </c>
      <c r="D80" s="28" t="s">
        <v>961</v>
      </c>
      <c r="E80" s="24"/>
      <c r="F80" s="24">
        <v>1.4</v>
      </c>
      <c r="G80" s="25" t="s">
        <v>18</v>
      </c>
    </row>
    <row r="81" spans="1:7" x14ac:dyDescent="0.25">
      <c r="A81" s="23" t="s">
        <v>199</v>
      </c>
      <c r="B81" s="23" t="s">
        <v>200</v>
      </c>
      <c r="C81" s="23" t="s">
        <v>212</v>
      </c>
      <c r="D81" s="28" t="s">
        <v>961</v>
      </c>
      <c r="E81" s="24"/>
      <c r="F81" s="24">
        <v>1.55</v>
      </c>
      <c r="G81" s="25" t="s">
        <v>18</v>
      </c>
    </row>
    <row r="82" spans="1:7" hidden="1" x14ac:dyDescent="0.25">
      <c r="A82" s="23" t="s">
        <v>199</v>
      </c>
      <c r="B82" s="23" t="s">
        <v>200</v>
      </c>
      <c r="C82" s="23" t="s">
        <v>214</v>
      </c>
      <c r="D82" s="28" t="s">
        <v>959</v>
      </c>
      <c r="E82" s="24"/>
      <c r="F82" s="24">
        <v>68</v>
      </c>
      <c r="G82" s="25" t="s">
        <v>18</v>
      </c>
    </row>
    <row r="83" spans="1:7" hidden="1" x14ac:dyDescent="0.25">
      <c r="A83" s="23" t="s">
        <v>915</v>
      </c>
      <c r="B83" s="23" t="s">
        <v>218</v>
      </c>
      <c r="C83" s="23" t="s">
        <v>219</v>
      </c>
      <c r="D83" s="28" t="s">
        <v>957</v>
      </c>
      <c r="E83" s="24"/>
      <c r="F83" s="24">
        <v>128</v>
      </c>
      <c r="G83" s="25" t="s">
        <v>209</v>
      </c>
    </row>
    <row r="84" spans="1:7" hidden="1" x14ac:dyDescent="0.25">
      <c r="A84" s="23" t="s">
        <v>520</v>
      </c>
      <c r="B84" s="23" t="s">
        <v>218</v>
      </c>
      <c r="C84" s="23" t="s">
        <v>948</v>
      </c>
      <c r="D84" s="28" t="s">
        <v>963</v>
      </c>
      <c r="E84" s="24"/>
      <c r="F84" s="24">
        <v>126</v>
      </c>
      <c r="G84" s="25" t="s">
        <v>18</v>
      </c>
    </row>
    <row r="85" spans="1:7" hidden="1" x14ac:dyDescent="0.25">
      <c r="A85" s="23" t="s">
        <v>845</v>
      </c>
      <c r="B85" s="23" t="s">
        <v>218</v>
      </c>
      <c r="C85" s="23" t="s">
        <v>948</v>
      </c>
      <c r="D85" s="28" t="s">
        <v>984</v>
      </c>
      <c r="E85" s="24"/>
      <c r="F85" s="24">
        <v>128</v>
      </c>
      <c r="G85" s="25" t="s">
        <v>18</v>
      </c>
    </row>
    <row r="86" spans="1:7" hidden="1" x14ac:dyDescent="0.25">
      <c r="A86" s="23" t="s">
        <v>876</v>
      </c>
      <c r="B86" s="23" t="s">
        <v>218</v>
      </c>
      <c r="C86" s="23" t="s">
        <v>948</v>
      </c>
      <c r="D86" s="28" t="s">
        <v>985</v>
      </c>
      <c r="E86" s="24"/>
      <c r="F86" s="24">
        <v>126</v>
      </c>
      <c r="G86" s="25" t="s">
        <v>18</v>
      </c>
    </row>
    <row r="87" spans="1:7" hidden="1" x14ac:dyDescent="0.25">
      <c r="A87" s="23" t="s">
        <v>570</v>
      </c>
      <c r="B87" s="23" t="s">
        <v>226</v>
      </c>
      <c r="C87" s="23" t="s">
        <v>227</v>
      </c>
      <c r="D87" s="28" t="s">
        <v>964</v>
      </c>
      <c r="E87" s="24"/>
      <c r="F87" s="24">
        <v>60</v>
      </c>
      <c r="G87" s="25" t="s">
        <v>394</v>
      </c>
    </row>
    <row r="88" spans="1:7" hidden="1" x14ac:dyDescent="0.25">
      <c r="A88" s="23" t="s">
        <v>225</v>
      </c>
      <c r="B88" s="23" t="s">
        <v>226</v>
      </c>
      <c r="C88" s="23" t="s">
        <v>227</v>
      </c>
      <c r="D88" s="28" t="s">
        <v>965</v>
      </c>
      <c r="E88" s="24"/>
      <c r="F88" s="24">
        <v>60</v>
      </c>
      <c r="G88" s="25" t="s">
        <v>394</v>
      </c>
    </row>
    <row r="89" spans="1:7" x14ac:dyDescent="0.25">
      <c r="A89" s="23" t="s">
        <v>230</v>
      </c>
      <c r="B89" s="23" t="s">
        <v>231</v>
      </c>
      <c r="C89" s="23" t="s">
        <v>232</v>
      </c>
      <c r="D89" s="28" t="s">
        <v>986</v>
      </c>
      <c r="E89" s="24"/>
      <c r="F89" s="24">
        <v>5.25</v>
      </c>
      <c r="G89" s="25" t="s">
        <v>18</v>
      </c>
    </row>
    <row r="90" spans="1:7" x14ac:dyDescent="0.25">
      <c r="A90" s="23" t="s">
        <v>538</v>
      </c>
      <c r="B90" s="23" t="s">
        <v>181</v>
      </c>
      <c r="C90" s="23" t="s">
        <v>949</v>
      </c>
      <c r="D90" s="28" t="s">
        <v>987</v>
      </c>
      <c r="E90" s="24"/>
      <c r="F90" s="24">
        <v>2.75</v>
      </c>
      <c r="G90" s="25" t="s">
        <v>18</v>
      </c>
    </row>
    <row r="91" spans="1:7" x14ac:dyDescent="0.25">
      <c r="A91" s="23" t="s">
        <v>230</v>
      </c>
      <c r="B91" s="23" t="s">
        <v>231</v>
      </c>
      <c r="C91" s="23" t="s">
        <v>949</v>
      </c>
      <c r="D91" s="28" t="s">
        <v>971</v>
      </c>
      <c r="E91" s="24"/>
      <c r="F91" s="24">
        <v>2.75</v>
      </c>
      <c r="G91" s="25" t="s">
        <v>18</v>
      </c>
    </row>
    <row r="92" spans="1:7" hidden="1" x14ac:dyDescent="0.25">
      <c r="A92" s="23" t="s">
        <v>230</v>
      </c>
      <c r="B92" s="23" t="s">
        <v>231</v>
      </c>
      <c r="C92" s="23" t="s">
        <v>236</v>
      </c>
      <c r="D92" s="28" t="s">
        <v>964</v>
      </c>
      <c r="E92" s="24"/>
      <c r="F92" s="24">
        <v>6</v>
      </c>
      <c r="G92" s="25" t="s">
        <v>18</v>
      </c>
    </row>
    <row r="93" spans="1:7" hidden="1" x14ac:dyDescent="0.25">
      <c r="A93" s="23" t="s">
        <v>230</v>
      </c>
      <c r="B93" s="23" t="s">
        <v>231</v>
      </c>
      <c r="C93" s="23" t="s">
        <v>237</v>
      </c>
      <c r="D93" s="28" t="s">
        <v>965</v>
      </c>
      <c r="E93" s="24"/>
      <c r="F93" s="24">
        <v>2</v>
      </c>
      <c r="G93" s="25" t="s">
        <v>18</v>
      </c>
    </row>
    <row r="94" spans="1:7" hidden="1" x14ac:dyDescent="0.25">
      <c r="A94" s="23" t="s">
        <v>600</v>
      </c>
      <c r="B94" s="23" t="s">
        <v>950</v>
      </c>
      <c r="C94" s="23" t="s">
        <v>241</v>
      </c>
      <c r="D94" s="28" t="s">
        <v>965</v>
      </c>
      <c r="E94" s="24"/>
      <c r="F94" s="24">
        <v>47</v>
      </c>
      <c r="G94" s="25" t="s">
        <v>394</v>
      </c>
    </row>
    <row r="95" spans="1:7" hidden="1" x14ac:dyDescent="0.25">
      <c r="A95" s="23" t="s">
        <v>752</v>
      </c>
      <c r="B95" s="23" t="s">
        <v>950</v>
      </c>
      <c r="C95" s="23" t="s">
        <v>241</v>
      </c>
      <c r="D95" s="28" t="s">
        <v>965</v>
      </c>
      <c r="E95" s="24"/>
      <c r="F95" s="24">
        <v>47</v>
      </c>
      <c r="G95" s="25" t="s">
        <v>394</v>
      </c>
    </row>
    <row r="96" spans="1:7" hidden="1" x14ac:dyDescent="0.25">
      <c r="A96" s="23" t="s">
        <v>756</v>
      </c>
      <c r="B96" s="23" t="s">
        <v>950</v>
      </c>
      <c r="C96" s="23" t="s">
        <v>241</v>
      </c>
      <c r="D96" s="28" t="s">
        <v>965</v>
      </c>
      <c r="E96" s="24"/>
      <c r="F96" s="24">
        <v>47</v>
      </c>
      <c r="G96" s="25" t="s">
        <v>394</v>
      </c>
    </row>
    <row r="97" spans="1:7" hidden="1" x14ac:dyDescent="0.25">
      <c r="A97" s="23" t="s">
        <v>800</v>
      </c>
      <c r="B97" s="23" t="s">
        <v>950</v>
      </c>
      <c r="C97" s="23" t="s">
        <v>241</v>
      </c>
      <c r="D97" s="28" t="s">
        <v>971</v>
      </c>
      <c r="E97" s="24"/>
      <c r="F97" s="24">
        <v>47</v>
      </c>
      <c r="G97" s="25" t="s">
        <v>394</v>
      </c>
    </row>
    <row r="98" spans="1:7" hidden="1" x14ac:dyDescent="0.25">
      <c r="A98" s="23" t="s">
        <v>804</v>
      </c>
      <c r="B98" s="23" t="s">
        <v>950</v>
      </c>
      <c r="C98" s="23" t="s">
        <v>241</v>
      </c>
      <c r="D98" s="28" t="s">
        <v>971</v>
      </c>
      <c r="E98" s="24"/>
      <c r="F98" s="24">
        <v>49</v>
      </c>
      <c r="G98" s="25" t="s">
        <v>394</v>
      </c>
    </row>
    <row r="99" spans="1:7" hidden="1" x14ac:dyDescent="0.25">
      <c r="A99" s="23" t="s">
        <v>838</v>
      </c>
      <c r="B99" s="23" t="s">
        <v>950</v>
      </c>
      <c r="C99" s="23" t="s">
        <v>241</v>
      </c>
      <c r="D99" s="28" t="s">
        <v>988</v>
      </c>
      <c r="E99" s="24"/>
      <c r="F99" s="24">
        <v>47</v>
      </c>
      <c r="G99" s="25" t="s">
        <v>394</v>
      </c>
    </row>
    <row r="100" spans="1:7" hidden="1" x14ac:dyDescent="0.25">
      <c r="A100" s="23" t="s">
        <v>840</v>
      </c>
      <c r="B100" s="23" t="s">
        <v>950</v>
      </c>
      <c r="C100" s="23" t="s">
        <v>241</v>
      </c>
      <c r="D100" s="28" t="s">
        <v>989</v>
      </c>
      <c r="E100" s="24"/>
      <c r="F100" s="24">
        <v>47</v>
      </c>
      <c r="G100" s="25" t="s">
        <v>394</v>
      </c>
    </row>
    <row r="101" spans="1:7" hidden="1" x14ac:dyDescent="0.25">
      <c r="A101" s="23" t="s">
        <v>752</v>
      </c>
      <c r="B101" s="23" t="s">
        <v>950</v>
      </c>
      <c r="C101" s="23" t="s">
        <v>245</v>
      </c>
      <c r="D101" s="28" t="s">
        <v>990</v>
      </c>
      <c r="E101" s="24"/>
      <c r="F101" s="24">
        <v>2025</v>
      </c>
      <c r="G101" s="25" t="s">
        <v>398</v>
      </c>
    </row>
    <row r="102" spans="1:7" hidden="1" x14ac:dyDescent="0.25">
      <c r="A102" s="23" t="s">
        <v>754</v>
      </c>
      <c r="B102" s="23" t="s">
        <v>950</v>
      </c>
      <c r="C102" s="23" t="s">
        <v>245</v>
      </c>
      <c r="D102" s="25">
        <v>25</v>
      </c>
      <c r="E102" s="24"/>
      <c r="F102" s="24">
        <v>2700</v>
      </c>
      <c r="G102" s="25" t="s">
        <v>398</v>
      </c>
    </row>
    <row r="103" spans="1:7" hidden="1" x14ac:dyDescent="0.25">
      <c r="A103" s="23" t="s">
        <v>797</v>
      </c>
      <c r="B103" s="23" t="s">
        <v>950</v>
      </c>
      <c r="C103" s="23" t="s">
        <v>245</v>
      </c>
      <c r="D103" s="25">
        <v>14</v>
      </c>
      <c r="E103" s="24"/>
      <c r="F103" s="24">
        <v>2050</v>
      </c>
      <c r="G103" s="25" t="s">
        <v>398</v>
      </c>
    </row>
    <row r="104" spans="1:7" hidden="1" x14ac:dyDescent="0.25">
      <c r="A104" s="23" t="s">
        <v>838</v>
      </c>
      <c r="B104" s="23" t="s">
        <v>950</v>
      </c>
      <c r="C104" s="23" t="s">
        <v>245</v>
      </c>
      <c r="D104" s="25">
        <v>14</v>
      </c>
      <c r="E104" s="24"/>
      <c r="F104" s="24">
        <v>2950</v>
      </c>
      <c r="G104" s="25" t="s">
        <v>398</v>
      </c>
    </row>
    <row r="105" spans="1:7" hidden="1" x14ac:dyDescent="0.25">
      <c r="A105" s="23" t="s">
        <v>887</v>
      </c>
      <c r="B105" s="23" t="s">
        <v>950</v>
      </c>
      <c r="C105" s="23" t="s">
        <v>245</v>
      </c>
      <c r="D105" s="25">
        <v>19</v>
      </c>
      <c r="E105" s="24"/>
      <c r="F105" s="24">
        <v>2225</v>
      </c>
      <c r="G105" s="25" t="s">
        <v>398</v>
      </c>
    </row>
    <row r="106" spans="1:7" hidden="1" x14ac:dyDescent="0.25">
      <c r="A106" s="23" t="s">
        <v>888</v>
      </c>
      <c r="B106" s="23" t="s">
        <v>950</v>
      </c>
      <c r="C106" s="23" t="s">
        <v>245</v>
      </c>
      <c r="D106" s="25">
        <v>40</v>
      </c>
      <c r="E106" s="24"/>
      <c r="F106" s="24">
        <v>3125</v>
      </c>
      <c r="G106" s="25" t="s">
        <v>398</v>
      </c>
    </row>
    <row r="107" spans="1:7" hidden="1" x14ac:dyDescent="0.25">
      <c r="A107" s="23" t="s">
        <v>905</v>
      </c>
      <c r="B107" s="23" t="s">
        <v>950</v>
      </c>
      <c r="C107" s="23" t="s">
        <v>245</v>
      </c>
      <c r="D107" s="25">
        <v>1</v>
      </c>
      <c r="E107" s="24"/>
      <c r="F107" s="24">
        <v>2600</v>
      </c>
      <c r="G107" s="25" t="s">
        <v>398</v>
      </c>
    </row>
    <row r="108" spans="1:7" hidden="1" x14ac:dyDescent="0.25">
      <c r="A108" s="23" t="s">
        <v>910</v>
      </c>
      <c r="B108" s="23" t="s">
        <v>950</v>
      </c>
      <c r="C108" s="23" t="s">
        <v>245</v>
      </c>
      <c r="D108" s="25">
        <v>13</v>
      </c>
      <c r="E108" s="24"/>
      <c r="F108" s="24">
        <v>3125</v>
      </c>
      <c r="G108" s="25" t="s">
        <v>398</v>
      </c>
    </row>
    <row r="109" spans="1:7" hidden="1" x14ac:dyDescent="0.25">
      <c r="A109" s="23" t="s">
        <v>752</v>
      </c>
      <c r="B109" s="23" t="s">
        <v>950</v>
      </c>
      <c r="C109" s="23" t="s">
        <v>951</v>
      </c>
      <c r="D109" s="25">
        <v>6</v>
      </c>
      <c r="E109" s="24"/>
      <c r="F109" s="24">
        <v>1782</v>
      </c>
      <c r="G109" s="25" t="s">
        <v>398</v>
      </c>
    </row>
    <row r="110" spans="1:7" hidden="1" x14ac:dyDescent="0.25">
      <c r="A110" s="23" t="s">
        <v>754</v>
      </c>
      <c r="B110" s="23" t="s">
        <v>950</v>
      </c>
      <c r="C110" s="23" t="s">
        <v>951</v>
      </c>
      <c r="D110" s="25">
        <v>25</v>
      </c>
      <c r="E110" s="24"/>
      <c r="F110" s="24">
        <v>2376</v>
      </c>
      <c r="G110" s="25" t="s">
        <v>398</v>
      </c>
    </row>
    <row r="111" spans="1:7" hidden="1" x14ac:dyDescent="0.25">
      <c r="A111" s="23" t="s">
        <v>797</v>
      </c>
      <c r="B111" s="23" t="s">
        <v>950</v>
      </c>
      <c r="C111" s="23" t="s">
        <v>951</v>
      </c>
      <c r="D111" s="25">
        <v>14</v>
      </c>
      <c r="E111" s="24"/>
      <c r="F111" s="24">
        <v>1804</v>
      </c>
      <c r="G111" s="25" t="s">
        <v>398</v>
      </c>
    </row>
    <row r="112" spans="1:7" hidden="1" x14ac:dyDescent="0.25">
      <c r="A112" s="23" t="s">
        <v>838</v>
      </c>
      <c r="B112" s="23" t="s">
        <v>950</v>
      </c>
      <c r="C112" s="23" t="s">
        <v>951</v>
      </c>
      <c r="D112" s="25">
        <v>14</v>
      </c>
      <c r="E112" s="24"/>
      <c r="F112" s="24">
        <v>2596</v>
      </c>
      <c r="G112" s="25" t="s">
        <v>398</v>
      </c>
    </row>
    <row r="113" spans="1:7" hidden="1" x14ac:dyDescent="0.25">
      <c r="A113" s="23" t="s">
        <v>838</v>
      </c>
      <c r="B113" s="23" t="s">
        <v>950</v>
      </c>
      <c r="C113" s="23" t="s">
        <v>951</v>
      </c>
      <c r="D113" s="25">
        <v>5</v>
      </c>
      <c r="E113" s="24"/>
      <c r="F113" s="24">
        <v>2596</v>
      </c>
      <c r="G113" s="25" t="s">
        <v>398</v>
      </c>
    </row>
    <row r="114" spans="1:7" hidden="1" x14ac:dyDescent="0.25">
      <c r="A114" s="23" t="s">
        <v>887</v>
      </c>
      <c r="B114" s="23" t="s">
        <v>950</v>
      </c>
      <c r="C114" s="23" t="s">
        <v>951</v>
      </c>
      <c r="D114" s="25">
        <v>19</v>
      </c>
      <c r="E114" s="24"/>
      <c r="F114" s="24">
        <v>1958</v>
      </c>
      <c r="G114" s="25" t="s">
        <v>398</v>
      </c>
    </row>
    <row r="115" spans="1:7" hidden="1" x14ac:dyDescent="0.25">
      <c r="A115" s="23" t="s">
        <v>888</v>
      </c>
      <c r="B115" s="23" t="s">
        <v>950</v>
      </c>
      <c r="C115" s="23" t="s">
        <v>951</v>
      </c>
      <c r="D115" s="25">
        <v>40</v>
      </c>
      <c r="E115" s="24"/>
      <c r="F115" s="24">
        <v>2750</v>
      </c>
      <c r="G115" s="25" t="s">
        <v>398</v>
      </c>
    </row>
    <row r="116" spans="1:7" hidden="1" x14ac:dyDescent="0.25">
      <c r="A116" s="23" t="s">
        <v>905</v>
      </c>
      <c r="B116" s="23" t="s">
        <v>950</v>
      </c>
      <c r="C116" s="23" t="s">
        <v>951</v>
      </c>
      <c r="D116" s="25">
        <v>1</v>
      </c>
      <c r="E116" s="24"/>
      <c r="F116" s="24">
        <v>2288</v>
      </c>
      <c r="G116" s="25" t="s">
        <v>398</v>
      </c>
    </row>
    <row r="117" spans="1:7" hidden="1" x14ac:dyDescent="0.25">
      <c r="A117" s="23" t="s">
        <v>910</v>
      </c>
      <c r="B117" s="23" t="s">
        <v>950</v>
      </c>
      <c r="C117" s="23" t="s">
        <v>951</v>
      </c>
      <c r="D117" s="25">
        <v>13</v>
      </c>
      <c r="E117" s="24"/>
      <c r="F117" s="24">
        <v>2750</v>
      </c>
      <c r="G117" s="25" t="s">
        <v>398</v>
      </c>
    </row>
    <row r="118" spans="1:7" hidden="1" x14ac:dyDescent="0.25">
      <c r="A118" s="23" t="s">
        <v>864</v>
      </c>
      <c r="B118" s="23" t="s">
        <v>950</v>
      </c>
      <c r="C118" s="23" t="s">
        <v>251</v>
      </c>
      <c r="D118" s="25">
        <v>45</v>
      </c>
      <c r="E118" s="24"/>
      <c r="F118" s="24">
        <v>46</v>
      </c>
      <c r="G118" s="25" t="s">
        <v>394</v>
      </c>
    </row>
    <row r="119" spans="1:7" hidden="1" x14ac:dyDescent="0.25">
      <c r="A119" s="23" t="s">
        <v>772</v>
      </c>
      <c r="B119" s="23" t="s">
        <v>950</v>
      </c>
      <c r="C119" s="23" t="s">
        <v>254</v>
      </c>
      <c r="D119" s="25">
        <v>150</v>
      </c>
      <c r="E119" s="24"/>
      <c r="F119" s="24">
        <v>60</v>
      </c>
      <c r="G119" s="25" t="s">
        <v>402</v>
      </c>
    </row>
    <row r="120" spans="1:7" hidden="1" x14ac:dyDescent="0.25">
      <c r="A120" s="23" t="s">
        <v>784</v>
      </c>
      <c r="B120" s="23" t="s">
        <v>950</v>
      </c>
      <c r="C120" s="23" t="s">
        <v>254</v>
      </c>
      <c r="D120" s="25">
        <v>100</v>
      </c>
      <c r="E120" s="24"/>
      <c r="F120" s="24">
        <v>32</v>
      </c>
      <c r="G120" s="25" t="s">
        <v>402</v>
      </c>
    </row>
    <row r="121" spans="1:7" hidden="1" x14ac:dyDescent="0.25">
      <c r="A121" s="23" t="s">
        <v>895</v>
      </c>
      <c r="B121" s="23" t="s">
        <v>950</v>
      </c>
      <c r="C121" s="23" t="s">
        <v>254</v>
      </c>
      <c r="D121" s="25">
        <v>30</v>
      </c>
      <c r="E121" s="24"/>
      <c r="F121" s="24">
        <v>39</v>
      </c>
      <c r="G121" s="25" t="s">
        <v>402</v>
      </c>
    </row>
    <row r="122" spans="1:7" hidden="1" x14ac:dyDescent="0.25">
      <c r="A122" s="23" t="s">
        <v>395</v>
      </c>
      <c r="B122" s="23" t="s">
        <v>950</v>
      </c>
      <c r="C122" s="23" t="s">
        <v>257</v>
      </c>
      <c r="D122" s="25">
        <v>100</v>
      </c>
      <c r="E122" s="24"/>
      <c r="F122" s="24">
        <v>47</v>
      </c>
      <c r="G122" s="25" t="s">
        <v>394</v>
      </c>
    </row>
    <row r="123" spans="1:7" hidden="1" x14ac:dyDescent="0.25">
      <c r="A123" s="23" t="s">
        <v>601</v>
      </c>
      <c r="B123" s="23" t="s">
        <v>950</v>
      </c>
      <c r="C123" s="23" t="s">
        <v>257</v>
      </c>
      <c r="D123" s="25">
        <v>300</v>
      </c>
      <c r="E123" s="24"/>
      <c r="F123" s="24">
        <v>47</v>
      </c>
      <c r="G123" s="25" t="s">
        <v>18</v>
      </c>
    </row>
    <row r="124" spans="1:7" hidden="1" x14ac:dyDescent="0.25">
      <c r="A124" s="23" t="s">
        <v>800</v>
      </c>
      <c r="B124" s="23" t="s">
        <v>950</v>
      </c>
      <c r="C124" s="23" t="s">
        <v>257</v>
      </c>
      <c r="D124" s="25">
        <v>50</v>
      </c>
      <c r="E124" s="24"/>
      <c r="F124" s="24">
        <v>47</v>
      </c>
      <c r="G124" s="25" t="s">
        <v>394</v>
      </c>
    </row>
    <row r="125" spans="1:7" hidden="1" x14ac:dyDescent="0.25">
      <c r="A125" s="23" t="s">
        <v>838</v>
      </c>
      <c r="B125" s="23" t="s">
        <v>950</v>
      </c>
      <c r="C125" s="23" t="s">
        <v>259</v>
      </c>
      <c r="D125" s="25">
        <v>2</v>
      </c>
      <c r="E125" s="24"/>
      <c r="F125" s="24">
        <v>97</v>
      </c>
      <c r="G125" s="25" t="s">
        <v>491</v>
      </c>
    </row>
    <row r="126" spans="1:7" hidden="1" x14ac:dyDescent="0.25">
      <c r="A126" s="23" t="s">
        <v>517</v>
      </c>
      <c r="B126" s="23" t="s">
        <v>950</v>
      </c>
      <c r="C126" s="23" t="s">
        <v>262</v>
      </c>
      <c r="D126" s="25">
        <v>100</v>
      </c>
      <c r="E126" s="24"/>
      <c r="F126" s="24">
        <v>216</v>
      </c>
      <c r="G126" s="25" t="s">
        <v>394</v>
      </c>
    </row>
    <row r="127" spans="1:7" hidden="1" x14ac:dyDescent="0.25">
      <c r="A127" s="23" t="s">
        <v>518</v>
      </c>
      <c r="B127" s="23" t="s">
        <v>950</v>
      </c>
      <c r="C127" s="23" t="s">
        <v>262</v>
      </c>
      <c r="D127" s="25">
        <v>100</v>
      </c>
      <c r="E127" s="24"/>
      <c r="F127" s="24">
        <v>216</v>
      </c>
      <c r="G127" s="25" t="s">
        <v>394</v>
      </c>
    </row>
    <row r="128" spans="1:7" hidden="1" x14ac:dyDescent="0.25">
      <c r="A128" s="23" t="s">
        <v>519</v>
      </c>
      <c r="B128" s="23" t="s">
        <v>950</v>
      </c>
      <c r="C128" s="23" t="s">
        <v>262</v>
      </c>
      <c r="D128" s="25">
        <v>70</v>
      </c>
      <c r="E128" s="24"/>
      <c r="F128" s="24">
        <v>216</v>
      </c>
      <c r="G128" s="25" t="s">
        <v>394</v>
      </c>
    </row>
    <row r="129" spans="1:7" hidden="1" x14ac:dyDescent="0.25">
      <c r="A129" s="23" t="s">
        <v>577</v>
      </c>
      <c r="B129" s="23" t="s">
        <v>950</v>
      </c>
      <c r="C129" s="23" t="s">
        <v>262</v>
      </c>
      <c r="D129" s="25">
        <v>50</v>
      </c>
      <c r="E129" s="24"/>
      <c r="F129" s="24">
        <v>170</v>
      </c>
      <c r="G129" s="25" t="s">
        <v>394</v>
      </c>
    </row>
    <row r="130" spans="1:7" hidden="1" x14ac:dyDescent="0.25">
      <c r="A130" s="23" t="s">
        <v>600</v>
      </c>
      <c r="B130" s="23" t="s">
        <v>950</v>
      </c>
      <c r="C130" s="23" t="s">
        <v>262</v>
      </c>
      <c r="D130" s="25">
        <v>50</v>
      </c>
      <c r="E130" s="24"/>
      <c r="F130" s="24">
        <v>170</v>
      </c>
      <c r="G130" s="25" t="s">
        <v>394</v>
      </c>
    </row>
    <row r="131" spans="1:7" hidden="1" x14ac:dyDescent="0.25">
      <c r="A131" s="23" t="s">
        <v>756</v>
      </c>
      <c r="B131" s="23" t="s">
        <v>950</v>
      </c>
      <c r="C131" s="23" t="s">
        <v>262</v>
      </c>
      <c r="D131" s="25">
        <v>60</v>
      </c>
      <c r="E131" s="24"/>
      <c r="F131" s="24">
        <v>170</v>
      </c>
      <c r="G131" s="25" t="s">
        <v>394</v>
      </c>
    </row>
    <row r="132" spans="1:7" hidden="1" x14ac:dyDescent="0.25">
      <c r="A132" s="23" t="s">
        <v>897</v>
      </c>
      <c r="B132" s="23" t="s">
        <v>950</v>
      </c>
      <c r="C132" s="23" t="s">
        <v>262</v>
      </c>
      <c r="D132" s="25">
        <v>10</v>
      </c>
      <c r="E132" s="24"/>
      <c r="F132" s="24">
        <v>215</v>
      </c>
      <c r="G132" s="25" t="s">
        <v>394</v>
      </c>
    </row>
    <row r="133" spans="1:7" hidden="1" x14ac:dyDescent="0.25">
      <c r="A133" s="23" t="s">
        <v>772</v>
      </c>
      <c r="B133" s="23" t="s">
        <v>950</v>
      </c>
      <c r="C133" s="23" t="s">
        <v>254</v>
      </c>
      <c r="D133" s="25">
        <v>150</v>
      </c>
      <c r="E133" s="24"/>
      <c r="F133" s="24">
        <v>60</v>
      </c>
      <c r="G133" s="25" t="s">
        <v>402</v>
      </c>
    </row>
    <row r="134" spans="1:7" hidden="1" x14ac:dyDescent="0.25">
      <c r="A134" s="23" t="s">
        <v>784</v>
      </c>
      <c r="B134" s="23" t="s">
        <v>950</v>
      </c>
      <c r="C134" s="23" t="s">
        <v>254</v>
      </c>
      <c r="D134" s="25">
        <v>100</v>
      </c>
      <c r="E134" s="24"/>
      <c r="F134" s="24">
        <v>32</v>
      </c>
      <c r="G134" s="25" t="s">
        <v>402</v>
      </c>
    </row>
    <row r="135" spans="1:7" hidden="1" x14ac:dyDescent="0.25">
      <c r="A135" s="23" t="s">
        <v>895</v>
      </c>
      <c r="B135" s="23" t="s">
        <v>950</v>
      </c>
      <c r="C135" s="23" t="s">
        <v>254</v>
      </c>
      <c r="D135" s="25">
        <v>30</v>
      </c>
      <c r="E135" s="24"/>
      <c r="F135" s="24">
        <v>39</v>
      </c>
      <c r="G135" s="25" t="s">
        <v>402</v>
      </c>
    </row>
    <row r="136" spans="1:7" hidden="1" x14ac:dyDescent="0.25">
      <c r="A136" s="23" t="s">
        <v>459</v>
      </c>
      <c r="B136" s="23" t="s">
        <v>950</v>
      </c>
      <c r="C136" s="23" t="s">
        <v>265</v>
      </c>
      <c r="D136" s="25">
        <v>50</v>
      </c>
      <c r="E136" s="24"/>
      <c r="F136" s="24">
        <v>110</v>
      </c>
      <c r="G136" s="25" t="s">
        <v>394</v>
      </c>
    </row>
    <row r="137" spans="1:7" hidden="1" x14ac:dyDescent="0.25">
      <c r="A137" s="23" t="s">
        <v>882</v>
      </c>
      <c r="B137" s="23" t="s">
        <v>950</v>
      </c>
      <c r="C137" s="23" t="s">
        <v>267</v>
      </c>
      <c r="D137" s="25">
        <v>2</v>
      </c>
      <c r="E137" s="24"/>
      <c r="F137" s="24">
        <v>128</v>
      </c>
      <c r="G137" s="25" t="s">
        <v>491</v>
      </c>
    </row>
    <row r="138" spans="1:7" hidden="1" x14ac:dyDescent="0.25">
      <c r="A138" s="23" t="s">
        <v>910</v>
      </c>
      <c r="B138" s="23" t="s">
        <v>950</v>
      </c>
      <c r="C138" s="23" t="s">
        <v>952</v>
      </c>
      <c r="D138" s="25">
        <v>46</v>
      </c>
      <c r="E138" s="24"/>
      <c r="F138" s="24">
        <v>414</v>
      </c>
      <c r="G138" s="25" t="s">
        <v>388</v>
      </c>
    </row>
    <row r="139" spans="1:7" hidden="1" x14ac:dyDescent="0.25">
      <c r="A139" s="23" t="s">
        <v>601</v>
      </c>
      <c r="B139" s="23" t="s">
        <v>950</v>
      </c>
      <c r="C139" s="23" t="s">
        <v>273</v>
      </c>
      <c r="D139" s="25">
        <v>50</v>
      </c>
      <c r="E139" s="24"/>
      <c r="F139" s="24">
        <v>112</v>
      </c>
      <c r="G139" s="25" t="s">
        <v>18</v>
      </c>
    </row>
    <row r="140" spans="1:7" hidden="1" x14ac:dyDescent="0.25">
      <c r="A140" s="23" t="s">
        <v>800</v>
      </c>
      <c r="B140" s="23" t="s">
        <v>950</v>
      </c>
      <c r="C140" s="23" t="s">
        <v>273</v>
      </c>
      <c r="D140" s="25">
        <v>50</v>
      </c>
      <c r="E140" s="24"/>
      <c r="F140" s="24">
        <v>112</v>
      </c>
      <c r="G140" s="25" t="s">
        <v>394</v>
      </c>
    </row>
    <row r="141" spans="1:7" hidden="1" x14ac:dyDescent="0.25">
      <c r="A141" s="23" t="s">
        <v>792</v>
      </c>
      <c r="B141" s="23" t="s">
        <v>950</v>
      </c>
      <c r="C141" s="23" t="s">
        <v>275</v>
      </c>
      <c r="D141" s="25">
        <v>322</v>
      </c>
      <c r="E141" s="24"/>
      <c r="F141" s="24">
        <v>109</v>
      </c>
      <c r="G141" s="25" t="s">
        <v>388</v>
      </c>
    </row>
    <row r="142" spans="1:7" hidden="1" x14ac:dyDescent="0.25">
      <c r="A142" s="23" t="s">
        <v>801</v>
      </c>
      <c r="B142" s="23" t="s">
        <v>950</v>
      </c>
      <c r="C142" s="23" t="s">
        <v>275</v>
      </c>
      <c r="D142" s="25">
        <v>276</v>
      </c>
      <c r="E142" s="24"/>
      <c r="F142" s="24">
        <v>110</v>
      </c>
      <c r="G142" s="25" t="s">
        <v>388</v>
      </c>
    </row>
    <row r="143" spans="1:7" hidden="1" x14ac:dyDescent="0.25">
      <c r="A143" s="23" t="s">
        <v>278</v>
      </c>
      <c r="B143" s="23" t="s">
        <v>279</v>
      </c>
      <c r="C143" s="23" t="s">
        <v>280</v>
      </c>
      <c r="D143" s="25">
        <v>1</v>
      </c>
      <c r="E143" s="24"/>
      <c r="F143" s="24">
        <v>8000</v>
      </c>
      <c r="G143" s="25" t="s">
        <v>18</v>
      </c>
    </row>
    <row r="144" spans="1:7" hidden="1" x14ac:dyDescent="0.25">
      <c r="A144" s="23" t="s">
        <v>753</v>
      </c>
      <c r="B144" s="23" t="s">
        <v>285</v>
      </c>
      <c r="C144" s="23" t="s">
        <v>286</v>
      </c>
      <c r="D144" s="25">
        <v>4488</v>
      </c>
      <c r="E144" s="24"/>
      <c r="F144" s="24">
        <v>100</v>
      </c>
      <c r="G144" s="25" t="s">
        <v>388</v>
      </c>
    </row>
    <row r="145" spans="1:7" hidden="1" x14ac:dyDescent="0.25">
      <c r="A145" s="23" t="s">
        <v>813</v>
      </c>
      <c r="B145" s="23" t="s">
        <v>285</v>
      </c>
      <c r="C145" s="23" t="s">
        <v>286</v>
      </c>
      <c r="D145" s="25">
        <v>3728</v>
      </c>
      <c r="E145" s="24"/>
      <c r="F145" s="24">
        <v>110</v>
      </c>
      <c r="G145" s="25" t="s">
        <v>388</v>
      </c>
    </row>
    <row r="146" spans="1:7" hidden="1" x14ac:dyDescent="0.25">
      <c r="A146" s="23" t="s">
        <v>907</v>
      </c>
      <c r="B146" s="23" t="s">
        <v>285</v>
      </c>
      <c r="C146" s="23" t="s">
        <v>286</v>
      </c>
      <c r="D146" s="25">
        <v>11</v>
      </c>
      <c r="E146" s="24"/>
      <c r="F146" s="24">
        <v>110</v>
      </c>
      <c r="G146" s="25" t="s">
        <v>388</v>
      </c>
    </row>
    <row r="147" spans="1:7" hidden="1" x14ac:dyDescent="0.25">
      <c r="A147" s="23" t="s">
        <v>737</v>
      </c>
      <c r="B147" s="23" t="s">
        <v>285</v>
      </c>
      <c r="C147" s="23" t="s">
        <v>289</v>
      </c>
      <c r="D147" s="25">
        <v>1777</v>
      </c>
      <c r="E147" s="24"/>
      <c r="F147" s="24">
        <v>115</v>
      </c>
      <c r="G147" s="25" t="s">
        <v>388</v>
      </c>
    </row>
    <row r="148" spans="1:7" hidden="1" x14ac:dyDescent="0.25">
      <c r="A148" s="23" t="s">
        <v>805</v>
      </c>
      <c r="B148" s="23" t="s">
        <v>285</v>
      </c>
      <c r="C148" s="23" t="s">
        <v>289</v>
      </c>
      <c r="D148" s="28" t="s">
        <v>993</v>
      </c>
      <c r="E148" s="24"/>
      <c r="F148" s="24">
        <v>125</v>
      </c>
      <c r="G148" s="25" t="s">
        <v>388</v>
      </c>
    </row>
    <row r="149" spans="1:7" hidden="1" x14ac:dyDescent="0.25">
      <c r="A149" s="23" t="s">
        <v>813</v>
      </c>
      <c r="B149" s="23" t="s">
        <v>285</v>
      </c>
      <c r="C149" s="23" t="s">
        <v>289</v>
      </c>
      <c r="D149" s="28" t="s">
        <v>994</v>
      </c>
      <c r="E149" s="24"/>
      <c r="F149" s="24">
        <v>125</v>
      </c>
      <c r="G149" s="25" t="s">
        <v>388</v>
      </c>
    </row>
    <row r="150" spans="1:7" hidden="1" x14ac:dyDescent="0.25">
      <c r="A150" s="23" t="s">
        <v>841</v>
      </c>
      <c r="B150" s="23" t="s">
        <v>285</v>
      </c>
      <c r="C150" s="23" t="s">
        <v>289</v>
      </c>
      <c r="D150" s="28" t="s">
        <v>992</v>
      </c>
      <c r="E150" s="24"/>
      <c r="F150" s="24">
        <v>125</v>
      </c>
      <c r="G150" s="25" t="s">
        <v>388</v>
      </c>
    </row>
    <row r="151" spans="1:7" hidden="1" x14ac:dyDescent="0.25">
      <c r="A151" s="23" t="s">
        <v>907</v>
      </c>
      <c r="B151" s="23" t="s">
        <v>285</v>
      </c>
      <c r="C151" s="23" t="s">
        <v>292</v>
      </c>
      <c r="D151" s="28" t="s">
        <v>995</v>
      </c>
      <c r="E151" s="24"/>
      <c r="F151" s="24">
        <v>115</v>
      </c>
      <c r="G151" s="25" t="s">
        <v>394</v>
      </c>
    </row>
    <row r="152" spans="1:7" hidden="1" x14ac:dyDescent="0.25">
      <c r="A152" s="23" t="s">
        <v>907</v>
      </c>
      <c r="B152" s="23" t="s">
        <v>285</v>
      </c>
      <c r="C152" s="23" t="s">
        <v>295</v>
      </c>
      <c r="D152" s="28" t="s">
        <v>964</v>
      </c>
      <c r="E152" s="24"/>
      <c r="F152" s="24">
        <v>288</v>
      </c>
      <c r="G152" s="25" t="s">
        <v>583</v>
      </c>
    </row>
    <row r="153" spans="1:7" hidden="1" x14ac:dyDescent="0.25">
      <c r="A153" s="23" t="s">
        <v>546</v>
      </c>
      <c r="B153" s="23" t="s">
        <v>285</v>
      </c>
      <c r="C153" s="23" t="s">
        <v>953</v>
      </c>
      <c r="D153" s="28" t="s">
        <v>981</v>
      </c>
      <c r="E153" s="24"/>
      <c r="F153" s="24">
        <v>850</v>
      </c>
      <c r="G153" s="25" t="s">
        <v>398</v>
      </c>
    </row>
    <row r="154" spans="1:7" hidden="1" x14ac:dyDescent="0.25">
      <c r="A154" s="23" t="s">
        <v>841</v>
      </c>
      <c r="B154" s="23" t="s">
        <v>285</v>
      </c>
      <c r="C154" s="23" t="s">
        <v>953</v>
      </c>
      <c r="D154" s="28" t="s">
        <v>974</v>
      </c>
      <c r="E154" s="24"/>
      <c r="F154" s="24">
        <v>900</v>
      </c>
      <c r="G154" s="25" t="s">
        <v>398</v>
      </c>
    </row>
    <row r="155" spans="1:7" hidden="1" x14ac:dyDescent="0.25">
      <c r="A155" s="23" t="s">
        <v>824</v>
      </c>
      <c r="B155" s="23" t="s">
        <v>285</v>
      </c>
      <c r="C155" s="23" t="s">
        <v>301</v>
      </c>
      <c r="D155" s="28" t="s">
        <v>982</v>
      </c>
      <c r="E155" s="24"/>
      <c r="F155" s="24">
        <v>238</v>
      </c>
      <c r="G155" s="25" t="s">
        <v>825</v>
      </c>
    </row>
    <row r="156" spans="1:7" hidden="1" x14ac:dyDescent="0.25">
      <c r="A156" s="23" t="s">
        <v>475</v>
      </c>
      <c r="B156" s="23" t="s">
        <v>285</v>
      </c>
      <c r="C156" s="23" t="s">
        <v>304</v>
      </c>
      <c r="D156" s="28" t="s">
        <v>962</v>
      </c>
      <c r="E156" s="24"/>
      <c r="F156" s="24">
        <v>128</v>
      </c>
      <c r="G156" s="25" t="s">
        <v>388</v>
      </c>
    </row>
    <row r="157" spans="1:7" hidden="1" x14ac:dyDescent="0.25">
      <c r="A157" s="23" t="s">
        <v>459</v>
      </c>
      <c r="B157" s="23" t="s">
        <v>950</v>
      </c>
      <c r="C157" s="23" t="s">
        <v>265</v>
      </c>
      <c r="D157" s="28" t="s">
        <v>964</v>
      </c>
      <c r="E157" s="24"/>
      <c r="F157" s="24">
        <v>110</v>
      </c>
      <c r="G157" s="25" t="s">
        <v>394</v>
      </c>
    </row>
    <row r="158" spans="1:7" hidden="1" x14ac:dyDescent="0.25">
      <c r="A158" s="23" t="s">
        <v>407</v>
      </c>
      <c r="B158" s="23" t="s">
        <v>308</v>
      </c>
      <c r="C158" s="23" t="s">
        <v>309</v>
      </c>
      <c r="D158" s="28" t="s">
        <v>996</v>
      </c>
      <c r="E158" s="24"/>
      <c r="F158" s="24">
        <v>85</v>
      </c>
      <c r="G158" s="25" t="s">
        <v>394</v>
      </c>
    </row>
    <row r="159" spans="1:7" hidden="1" x14ac:dyDescent="0.25">
      <c r="A159" s="23" t="s">
        <v>407</v>
      </c>
      <c r="B159" s="23" t="s">
        <v>308</v>
      </c>
      <c r="C159" s="23" t="s">
        <v>954</v>
      </c>
      <c r="D159" s="28" t="s">
        <v>965</v>
      </c>
      <c r="E159" s="24"/>
      <c r="F159" s="24">
        <v>100</v>
      </c>
      <c r="G159" s="25" t="s">
        <v>394</v>
      </c>
    </row>
    <row r="160" spans="1:7" hidden="1" x14ac:dyDescent="0.25">
      <c r="A160" s="23" t="s">
        <v>878</v>
      </c>
      <c r="B160" s="23" t="s">
        <v>308</v>
      </c>
      <c r="C160" s="23" t="s">
        <v>955</v>
      </c>
      <c r="D160" s="28" t="s">
        <v>997</v>
      </c>
      <c r="E160" s="24"/>
      <c r="F160" s="24">
        <v>36</v>
      </c>
      <c r="G160" s="25" t="s">
        <v>509</v>
      </c>
    </row>
    <row r="161" spans="1:7" hidden="1" x14ac:dyDescent="0.25">
      <c r="A161" s="23" t="s">
        <v>748</v>
      </c>
      <c r="B161" s="23" t="s">
        <v>308</v>
      </c>
      <c r="C161" s="23" t="s">
        <v>319</v>
      </c>
      <c r="D161" s="28" t="s">
        <v>998</v>
      </c>
      <c r="E161" s="24"/>
      <c r="F161" s="24">
        <v>79</v>
      </c>
      <c r="G161" s="25" t="s">
        <v>394</v>
      </c>
    </row>
    <row r="162" spans="1:7" hidden="1" x14ac:dyDescent="0.25">
      <c r="A162" s="23" t="s">
        <v>748</v>
      </c>
      <c r="B162" s="23" t="s">
        <v>308</v>
      </c>
      <c r="C162" s="23" t="s">
        <v>956</v>
      </c>
      <c r="D162" s="28" t="s">
        <v>999</v>
      </c>
      <c r="E162" s="24"/>
      <c r="F162" s="24">
        <v>71</v>
      </c>
      <c r="G162" s="25" t="s">
        <v>394</v>
      </c>
    </row>
    <row r="163" spans="1:7" hidden="1" x14ac:dyDescent="0.25">
      <c r="A163" s="23" t="s">
        <v>449</v>
      </c>
      <c r="B163" s="23" t="s">
        <v>308</v>
      </c>
      <c r="C163" s="23" t="s">
        <v>326</v>
      </c>
      <c r="D163" s="28" t="s">
        <v>971</v>
      </c>
      <c r="E163" s="24"/>
      <c r="F163" s="24">
        <v>56</v>
      </c>
      <c r="G163" s="25" t="s">
        <v>394</v>
      </c>
    </row>
    <row r="164" spans="1:7" hidden="1" x14ac:dyDescent="0.25">
      <c r="A164" s="23" t="s">
        <v>450</v>
      </c>
      <c r="B164" s="23" t="s">
        <v>308</v>
      </c>
      <c r="C164" s="23" t="s">
        <v>330</v>
      </c>
      <c r="D164" s="28" t="s">
        <v>1000</v>
      </c>
      <c r="E164" s="24"/>
      <c r="F164" s="24">
        <v>48</v>
      </c>
      <c r="G164" s="25" t="s">
        <v>394</v>
      </c>
    </row>
    <row r="165" spans="1:7" hidden="1" x14ac:dyDescent="0.25">
      <c r="A165" s="23" t="s">
        <v>466</v>
      </c>
      <c r="B165" s="23" t="s">
        <v>308</v>
      </c>
      <c r="C165" s="23" t="s">
        <v>334</v>
      </c>
      <c r="D165" s="28" t="s">
        <v>971</v>
      </c>
      <c r="E165" s="24"/>
      <c r="F165" s="24">
        <v>14</v>
      </c>
      <c r="G165" s="25" t="s">
        <v>467</v>
      </c>
    </row>
    <row r="166" spans="1:7" hidden="1" x14ac:dyDescent="0.25">
      <c r="A166" s="23" t="s">
        <v>758</v>
      </c>
      <c r="B166" s="23" t="s">
        <v>339</v>
      </c>
      <c r="C166" s="23" t="s">
        <v>340</v>
      </c>
      <c r="D166" s="28" t="s">
        <v>965</v>
      </c>
      <c r="E166" s="24"/>
      <c r="F166" s="24">
        <v>240</v>
      </c>
      <c r="G166" s="25" t="s">
        <v>209</v>
      </c>
    </row>
    <row r="167" spans="1:7" hidden="1" x14ac:dyDescent="0.25">
      <c r="A167" s="23" t="s">
        <v>802</v>
      </c>
      <c r="B167" s="23" t="s">
        <v>339</v>
      </c>
      <c r="C167" s="23" t="s">
        <v>340</v>
      </c>
      <c r="D167" s="28" t="s">
        <v>1001</v>
      </c>
      <c r="E167" s="24"/>
      <c r="F167" s="24">
        <v>240</v>
      </c>
      <c r="G167" s="25" t="s">
        <v>209</v>
      </c>
    </row>
    <row r="168" spans="1:7" hidden="1" x14ac:dyDescent="0.25">
      <c r="A168" s="23" t="s">
        <v>758</v>
      </c>
      <c r="B168" s="23" t="s">
        <v>339</v>
      </c>
      <c r="C168" s="23" t="s">
        <v>343</v>
      </c>
      <c r="D168" s="28" t="s">
        <v>974</v>
      </c>
      <c r="E168" s="24"/>
      <c r="F168" s="24">
        <v>120</v>
      </c>
      <c r="G168" s="25" t="s">
        <v>491</v>
      </c>
    </row>
    <row r="169" spans="1:7" hidden="1" x14ac:dyDescent="0.25">
      <c r="A169" s="23" t="s">
        <v>758</v>
      </c>
      <c r="B169" s="23" t="s">
        <v>339</v>
      </c>
      <c r="C169" s="23" t="s">
        <v>347</v>
      </c>
      <c r="D169" s="28" t="s">
        <v>1002</v>
      </c>
      <c r="E169" s="24"/>
      <c r="F169" s="24">
        <v>18</v>
      </c>
      <c r="G169" s="25" t="s">
        <v>509</v>
      </c>
    </row>
    <row r="170" spans="1:7" hidden="1" x14ac:dyDescent="0.25">
      <c r="A170" s="23" t="s">
        <v>802</v>
      </c>
      <c r="B170" s="23" t="s">
        <v>339</v>
      </c>
      <c r="C170" s="23" t="s">
        <v>350</v>
      </c>
      <c r="D170" s="28" t="s">
        <v>991</v>
      </c>
      <c r="E170" s="24"/>
      <c r="F170" s="24">
        <v>100</v>
      </c>
      <c r="G170" s="25" t="s">
        <v>209</v>
      </c>
    </row>
    <row r="171" spans="1:7" hidden="1" x14ac:dyDescent="0.25">
      <c r="A171" s="23" t="s">
        <v>496</v>
      </c>
      <c r="B171" s="23" t="s">
        <v>339</v>
      </c>
      <c r="C171" s="23" t="s">
        <v>353</v>
      </c>
      <c r="D171" s="28" t="s">
        <v>981</v>
      </c>
      <c r="E171" s="24"/>
      <c r="F171" s="24">
        <v>1000</v>
      </c>
      <c r="G171" s="25" t="s">
        <v>18</v>
      </c>
    </row>
    <row r="172" spans="1:7" hidden="1" x14ac:dyDescent="0.25">
      <c r="A172" s="23" t="s">
        <v>758</v>
      </c>
      <c r="B172" s="23" t="s">
        <v>339</v>
      </c>
      <c r="C172" s="23" t="s">
        <v>353</v>
      </c>
      <c r="D172" s="28" t="s">
        <v>957</v>
      </c>
      <c r="E172" s="24"/>
      <c r="F172" s="24">
        <v>850</v>
      </c>
      <c r="G172" s="25" t="s">
        <v>441</v>
      </c>
    </row>
    <row r="173" spans="1:7" hidden="1" x14ac:dyDescent="0.25">
      <c r="A173" s="23" t="s">
        <v>496</v>
      </c>
      <c r="B173" s="23" t="s">
        <v>339</v>
      </c>
      <c r="C173" s="23" t="s">
        <v>356</v>
      </c>
      <c r="D173" s="28" t="s">
        <v>1003</v>
      </c>
      <c r="E173" s="24"/>
      <c r="F173" s="24">
        <v>126</v>
      </c>
      <c r="G173" s="25" t="s">
        <v>18</v>
      </c>
    </row>
    <row r="174" spans="1:7" hidden="1" x14ac:dyDescent="0.25">
      <c r="A174" s="23" t="s">
        <v>496</v>
      </c>
      <c r="B174" s="23" t="s">
        <v>339</v>
      </c>
      <c r="C174" s="23" t="s">
        <v>359</v>
      </c>
      <c r="D174" s="28" t="s">
        <v>1004</v>
      </c>
      <c r="E174" s="24"/>
      <c r="F174" s="24">
        <v>120</v>
      </c>
      <c r="G174" s="25" t="s">
        <v>209</v>
      </c>
    </row>
    <row r="175" spans="1:7" hidden="1" x14ac:dyDescent="0.25">
      <c r="A175" s="23" t="s">
        <v>758</v>
      </c>
      <c r="B175" s="23" t="s">
        <v>339</v>
      </c>
      <c r="C175" s="23" t="s">
        <v>347</v>
      </c>
      <c r="D175" s="28" t="s">
        <v>1002</v>
      </c>
      <c r="E175" s="24"/>
      <c r="F175" s="24">
        <v>18</v>
      </c>
      <c r="G175" s="25" t="s">
        <v>509</v>
      </c>
    </row>
    <row r="176" spans="1:7" hidden="1" x14ac:dyDescent="0.25">
      <c r="A176" s="23" t="s">
        <v>496</v>
      </c>
      <c r="B176" s="23" t="s">
        <v>339</v>
      </c>
      <c r="C176" s="23" t="s">
        <v>363</v>
      </c>
      <c r="D176" s="28" t="s">
        <v>958</v>
      </c>
      <c r="E176" s="24"/>
      <c r="F176" s="24">
        <v>30</v>
      </c>
      <c r="G176" s="25" t="s">
        <v>18</v>
      </c>
    </row>
  </sheetData>
  <autoFilter ref="A1:G176" xr:uid="{2F2F5FBF-79FE-4DB8-A4F4-FC33DA2F7585}">
    <filterColumn colId="5">
      <filters>
        <filter val="0.5"/>
        <filter val="1.4"/>
        <filter val="1.5"/>
        <filter val="1.55"/>
        <filter val="10.5"/>
        <filter val="106.25"/>
        <filter val="11.5"/>
        <filter val="16.5"/>
        <filter val="18.9"/>
        <filter val="2.75"/>
        <filter val="5.25"/>
        <filter val="6.5"/>
        <filter val="7.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69E0-591A-4C75-B20B-8F6C2F297CB1}">
  <dimension ref="A1:N106"/>
  <sheetViews>
    <sheetView zoomScale="70" zoomScaleNormal="70" workbookViewId="0">
      <pane ySplit="1" topLeftCell="A2" activePane="bottomLeft" state="frozen"/>
      <selection activeCell="K2" sqref="K2:K127"/>
      <selection pane="bottomLeft" activeCell="K2" sqref="K2:K127"/>
    </sheetView>
  </sheetViews>
  <sheetFormatPr defaultRowHeight="15" x14ac:dyDescent="0.25"/>
  <cols>
    <col min="1" max="1" width="69.42578125" style="5" customWidth="1"/>
    <col min="2" max="2" width="46.140625" customWidth="1"/>
    <col min="3" max="4" width="49.42578125" customWidth="1"/>
    <col min="5" max="5" width="14.85546875" customWidth="1"/>
    <col min="6" max="7" width="59.85546875" customWidth="1"/>
    <col min="8" max="8" width="14.85546875" style="7" customWidth="1"/>
    <col min="9" max="10" width="14.85546875" style="7" hidden="1" customWidth="1"/>
    <col min="11" max="11" width="15.85546875" style="7" customWidth="1"/>
    <col min="12" max="12" width="146.7109375" style="11" customWidth="1"/>
    <col min="13" max="13" width="24.42578125" customWidth="1"/>
  </cols>
  <sheetData>
    <row r="1" spans="1:14" s="2" customFormat="1" ht="27.75" customHeigh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0" t="s">
        <v>939</v>
      </c>
      <c r="M1" s="3" t="s">
        <v>11</v>
      </c>
      <c r="N1" s="3"/>
    </row>
    <row r="2" spans="1:14" s="1" customFormat="1" ht="45" customHeight="1" x14ac:dyDescent="0.25">
      <c r="A2" s="12" t="s">
        <v>12</v>
      </c>
      <c r="B2" s="1" t="s">
        <v>13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3">
        <v>286</v>
      </c>
      <c r="I2" s="13">
        <v>286</v>
      </c>
      <c r="J2" s="13">
        <v>0</v>
      </c>
      <c r="K2" s="13" t="s">
        <v>18</v>
      </c>
      <c r="L2" s="14" t="str" cm="1">
        <f t="array" ref="L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Data'!$J$2:$J$10000=D2)*
(('Master Data'!$K$2:$K$10000-'Master Data'!$Q$2:$Q$10000)&lt;&gt;0)
)
),
"Not Found")</f>
        <v>Name: WATERPRROFING GAS 22 KG Price: 110 Qty: 14 Unit: CYLINDER Supplier Reference: AJMAN GAS LLC PO Reference: MRG-LPO-00022
Name: WATERPRROFING GAS 22 KG Price: 126 Qty: 272 Unit: CYLINDER Supplier Reference: AJMAN GAS LLC PO Reference: MRG-LPO-00079</v>
      </c>
      <c r="M2" s="1" t="s">
        <v>19</v>
      </c>
    </row>
    <row r="3" spans="1:14" s="1" customFormat="1" ht="30" x14ac:dyDescent="0.25">
      <c r="A3" s="12"/>
      <c r="B3" s="1" t="s">
        <v>13</v>
      </c>
      <c r="C3" s="1" t="s">
        <v>20</v>
      </c>
      <c r="D3" s="1" t="s">
        <v>21</v>
      </c>
      <c r="E3" s="1" t="s">
        <v>15</v>
      </c>
      <c r="F3" s="1" t="s">
        <v>20</v>
      </c>
      <c r="G3" s="1" t="s">
        <v>21</v>
      </c>
      <c r="H3" s="13">
        <v>1</v>
      </c>
      <c r="I3" s="13">
        <v>1</v>
      </c>
      <c r="J3" s="13">
        <v>0</v>
      </c>
      <c r="K3" s="13" t="s">
        <v>18</v>
      </c>
      <c r="L3" s="14" t="str" cm="1">
        <f t="array" ref="L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Data'!$J$2:$J$10000=D3)*
(('Master Data'!$K$2:$K$10000-'Master Data'!$Q$2:$Q$10000)&lt;&gt;0)
)
),
"Not Found")</f>
        <v>Name: PROPANE HIGH PRESSURE REGULATOR WITH GUAGE  Price: 200 Qty: 1 Unit: Nos Supplier Reference: MR MD For Project Management Services EST PO Reference: PUR-ORD-2026-00049</v>
      </c>
      <c r="M3" s="1" t="s">
        <v>19</v>
      </c>
    </row>
    <row r="4" spans="1:14" s="1" customFormat="1" ht="30" x14ac:dyDescent="0.25">
      <c r="A4" s="12" t="s">
        <v>22</v>
      </c>
      <c r="B4" s="1" t="s">
        <v>23</v>
      </c>
      <c r="C4" s="1" t="s">
        <v>24</v>
      </c>
      <c r="D4" s="1" t="s">
        <v>24</v>
      </c>
      <c r="E4" s="1" t="s">
        <v>15</v>
      </c>
      <c r="F4" s="1" t="s">
        <v>25</v>
      </c>
      <c r="G4" s="1" t="s">
        <v>26</v>
      </c>
      <c r="H4" s="13">
        <v>150</v>
      </c>
      <c r="I4" s="13">
        <v>150</v>
      </c>
      <c r="J4" s="13">
        <v>0</v>
      </c>
      <c r="K4" s="13" t="s">
        <v>18</v>
      </c>
      <c r="L4" s="14" t="str" cm="1">
        <f t="array" ref="L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Data'!$J$2:$J$10000=D4)*
(('Master Data'!$K$2:$K$10000-'Master Data'!$Q$2:$Q$10000)&lt;&gt;0)
)
),
"Not Found")</f>
        <v>Name: NITOCOTE CM210 GREY KIT Price: 66 Qty: 150 Unit: KIT Supplier Reference: Al Gurg Fosroc LLC PO Reference: MRG-LPO-00610</v>
      </c>
      <c r="M4" s="1" t="s">
        <v>19</v>
      </c>
    </row>
    <row r="5" spans="1:14" s="1" customFormat="1" ht="30" x14ac:dyDescent="0.25">
      <c r="A5" s="12" t="s">
        <v>27</v>
      </c>
      <c r="B5" s="1" t="s">
        <v>28</v>
      </c>
      <c r="C5" s="1" t="s">
        <v>29</v>
      </c>
      <c r="D5" s="1" t="s">
        <v>30</v>
      </c>
      <c r="E5" s="1" t="s">
        <v>15</v>
      </c>
      <c r="F5" s="1" t="s">
        <v>29</v>
      </c>
      <c r="G5" s="1" t="s">
        <v>30</v>
      </c>
      <c r="H5" s="13">
        <v>20</v>
      </c>
      <c r="I5" s="13">
        <v>20</v>
      </c>
      <c r="J5" s="13">
        <v>0</v>
      </c>
      <c r="K5" s="13" t="s">
        <v>18</v>
      </c>
      <c r="L5" s="14" t="str" cm="1">
        <f t="array" ref="L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Data'!$J$2:$J$10000=D5)*
(('Master Data'!$K$2:$K$10000-'Master Data'!$Q$2:$Q$10000)&lt;&gt;0)
)
),
"Not Found")</f>
        <v>Name: STICKER 20 X 15 CM  Price: 1.5 Qty: 20 Unit: Nos Supplier Reference: MR MD For Project Management Services EST PO Reference: PUR-ORD-2026-00049</v>
      </c>
      <c r="M5" s="1" t="s">
        <v>19</v>
      </c>
    </row>
    <row r="6" spans="1:14" s="1" customFormat="1" ht="30" x14ac:dyDescent="0.25">
      <c r="A6" s="12"/>
      <c r="B6" s="1" t="s">
        <v>28</v>
      </c>
      <c r="C6" s="1" t="s">
        <v>31</v>
      </c>
      <c r="D6" s="1" t="s">
        <v>32</v>
      </c>
      <c r="E6" s="1" t="s">
        <v>15</v>
      </c>
      <c r="F6" s="1" t="s">
        <v>33</v>
      </c>
      <c r="G6" s="1" t="s">
        <v>31</v>
      </c>
      <c r="H6" s="13">
        <v>60</v>
      </c>
      <c r="I6" s="13">
        <v>60</v>
      </c>
      <c r="J6" s="13">
        <v>0</v>
      </c>
      <c r="K6" s="13" t="s">
        <v>18</v>
      </c>
      <c r="L6" s="14" t="str" cm="1">
        <f t="array" ref="L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Data'!$J$2:$J$10000=D6)*
(('Master Data'!$K$2:$K$10000-'Master Data'!$Q$2:$Q$10000)&lt;&gt;0)
)
),
"Not Found")</f>
        <v>Name: STICKER 10 X 5 CM  Price: 0.5 Qty: 60 Unit: Nos Supplier Reference: MR MD For Project Management Services EST PO Reference: PUR-ORD-2026-00049</v>
      </c>
      <c r="M6" s="1" t="s">
        <v>19</v>
      </c>
    </row>
    <row r="7" spans="1:14" s="1" customFormat="1" ht="30" x14ac:dyDescent="0.25">
      <c r="A7" s="12" t="s">
        <v>34</v>
      </c>
      <c r="B7" s="1" t="s">
        <v>35</v>
      </c>
      <c r="C7" s="1" t="s">
        <v>36</v>
      </c>
      <c r="D7" s="1" t="s">
        <v>36</v>
      </c>
      <c r="E7" s="1" t="s">
        <v>15</v>
      </c>
      <c r="F7" s="1" t="s">
        <v>37</v>
      </c>
      <c r="G7" s="1" t="s">
        <v>37</v>
      </c>
      <c r="H7" s="13">
        <v>22</v>
      </c>
      <c r="I7" s="13">
        <v>22</v>
      </c>
      <c r="J7" s="13">
        <v>0</v>
      </c>
      <c r="K7" s="13" t="s">
        <v>38</v>
      </c>
      <c r="L7" s="14" t="str" cm="1">
        <f t="array" ref="L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Data'!$J$2:$J$10000=D7)*
(('Master Data'!$K$2:$K$10000-'Master Data'!$Q$2:$Q$10000)&lt;&gt;0)
)
),
"Not Found")</f>
        <v>Name: POWER FLOAT Price: 60 Qty: 22 Unit: Nos Supplier Reference: MR MD For Project Management Services EST PO Reference: PUR-ORD-2026-00049</v>
      </c>
      <c r="M7" s="1" t="s">
        <v>19</v>
      </c>
    </row>
    <row r="8" spans="1:14" s="1" customFormat="1" ht="30" x14ac:dyDescent="0.25">
      <c r="A8" s="12" t="s">
        <v>39</v>
      </c>
      <c r="B8" s="1" t="s">
        <v>40</v>
      </c>
      <c r="C8" s="1" t="s">
        <v>41</v>
      </c>
      <c r="D8" s="1" t="s">
        <v>41</v>
      </c>
      <c r="E8" s="1" t="s">
        <v>15</v>
      </c>
      <c r="F8" s="1" t="s">
        <v>42</v>
      </c>
      <c r="G8" s="1" t="s">
        <v>43</v>
      </c>
      <c r="H8" s="13">
        <v>24</v>
      </c>
      <c r="I8" s="13">
        <v>24</v>
      </c>
      <c r="J8" s="13">
        <v>0</v>
      </c>
      <c r="K8" s="13" t="s">
        <v>18</v>
      </c>
      <c r="L8" s="14" t="str" cm="1">
        <f t="array" ref="L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Data'!$J$2:$J$10000=D8)*
(('Master Data'!$K$2:$K$10000-'Master Data'!$Q$2:$Q$10000)&lt;&gt;0)
)
),
"Not Found")</f>
        <v>Name: ASMACO PUF 4040 (220KG) DRUM Price: 2530 Qty: 24 Unit: Kg Supplier Reference: ANCHOR ALLIED FACTORY L.L.C PO Reference: MRG-LPO-00413</v>
      </c>
      <c r="M8" s="1" t="s">
        <v>19</v>
      </c>
    </row>
    <row r="9" spans="1:14" s="1" customFormat="1" ht="30" x14ac:dyDescent="0.25">
      <c r="A9" s="12"/>
      <c r="B9" s="1" t="s">
        <v>40</v>
      </c>
      <c r="C9" s="1" t="s">
        <v>44</v>
      </c>
      <c r="D9" s="1" t="s">
        <v>44</v>
      </c>
      <c r="E9" s="1" t="s">
        <v>15</v>
      </c>
      <c r="F9" s="1" t="s">
        <v>45</v>
      </c>
      <c r="G9" s="1" t="s">
        <v>46</v>
      </c>
      <c r="H9" s="13">
        <v>24</v>
      </c>
      <c r="I9" s="13">
        <v>24</v>
      </c>
      <c r="J9" s="13">
        <v>0</v>
      </c>
      <c r="K9" s="13" t="s">
        <v>18</v>
      </c>
      <c r="L9" s="14" t="str" cm="1">
        <f t="array" ref="L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Data'!$J$2:$J$10000=D9)*
(('Master Data'!$K$2:$K$10000-'Master Data'!$Q$2:$Q$10000)&lt;&gt;0)
)
),
"Not Found")</f>
        <v>Name: ASMACO PUF MDI (250KG) DRUM Price: 2875 Qty: 24 Unit: Kg Supplier Reference: MR MD For Project Management Services EST PO Reference: PUR-ORD-2026-00049</v>
      </c>
      <c r="M9" s="1" t="s">
        <v>19</v>
      </c>
    </row>
    <row r="10" spans="1:14" s="1" customFormat="1" ht="45" x14ac:dyDescent="0.25">
      <c r="A10" s="12" t="s">
        <v>47</v>
      </c>
      <c r="B10" s="1" t="s">
        <v>48</v>
      </c>
      <c r="C10" s="1" t="s">
        <v>49</v>
      </c>
      <c r="D10" s="1" t="s">
        <v>49</v>
      </c>
      <c r="E10" s="1" t="s">
        <v>15</v>
      </c>
      <c r="F10" s="1" t="s">
        <v>50</v>
      </c>
      <c r="G10" s="1" t="s">
        <v>51</v>
      </c>
      <c r="H10" s="13">
        <v>46</v>
      </c>
      <c r="I10" s="13">
        <v>46</v>
      </c>
      <c r="J10" s="13">
        <v>0</v>
      </c>
      <c r="K10" s="13" t="s">
        <v>18</v>
      </c>
      <c r="L10" s="14" t="str" cm="1">
        <f t="array" ref="L1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Data'!$J$2:$J$10000=D10)*
(('Master Data'!$K$2:$K$10000-'Master Data'!$Q$2:$Q$10000)&lt;&gt;0)
)
),
"Not Found")</f>
        <v>Name: AWAZEL PU 4045 POLYOL (220KG) DRUM Price: 2750 Qty: 18 Unit: Kg Supplier Reference: AWAZEL INTERNATIONAL CO LLC PO Reference: MRG-LPO-00220
Name: AWAZEL PU 4045 POLYOL (220KG) DRUM Price: 2860 Qty: 16 Unit: Kg Supplier Reference: AWAZEL INTERNATIONAL CO LLC PO Reference: MRG-LPO-00132-1
Name: AWAZEL PU 4045 POLYOL (220KG) DRUM Price: 2860 Qty: 12 Unit: Kg Supplier Reference: AWAZEL INTERNATIONAL CO LLC PO Reference: MRG-LPO-00231</v>
      </c>
      <c r="M10" s="1" t="s">
        <v>19</v>
      </c>
    </row>
    <row r="11" spans="1:14" s="1" customFormat="1" ht="30" x14ac:dyDescent="0.25">
      <c r="A11" s="12"/>
      <c r="B11" s="1" t="s">
        <v>48</v>
      </c>
      <c r="C11" s="1" t="s">
        <v>52</v>
      </c>
      <c r="D11" s="1" t="s">
        <v>52</v>
      </c>
      <c r="E11" s="1" t="s">
        <v>15</v>
      </c>
      <c r="F11" s="1" t="s">
        <v>53</v>
      </c>
      <c r="G11" s="1" t="s">
        <v>54</v>
      </c>
      <c r="H11" s="13">
        <v>50</v>
      </c>
      <c r="I11" s="13">
        <v>50</v>
      </c>
      <c r="J11" s="13">
        <v>0</v>
      </c>
      <c r="K11" s="13" t="s">
        <v>18</v>
      </c>
      <c r="L11" s="14" t="str" cm="1">
        <f t="array" ref="L1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Data'!$J$2:$J$10000=D11)*
(('Master Data'!$K$2:$K$10000-'Master Data'!$Q$2:$Q$10000)&lt;&gt;0)
)
),
"Not Found")</f>
        <v>Name: AWAZEL PU 111 ISOCYNATE (250KG) DRUM Price: 3125 Qty: 18 Unit: Kg Supplier Reference: MR MD For Project Management Services EST PO Reference: PUR-ORD-2026-00049
Name: AWAZEL PU 111 ISOCYNATE (250KG) DRUM Price: 3250 Qty: 16 Unit: Kg Supplier Reference: MR MD For Project Management Services EST PO Reference: PUR-ORD-2026-00049
Name: AWAZEL PU 111 ISOCYNATE (250KG) DRUM Price: 3250 Qty: 12 Unit: Kg Supplier Reference: MR MD For Project Management Services EST PO Reference: PUR-ORD-2026-00049
Name: AWAZEL PU 111 ISOCYNATE (250KG) DRUM Price: 3000 Qty: 4 Unit: Kg Supplier Reference: MR MD For Project Management Services EST PO Reference: PUR-ORD-2026-00049</v>
      </c>
      <c r="M11" s="1" t="s">
        <v>19</v>
      </c>
    </row>
    <row r="12" spans="1:14" s="1" customFormat="1" ht="30" x14ac:dyDescent="0.25">
      <c r="A12" s="12"/>
      <c r="B12" s="1" t="s">
        <v>48</v>
      </c>
      <c r="C12" s="1" t="s">
        <v>55</v>
      </c>
      <c r="D12" s="1" t="s">
        <v>55</v>
      </c>
      <c r="E12" s="1" t="s">
        <v>15</v>
      </c>
      <c r="F12" s="1" t="s">
        <v>56</v>
      </c>
      <c r="G12" s="1" t="s">
        <v>57</v>
      </c>
      <c r="H12" s="13">
        <v>4</v>
      </c>
      <c r="I12" s="13">
        <v>4</v>
      </c>
      <c r="J12" s="13">
        <v>0</v>
      </c>
      <c r="K12" s="13" t="s">
        <v>18</v>
      </c>
      <c r="L12" s="14" t="str" cm="1">
        <f t="array" ref="L1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Data'!$J$2:$J$10000=D12)*
(('Master Data'!$K$2:$K$10000-'Master Data'!$Q$2:$Q$10000)&lt;&gt;0)
)
),
"Not Found")</f>
        <v>Name: AWAZEL PU 4048 POLYOL (220KG) DRUM Price: 2640 Qty: 4 Unit: Kg Supplier Reference: AWAZEL INTERNATIONAL CO LLC PO Reference: MRG-LPO-00211</v>
      </c>
      <c r="M12" s="1" t="s">
        <v>19</v>
      </c>
    </row>
    <row r="13" spans="1:14" s="1" customFormat="1" ht="30" x14ac:dyDescent="0.25">
      <c r="A13" s="12"/>
      <c r="B13" s="1" t="s">
        <v>48</v>
      </c>
      <c r="C13" s="1" t="s">
        <v>58</v>
      </c>
      <c r="D13" s="1" t="s">
        <v>58</v>
      </c>
      <c r="E13" s="1" t="s">
        <v>15</v>
      </c>
      <c r="F13" s="1" t="s">
        <v>59</v>
      </c>
      <c r="G13" s="1" t="s">
        <v>60</v>
      </c>
      <c r="H13" s="13">
        <v>851</v>
      </c>
      <c r="I13" s="13">
        <v>345</v>
      </c>
      <c r="J13" s="13">
        <v>-506</v>
      </c>
      <c r="K13" s="13" t="s">
        <v>18</v>
      </c>
      <c r="L13" s="14" t="str" cm="1">
        <f t="array" ref="L1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Data'!$J$2:$J$10000=D13)*
(('Master Data'!$K$2:$K$10000-'Master Data'!$Q$2:$Q$10000)&lt;&gt;0)
)
),
"Not Found")</f>
        <v>Name: PY40200L BSP 10 M MEMBRANE SBS MODIFIED 200G Price: 117 Qty: 276 Unit: M2 Supplier Reference: AWAZEL INTERNATIONAL CO LLC PO Reference: PUR-ORD-2025-00005
Name: PY40200L BSP 10 M MEMBRANE SBS MODIFIED 200G Price: 117 Qty: 230 Unit: M2 Supplier Reference: AWAZEL INTERNATIONAL CO LLC PO Reference: PUR-ORD-2025-00008
Name: PY40200L BSP 10 M MEMBRANE SBS MODIFIED 200G Price: 117 Qty: 184 Unit: M2 Supplier Reference: AWAZEL INTERNATIONAL CO LLC PO Reference: PUR-ORD-2026-00011
Name: PY40200L BSP 10 M MEMBRANE SBS MODIFIED 200G Price: 138 Qty: 115 Unit: M2 Supplier Reference: AWAZEL INTERNATIONAL CO LLC PO Reference: MRG-LPO-00351
Name: PY40200L BSP 10 M MEMBRANE SBS MODIFIED 200G Price: 138 Qty: 30 Unit: M2 Supplier Reference: AWAZEL INTERNATIONAL CO LLC PO Reference: MRG-LPO-00615
Name: PY40200L BSP 10 M MEMBRANE SBS MODIFIED 200G Price: 138 Qty: 16 Unit: M2 Supplier Reference: MR MD For Project Management Services EST PO Reference: PUR-ORD-2026-00049</v>
      </c>
      <c r="M13" s="1" t="s">
        <v>19</v>
      </c>
    </row>
    <row r="14" spans="1:14" s="1" customFormat="1" ht="30" x14ac:dyDescent="0.25">
      <c r="A14" s="12"/>
      <c r="B14" s="1" t="s">
        <v>48</v>
      </c>
      <c r="C14" s="1" t="s">
        <v>61</v>
      </c>
      <c r="D14" s="1" t="s">
        <v>61</v>
      </c>
      <c r="E14" s="1" t="s">
        <v>15</v>
      </c>
      <c r="F14" s="1" t="s">
        <v>62</v>
      </c>
      <c r="G14" s="1" t="s">
        <v>63</v>
      </c>
      <c r="H14" s="13">
        <v>900</v>
      </c>
      <c r="I14" s="13">
        <v>900</v>
      </c>
      <c r="J14" s="13">
        <v>0</v>
      </c>
      <c r="K14" s="13" t="s">
        <v>18</v>
      </c>
      <c r="L14" s="14" t="str" cm="1">
        <f t="array" ref="L1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Data'!$J$2:$J$10000=D14)*
(('Master Data'!$K$2:$K$10000-'Master Data'!$Q$2:$Q$10000)&lt;&gt;0)
)
),
"Not Found")</f>
        <v>Name: MS 60 6mm Protection Board (1x2m) Price: 38 Qty: 50 Unit: BD Supplier Reference: MR MD For Project Management Services EST PO Reference: PUR-ORD-2026-00049
Name: MS 60 6mm Protection Board (1x2m) Price: 32 Qty: 750 Unit: BD Supplier Reference: MR MD For Project Management Services EST PO Reference: PUR-ORD-2026-00049
Name: MS 60 6mm Protection Board (1x2m) Price: 38 Qty: 100 Unit: SHEET Supplier Reference: MR MD For Project Management Services EST PO Reference: PUR-ORD-2026-00049</v>
      </c>
      <c r="M14" s="1" t="s">
        <v>19</v>
      </c>
    </row>
    <row r="15" spans="1:14" s="1" customFormat="1" ht="30" x14ac:dyDescent="0.25">
      <c r="A15" s="12"/>
      <c r="B15" s="1" t="s">
        <v>48</v>
      </c>
      <c r="C15" s="1" t="s">
        <v>64</v>
      </c>
      <c r="D15" s="1" t="s">
        <v>64</v>
      </c>
      <c r="E15" s="1" t="s">
        <v>15</v>
      </c>
      <c r="F15" s="1" t="s">
        <v>65</v>
      </c>
      <c r="G15" s="1" t="s">
        <v>66</v>
      </c>
      <c r="H15" s="13">
        <v>228</v>
      </c>
      <c r="I15" s="13">
        <v>228</v>
      </c>
      <c r="J15" s="13">
        <v>0</v>
      </c>
      <c r="K15" s="13" t="s">
        <v>18</v>
      </c>
      <c r="L15" s="14" t="str" cm="1">
        <f t="array" ref="L1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Data'!$J$2:$J$10000=D15)*
(('Master Data'!$K$2:$K$10000-'Master Data'!$Q$2:$Q$10000)&lt;&gt;0)
)
),
"Not Found")</f>
        <v>Name: AWAZELBOND BS 1000 Price: 280 Qty: 228 Unit: ROLL Supplier Reference: AWAZEL INTERNATIONAL CO LLC PO Reference: MRG-LPO-00333</v>
      </c>
      <c r="M15" s="1" t="s">
        <v>19</v>
      </c>
    </row>
    <row r="16" spans="1:14" s="1" customFormat="1" ht="30" x14ac:dyDescent="0.25">
      <c r="A16" s="12"/>
      <c r="B16" s="1" t="s">
        <v>48</v>
      </c>
      <c r="C16" s="1" t="s">
        <v>67</v>
      </c>
      <c r="D16" s="1" t="s">
        <v>67</v>
      </c>
      <c r="E16" s="1" t="s">
        <v>15</v>
      </c>
      <c r="F16" s="1" t="s">
        <v>68</v>
      </c>
      <c r="G16" s="1" t="s">
        <v>69</v>
      </c>
      <c r="H16" s="13">
        <v>69</v>
      </c>
      <c r="I16" s="13">
        <v>69</v>
      </c>
      <c r="J16" s="13">
        <v>0</v>
      </c>
      <c r="K16" s="13" t="s">
        <v>18</v>
      </c>
      <c r="L16" s="14" t="str" cm="1">
        <f t="array" ref="L1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Data'!$J$2:$J$10000=D16)*
(('Master Data'!$K$2:$K$10000-'Master Data'!$Q$2:$Q$10000)&lt;&gt;0)
)
),
"Not Found")</f>
        <v>Name: PY40L BSP 10 M MEMBRANE SBS MODIFIED POLYES 180G Price: 125 Qty: 69 Unit: M2 Supplier Reference: AWAZEL INTERNATIONAL CO LLC PO Reference: MRG-LPO-00522</v>
      </c>
      <c r="M16" s="1" t="s">
        <v>19</v>
      </c>
    </row>
    <row r="17" spans="1:14" s="1" customFormat="1" ht="30" x14ac:dyDescent="0.25">
      <c r="A17" s="12"/>
      <c r="B17" s="1" t="s">
        <v>48</v>
      </c>
      <c r="C17" s="1" t="s">
        <v>70</v>
      </c>
      <c r="D17" s="1" t="s">
        <v>70</v>
      </c>
      <c r="E17" s="1" t="s">
        <v>15</v>
      </c>
      <c r="F17" s="1" t="s">
        <v>71</v>
      </c>
      <c r="G17" s="1" t="s">
        <v>72</v>
      </c>
      <c r="H17" s="13">
        <v>50</v>
      </c>
      <c r="I17" s="13">
        <v>50</v>
      </c>
      <c r="J17" s="13">
        <v>0</v>
      </c>
      <c r="K17" s="13" t="s">
        <v>18</v>
      </c>
      <c r="L17" s="14" t="str" cm="1">
        <f t="array" ref="L1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Data'!$J$2:$J$10000=D17)*
(('Master Data'!$K$2:$K$10000-'Master Data'!$Q$2:$Q$10000)&lt;&gt;0)
)
),
"Not Found")</f>
        <v>Name: AWAZEL FABRIC 1M X  50M ROLL Price: 150 Qty: 50 Unit: ROLL Supplier Reference: AWAZEL INTERNATIONAL CO LLC PO Reference: MRG-LPO-00577</v>
      </c>
      <c r="M17" s="1" t="s">
        <v>19</v>
      </c>
    </row>
    <row r="18" spans="1:14" s="1" customFormat="1" ht="30" x14ac:dyDescent="0.25">
      <c r="A18" s="12" t="s">
        <v>73</v>
      </c>
      <c r="B18" s="1" t="s">
        <v>74</v>
      </c>
      <c r="C18" s="1" t="s">
        <v>75</v>
      </c>
      <c r="D18" s="1" t="s">
        <v>75</v>
      </c>
      <c r="E18" s="1" t="s">
        <v>15</v>
      </c>
      <c r="F18" s="1" t="s">
        <v>76</v>
      </c>
      <c r="G18" s="1" t="s">
        <v>77</v>
      </c>
      <c r="H18" s="13">
        <v>4966</v>
      </c>
      <c r="I18" s="13">
        <v>496.6</v>
      </c>
      <c r="J18" s="13">
        <v>-4469.3999999999996</v>
      </c>
      <c r="K18" s="13" t="s">
        <v>18</v>
      </c>
      <c r="L18" s="14" t="str" cm="1">
        <f t="array" ref="L1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Data'!$J$2:$J$10000=D18)*
(('Master Data'!$K$2:$K$10000-'Master Data'!$Q$2:$Q$10000)&lt;&gt;0)
)
),
"Not Found")</f>
        <v>Name: CORROPRUFE SBS 4180 Price: 96 Qty: 3448 Unit: ROLL Supplier Reference: CORROTECH CONSTRUCTION CHEMICALS  L.L.C PO Reference: MRG-LPO-00008
Name: CORROPRUFE SBS 4180 Price: 115 Qty: 506 Unit: ROLL Supplier Reference: CORROTECH CONSTRUCTION CHEMICALS  L.L.C PO Reference: MRG-LPO-00314
Name: CORROPRUFE SBS 4180 Price: 112 Qty: 1012 Unit: ROLL Supplier Reference: CORROTECH CONSTRUCTION CHEMICALS  L.L.C PO Reference: MRG-LPO-00554-2</v>
      </c>
      <c r="M18" s="1" t="s">
        <v>19</v>
      </c>
    </row>
    <row r="19" spans="1:14" s="1" customFormat="1" ht="30" x14ac:dyDescent="0.25">
      <c r="A19" s="12"/>
      <c r="B19" s="1" t="s">
        <v>74</v>
      </c>
      <c r="C19" s="1" t="s">
        <v>78</v>
      </c>
      <c r="D19" s="1" t="s">
        <v>78</v>
      </c>
      <c r="E19" s="1" t="s">
        <v>15</v>
      </c>
      <c r="F19" s="1" t="s">
        <v>79</v>
      </c>
      <c r="G19" s="1" t="s">
        <v>80</v>
      </c>
      <c r="H19" s="13">
        <v>6600</v>
      </c>
      <c r="I19" s="13">
        <v>6600</v>
      </c>
      <c r="J19" s="13">
        <v>0</v>
      </c>
      <c r="K19" s="13" t="s">
        <v>18</v>
      </c>
      <c r="L19" s="14" t="str" cm="1">
        <f t="array" ref="L1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Data'!$J$2:$J$10000=D19)*
(('Master Data'!$K$2:$K$10000-'Master Data'!$Q$2:$Q$10000)&lt;&gt;0)
)
),
"Not Found")</f>
        <v>Name: CORROBOARD 3.2 MM Price: 18.9 Qty: 200 Unit: SHEET Supplier Reference: CORROTECH CONSTRUCTION CHEMICALS  L.L.C PO Reference: MRG-LPO-00118
Name: CORROBOARD 3.2 MM Price: 17 Qty: 6400 Unit: SHEET Supplier Reference: MR MD For Project Management Services EST PO Reference: PUR-ORD-2026-00049</v>
      </c>
      <c r="M19" s="1" t="s">
        <v>19</v>
      </c>
      <c r="N19" s="1" t="s">
        <v>81</v>
      </c>
    </row>
    <row r="20" spans="1:14" s="1" customFormat="1" ht="30" x14ac:dyDescent="0.25">
      <c r="A20" s="12"/>
      <c r="B20" s="1" t="s">
        <v>74</v>
      </c>
      <c r="C20" s="1" t="s">
        <v>82</v>
      </c>
      <c r="D20" s="1" t="s">
        <v>82</v>
      </c>
      <c r="E20" s="1" t="s">
        <v>15</v>
      </c>
      <c r="F20" s="1" t="s">
        <v>83</v>
      </c>
      <c r="G20" s="1" t="s">
        <v>84</v>
      </c>
      <c r="H20" s="13">
        <v>30</v>
      </c>
      <c r="I20" s="13">
        <v>30</v>
      </c>
      <c r="J20" s="13">
        <v>0</v>
      </c>
      <c r="K20" s="13" t="s">
        <v>18</v>
      </c>
      <c r="L20" s="14" t="str" cm="1">
        <f t="array" ref="L2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Data'!$J$2:$J$10000=D20)*
(('Master Data'!$K$2:$K$10000-'Master Data'!$Q$2:$Q$10000)&lt;&gt;0)
)
),
"Not Found")</f>
        <v>Name: CORROPRIME SB 200LTRS Price: 750 Qty: 30 Unit: Litre Supplier Reference: MR MD For Project Management Services EST PO Reference: PUR-ORD-2026-00049</v>
      </c>
      <c r="M20" s="1" t="s">
        <v>19</v>
      </c>
    </row>
    <row r="21" spans="1:14" s="1" customFormat="1" ht="30" x14ac:dyDescent="0.25">
      <c r="A21" s="12" t="s">
        <v>85</v>
      </c>
      <c r="B21" s="1" t="s">
        <v>86</v>
      </c>
      <c r="C21" s="1" t="s">
        <v>87</v>
      </c>
      <c r="D21" s="1" t="s">
        <v>88</v>
      </c>
      <c r="E21" s="1" t="s">
        <v>15</v>
      </c>
      <c r="F21" s="1" t="s">
        <v>89</v>
      </c>
      <c r="G21" s="1" t="s">
        <v>90</v>
      </c>
      <c r="H21" s="13">
        <v>3</v>
      </c>
      <c r="I21" s="13">
        <v>3</v>
      </c>
      <c r="J21" s="13">
        <v>0</v>
      </c>
      <c r="K21" s="13" t="s">
        <v>18</v>
      </c>
      <c r="L21" s="14" t="str" cm="1">
        <f t="array" ref="L2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Data'!$J$2:$J$10000=D21)*
(('Master Data'!$K$2:$K$10000-'Master Data'!$Q$2:$Q$10000)&lt;&gt;0)
)
),
"Not Found")</f>
        <v>Name: DUPRIME 200 LTR DRUM  Price: 1300 Qty: 3 Unit: DRUM Supplier Reference: Duproof L.L.C PO Reference: MRG-LPO-00274-1</v>
      </c>
      <c r="M21" s="1" t="s">
        <v>19</v>
      </c>
    </row>
    <row r="22" spans="1:14" s="1" customFormat="1" ht="30" x14ac:dyDescent="0.25">
      <c r="A22" s="12"/>
      <c r="B22" s="1" t="s">
        <v>86</v>
      </c>
      <c r="C22" s="1" t="s">
        <v>91</v>
      </c>
      <c r="D22" s="1" t="s">
        <v>91</v>
      </c>
      <c r="E22" s="1" t="s">
        <v>15</v>
      </c>
      <c r="F22" s="1" t="s">
        <v>92</v>
      </c>
      <c r="G22" s="1" t="s">
        <v>93</v>
      </c>
      <c r="H22" s="13">
        <v>46</v>
      </c>
      <c r="I22" s="13">
        <v>46</v>
      </c>
      <c r="J22" s="13">
        <v>0</v>
      </c>
      <c r="K22" s="13" t="s">
        <v>18</v>
      </c>
      <c r="L22" s="14" t="str" cm="1">
        <f t="array" ref="L2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Data'!$J$2:$J$10000=D22)*
(('Master Data'!$K$2:$K$10000-'Master Data'!$Q$2:$Q$10000)&lt;&gt;0)
)
),
"Not Found")</f>
        <v>Name: DUPLAST P 270 4MM APP MEMBRANE  1M X 10 MTR ROLL Price: 148 Qty: 46 Unit: ROLL Supplier Reference: Duproof L.L.C PO Reference: MRG-LPO-00602</v>
      </c>
      <c r="M22" s="1" t="s">
        <v>19</v>
      </c>
    </row>
    <row r="23" spans="1:14" s="1" customFormat="1" ht="30" x14ac:dyDescent="0.25">
      <c r="A23" s="12"/>
      <c r="B23" s="1" t="s">
        <v>86</v>
      </c>
      <c r="C23" s="1" t="s">
        <v>94</v>
      </c>
      <c r="D23" s="1" t="s">
        <v>95</v>
      </c>
      <c r="E23" s="1" t="s">
        <v>15</v>
      </c>
      <c r="F23" s="1" t="s">
        <v>96</v>
      </c>
      <c r="G23" s="1" t="s">
        <v>97</v>
      </c>
      <c r="H23" s="13">
        <v>32</v>
      </c>
      <c r="I23" s="13">
        <v>32</v>
      </c>
      <c r="J23" s="13">
        <v>0</v>
      </c>
      <c r="K23" s="13" t="s">
        <v>18</v>
      </c>
      <c r="L23" s="14" t="str" cm="1">
        <f t="array" ref="L2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Data'!$J$2:$J$10000=D23)*
(('Master Data'!$K$2:$K$10000-'Master Data'!$Q$2:$Q$10000)&lt;&gt;0)
)
),
"Not Found")</f>
        <v>Name: DUMASTIC 20 KG  Price: 115 Qty: 30 Unit: PAIL Supplier Reference: MR MD For Project Management Services EST PO Reference: PUR-ORD-2026-00049
Name: DUMASTIC 20 KG  Price: 115 Qty: 2 Unit: PAIL Supplier Reference: MR MD For Project Management Services EST PO Reference: PUR-ORD-2026-00049</v>
      </c>
      <c r="M23" s="1" t="s">
        <v>19</v>
      </c>
    </row>
    <row r="24" spans="1:14" s="1" customFormat="1" ht="30" x14ac:dyDescent="0.25">
      <c r="A24" s="12"/>
      <c r="B24" s="1" t="s">
        <v>86</v>
      </c>
      <c r="C24" s="1" t="s">
        <v>98</v>
      </c>
      <c r="D24" s="1" t="s">
        <v>98</v>
      </c>
      <c r="E24" s="1" t="s">
        <v>15</v>
      </c>
      <c r="F24" s="1" t="s">
        <v>99</v>
      </c>
      <c r="G24" s="1" t="s">
        <v>100</v>
      </c>
      <c r="H24" s="13">
        <v>112</v>
      </c>
      <c r="I24" s="13">
        <v>112</v>
      </c>
      <c r="J24" s="13">
        <v>0</v>
      </c>
      <c r="K24" s="13" t="s">
        <v>18</v>
      </c>
      <c r="L24" s="14" t="str" cm="1">
        <f t="array" ref="L2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Data'!$J$2:$J$10000=D24)*
(('Master Data'!$K$2:$K$10000-'Master Data'!$Q$2:$Q$10000)&lt;&gt;0)
)
),
"Not Found")</f>
        <v>Name: DUPLAST P-MEMBRANE 4MM 1M X 10 MTR ROLL Price: 144 Qty: 112 Unit: ROLL Supplier Reference: MR MD For Project Management Services EST PO Reference: PUR-ORD-2026-00049</v>
      </c>
      <c r="M24" s="1" t="s">
        <v>19</v>
      </c>
    </row>
    <row r="25" spans="1:14" s="1" customFormat="1" ht="30" x14ac:dyDescent="0.25">
      <c r="A25" s="12" t="s">
        <v>101</v>
      </c>
      <c r="B25" s="1" t="s">
        <v>102</v>
      </c>
      <c r="C25" s="1" t="s">
        <v>103</v>
      </c>
      <c r="D25" s="1" t="s">
        <v>103</v>
      </c>
      <c r="E25" s="1" t="s">
        <v>15</v>
      </c>
      <c r="F25" s="1" t="s">
        <v>104</v>
      </c>
      <c r="G25" s="1" t="s">
        <v>105</v>
      </c>
      <c r="H25" s="13">
        <v>20</v>
      </c>
      <c r="I25" s="13">
        <v>20</v>
      </c>
      <c r="J25" s="13">
        <v>0</v>
      </c>
      <c r="K25" s="13" t="s">
        <v>18</v>
      </c>
      <c r="L25" s="14" t="str" cm="1">
        <f t="array" ref="L2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Data'!$J$2:$J$10000=D25)*
(('Master Data'!$K$2:$K$10000-'Master Data'!$Q$2:$Q$10000)&lt;&gt;0)
)
),
"Not Found")</f>
        <v>Name: BETOFLEX PU-POLY BETOL 220 KG Price: 1892 Qty: 20 Unit: Kg Supplier Reference: MR MD For Project Management Services EST PO Reference: PUR-ORD-2026-00049</v>
      </c>
      <c r="M25" s="1" t="s">
        <v>19</v>
      </c>
    </row>
    <row r="26" spans="1:14" s="1" customFormat="1" ht="30" x14ac:dyDescent="0.25">
      <c r="A26" s="12"/>
      <c r="B26" s="1" t="s">
        <v>102</v>
      </c>
      <c r="C26" s="1" t="s">
        <v>106</v>
      </c>
      <c r="D26" s="1" t="s">
        <v>106</v>
      </c>
      <c r="E26" s="1" t="s">
        <v>15</v>
      </c>
      <c r="F26" s="1" t="s">
        <v>107</v>
      </c>
      <c r="G26" s="1" t="s">
        <v>108</v>
      </c>
      <c r="H26" s="13">
        <v>20</v>
      </c>
      <c r="I26" s="13">
        <v>20</v>
      </c>
      <c r="J26" s="13">
        <v>0</v>
      </c>
      <c r="K26" s="13" t="s">
        <v>18</v>
      </c>
      <c r="L26" s="14" t="str" cm="1">
        <f t="array" ref="L2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Data'!$J$2:$J$10000=D26)*
(('Master Data'!$K$2:$K$10000-'Master Data'!$Q$2:$Q$10000)&lt;&gt;0)
)
),
"Not Found")</f>
        <v>Name: BETOFLEX PU-ISO BETOL 250 KG Price: 2150 Qty: 20 Unit: Kg Supplier Reference: MR MD For Project Management Services EST PO Reference: PUR-ORD-2026-00049</v>
      </c>
      <c r="M26" s="1" t="s">
        <v>19</v>
      </c>
    </row>
    <row r="27" spans="1:14" s="1" customFormat="1" ht="30" x14ac:dyDescent="0.25">
      <c r="A27" s="12"/>
      <c r="B27" s="1" t="s">
        <v>102</v>
      </c>
      <c r="C27" s="1" t="s">
        <v>109</v>
      </c>
      <c r="D27" s="1" t="s">
        <v>109</v>
      </c>
      <c r="E27" s="1" t="s">
        <v>15</v>
      </c>
      <c r="F27" s="1" t="s">
        <v>110</v>
      </c>
      <c r="G27" s="1" t="s">
        <v>111</v>
      </c>
      <c r="H27" s="13">
        <v>460</v>
      </c>
      <c r="I27" s="13">
        <v>460</v>
      </c>
      <c r="J27" s="13">
        <v>0</v>
      </c>
      <c r="K27" s="13" t="s">
        <v>18</v>
      </c>
      <c r="L27" s="14" t="str" cm="1">
        <f t="array" ref="L2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Data'!$J$2:$J$10000=D27)*
(('Master Data'!$K$2:$K$10000-'Master Data'!$Q$2:$Q$10000)&lt;&gt;0)
)
),
"Not Found")</f>
        <v>Name: BETOFLEX 4P Price: 110 Qty: 460 Unit: M2 Supplier Reference: MR MD For Project Management Services EST PO Reference: PUR-ORD-2026-00049</v>
      </c>
      <c r="M27" s="1" t="s">
        <v>19</v>
      </c>
    </row>
    <row r="28" spans="1:14" s="1" customFormat="1" ht="30" x14ac:dyDescent="0.25">
      <c r="A28" s="12" t="s">
        <v>112</v>
      </c>
      <c r="B28" s="1" t="s">
        <v>113</v>
      </c>
      <c r="C28" s="1" t="s">
        <v>114</v>
      </c>
      <c r="D28" s="1" t="s">
        <v>114</v>
      </c>
      <c r="E28" s="1" t="s">
        <v>15</v>
      </c>
      <c r="F28" s="1" t="s">
        <v>115</v>
      </c>
      <c r="G28" s="1" t="s">
        <v>116</v>
      </c>
      <c r="H28" s="13">
        <v>2</v>
      </c>
      <c r="I28" s="13">
        <v>2</v>
      </c>
      <c r="J28" s="13">
        <v>0</v>
      </c>
      <c r="K28" s="13" t="s">
        <v>18</v>
      </c>
      <c r="L28" s="14" t="str" cm="1">
        <f t="array" ref="L2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Data'!$J$2:$J$10000=D28)*
(('Master Data'!$K$2:$K$10000-'Master Data'!$Q$2:$Q$10000)&lt;&gt;0)
)
),
"Not Found")</f>
        <v>Name: PRINTER Price: 420 Qty: 1 Unit: Months Supplier Reference: GREEN FUSION COMPUTER TRADING LLC PO Reference: MRG-LPO-00197
Name: PRINTER Price: 350 Qty: 1 Unit: Months Supplier Reference: MR MD For Project Management Services EST PO Reference: PUR-ORD-2026-00049</v>
      </c>
      <c r="M28" s="1" t="s">
        <v>19</v>
      </c>
    </row>
    <row r="29" spans="1:14" s="1" customFormat="1" ht="45" x14ac:dyDescent="0.25">
      <c r="A29" s="12" t="s">
        <v>117</v>
      </c>
      <c r="B29" s="1" t="s">
        <v>118</v>
      </c>
      <c r="C29" s="1" t="s">
        <v>119</v>
      </c>
      <c r="D29" s="1" t="s">
        <v>119</v>
      </c>
      <c r="E29" s="1" t="s">
        <v>15</v>
      </c>
      <c r="F29" s="1" t="s">
        <v>120</v>
      </c>
      <c r="G29" s="1" t="s">
        <v>121</v>
      </c>
      <c r="H29" s="13">
        <v>18</v>
      </c>
      <c r="I29" s="13">
        <v>18</v>
      </c>
      <c r="J29" s="13">
        <v>0</v>
      </c>
      <c r="K29" s="13" t="s">
        <v>18</v>
      </c>
      <c r="L29" s="14" t="str" cm="1">
        <f t="array" ref="L2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Data'!$J$2:$J$10000=D29)*
(('Master Data'!$K$2:$K$10000-'Master Data'!$Q$2:$Q$10000)&lt;&gt;0)
)
),
"Not Found")</f>
        <v>Name: NW 120 GSM PET -WHITE (3 MTR *100 MTR) Price: 305 Qty: 1 Unit: M2 Supplier Reference: GS ENTERPRISES FZ LLC PO Reference: MRG-LPO-00056
Name: NW 120 GSM PET -WHITE (3 MTR *100 MTR) Price: 335 Qty: 10 Unit: M2 Supplier Reference: GS ENTERPRISES FZ LLC PO Reference: MRG-LPO-00277
Name: NW 120 GSM PET -WHITE (3 MTR *100 MTR) Price: 335 Qty: 7 Unit: M2 Supplier Reference: GS ENTERPRISES FZ LLC PO Reference: MRG-LPO-00307-1</v>
      </c>
      <c r="M29" s="1" t="s">
        <v>19</v>
      </c>
    </row>
    <row r="30" spans="1:14" s="1" customFormat="1" ht="30" x14ac:dyDescent="0.25">
      <c r="A30" s="12"/>
      <c r="B30" s="1" t="s">
        <v>118</v>
      </c>
      <c r="C30" s="1" t="s">
        <v>122</v>
      </c>
      <c r="D30" s="1" t="s">
        <v>122</v>
      </c>
      <c r="E30" s="1" t="s">
        <v>15</v>
      </c>
      <c r="F30" s="1" t="s">
        <v>123</v>
      </c>
      <c r="G30" s="1" t="s">
        <v>124</v>
      </c>
      <c r="H30" s="13">
        <v>80</v>
      </c>
      <c r="I30" s="13">
        <v>80</v>
      </c>
      <c r="J30" s="13">
        <v>0</v>
      </c>
      <c r="K30" s="13" t="s">
        <v>18</v>
      </c>
      <c r="L30" s="14" t="str" cm="1">
        <f t="array" ref="L3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Data'!$J$2:$J$10000=D30)*
(('Master Data'!$K$2:$K$10000-'Master Data'!$Q$2:$Q$10000)&lt;&gt;0)
)
),
"Not Found")</f>
        <v>Name: NW 250 GSM PET -WHITE (3 MTR *100 MTR) Price: 745 Qty: 50 Unit: M2 Supplier Reference: MR MD For Project Management Services EST PO Reference: PUR-ORD-2026-00049
Name: NW 250 GSM PET -WHITE (3 MTR *100 MTR) Price: 560 Qty: 30 Unit: M2 Supplier Reference: MR MD For Project Management Services EST PO Reference: PUR-ORD-2026-00049</v>
      </c>
      <c r="M30" s="1" t="s">
        <v>19</v>
      </c>
    </row>
    <row r="31" spans="1:14" s="1" customFormat="1" x14ac:dyDescent="0.25">
      <c r="A31" s="12" t="s">
        <v>125</v>
      </c>
      <c r="B31" s="1" t="s">
        <v>126</v>
      </c>
      <c r="C31" s="1" t="s">
        <v>127</v>
      </c>
      <c r="D31" s="1" t="s">
        <v>127</v>
      </c>
      <c r="E31" s="1" t="s">
        <v>15</v>
      </c>
      <c r="F31" s="1" t="s">
        <v>128</v>
      </c>
      <c r="G31" s="1" t="s">
        <v>129</v>
      </c>
      <c r="H31" s="13">
        <v>2640</v>
      </c>
      <c r="I31" s="13">
        <v>12</v>
      </c>
      <c r="J31" s="13">
        <v>-2628</v>
      </c>
      <c r="K31" s="13" t="s">
        <v>18</v>
      </c>
      <c r="L31" s="14" t="str" cm="1">
        <f t="array" ref="L3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Data'!$J$2:$J$10000=D31)*
(('Master Data'!$K$2:$K$10000-'Master Data'!$Q$2:$Q$10000)&lt;&gt;0)
)
),
"Not Found")</f>
        <v>Name: HUNSTMAN SP 45 (220KG) DRUM Price: 10.5 Qty: 2640 Unit: Kg Supplier Reference: HUNTSMAN UAE FZE PO Reference: MRG-LPO-00057</v>
      </c>
      <c r="M31" s="1" t="s">
        <v>19</v>
      </c>
    </row>
    <row r="32" spans="1:14" s="1" customFormat="1" x14ac:dyDescent="0.25">
      <c r="A32" s="12"/>
      <c r="B32" s="1" t="s">
        <v>126</v>
      </c>
      <c r="C32" s="1" t="s">
        <v>130</v>
      </c>
      <c r="D32" s="1" t="s">
        <v>130</v>
      </c>
      <c r="E32" s="1" t="s">
        <v>15</v>
      </c>
      <c r="F32" s="1" t="s">
        <v>131</v>
      </c>
      <c r="G32" s="1" t="s">
        <v>132</v>
      </c>
      <c r="H32" s="13">
        <v>3000</v>
      </c>
      <c r="I32" s="13">
        <v>12</v>
      </c>
      <c r="J32" s="13">
        <v>-2988</v>
      </c>
      <c r="K32" s="13" t="s">
        <v>18</v>
      </c>
      <c r="L32" s="14" t="str" cm="1">
        <f t="array" ref="L3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Data'!$J$2:$J$10000=D32)*
(('Master Data'!$K$2:$K$10000-'Master Data'!$Q$2:$Q$10000)&lt;&gt;0)
)
),
"Not Found")</f>
        <v>Name: HUNSTMAN 200 (250KG) DRUM Price: 10.5 Qty: 3000 Unit: Kg Supplier Reference: MR MD For Project Management Services EST PO Reference: PUR-ORD-2026-00049</v>
      </c>
      <c r="M32" s="1" t="s">
        <v>19</v>
      </c>
    </row>
    <row r="33" spans="1:13" s="1" customFormat="1" ht="30" x14ac:dyDescent="0.25">
      <c r="A33" s="12" t="s">
        <v>133</v>
      </c>
      <c r="B33" s="1" t="s">
        <v>134</v>
      </c>
      <c r="C33" s="1" t="s">
        <v>135</v>
      </c>
      <c r="D33" s="1" t="s">
        <v>135</v>
      </c>
      <c r="E33" s="1" t="s">
        <v>15</v>
      </c>
      <c r="F33" s="1" t="s">
        <v>136</v>
      </c>
      <c r="G33" s="1" t="s">
        <v>137</v>
      </c>
      <c r="H33" s="13">
        <v>1</v>
      </c>
      <c r="I33" s="13">
        <v>1</v>
      </c>
      <c r="J33" s="13">
        <v>0</v>
      </c>
      <c r="K33" s="13" t="s">
        <v>138</v>
      </c>
      <c r="L33" s="14" t="str" cm="1">
        <f t="array" ref="L3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Data'!$J$2:$J$10000=D33)*
(('Master Data'!$K$2:$K$10000-'Master Data'!$Q$2:$Q$10000)&lt;&gt;0)
)
),
"Not Found")</f>
        <v>Name: Box File -PVC (Green) Price: 235 Qty: 1 Unit: CTN Supplier Reference: IRSHAD KASHIM AND MOHAMMED AMEER STATIONERY  LLC PO Reference: MRG-LPO-00607</v>
      </c>
      <c r="M33" s="1" t="s">
        <v>19</v>
      </c>
    </row>
    <row r="34" spans="1:13" s="1" customFormat="1" ht="30" x14ac:dyDescent="0.25">
      <c r="A34" s="12"/>
      <c r="B34" s="1" t="s">
        <v>134</v>
      </c>
      <c r="C34" s="1" t="s">
        <v>139</v>
      </c>
      <c r="D34" s="1" t="s">
        <v>140</v>
      </c>
      <c r="E34" s="1" t="s">
        <v>15</v>
      </c>
      <c r="F34" s="1" t="s">
        <v>141</v>
      </c>
      <c r="G34" s="1" t="s">
        <v>139</v>
      </c>
      <c r="H34" s="13">
        <v>1</v>
      </c>
      <c r="I34" s="13">
        <v>1</v>
      </c>
      <c r="J34" s="13">
        <v>0</v>
      </c>
      <c r="K34" s="13" t="s">
        <v>18</v>
      </c>
      <c r="L34" s="14" t="str" cm="1">
        <f t="array" ref="L3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Data'!$J$2:$J$10000=D34)*
(('Master Data'!$K$2:$K$10000-'Master Data'!$Q$2:$Q$10000)&lt;&gt;0)
)
),
"Not Found")</f>
        <v>Name: WHITE BOARD MARKER  Price: 15 Qty: 1 Unit: Nos Supplier Reference: MR MD For Project Management Services EST PO Reference: PUR-ORD-2026-00049</v>
      </c>
      <c r="M34" s="1" t="s">
        <v>19</v>
      </c>
    </row>
    <row r="35" spans="1:13" s="1" customFormat="1" ht="30" x14ac:dyDescent="0.25">
      <c r="A35" s="12"/>
      <c r="B35" s="1" t="s">
        <v>134</v>
      </c>
      <c r="C35" s="1" t="s">
        <v>142</v>
      </c>
      <c r="D35" s="1" t="s">
        <v>142</v>
      </c>
      <c r="E35" s="1" t="s">
        <v>15</v>
      </c>
      <c r="F35" s="1" t="s">
        <v>142</v>
      </c>
      <c r="G35" s="1" t="s">
        <v>142</v>
      </c>
      <c r="H35" s="13">
        <v>1</v>
      </c>
      <c r="I35" s="13">
        <v>1</v>
      </c>
      <c r="J35" s="13">
        <v>0</v>
      </c>
      <c r="K35" s="13" t="s">
        <v>143</v>
      </c>
      <c r="L35" s="14" t="str" cm="1">
        <f t="array" ref="L3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Data'!$J$2:$J$10000=D35)*
(('Master Data'!$K$2:$K$10000-'Master Data'!$Q$2:$Q$10000)&lt;&gt;0)
)
),
"Not Found")</f>
        <v>Name: Highlighter Assorted Color(5 Pcs/Pkt) Price: 18 Qty: 1 Unit: PKT Supplier Reference: MR MD For Project Management Services EST PO Reference: PUR-ORD-2026-00049</v>
      </c>
      <c r="M35" s="1" t="s">
        <v>19</v>
      </c>
    </row>
    <row r="36" spans="1:13" s="1" customFormat="1" x14ac:dyDescent="0.25">
      <c r="A36" s="12"/>
      <c r="B36" s="1" t="s">
        <v>134</v>
      </c>
      <c r="C36" s="1" t="s">
        <v>144</v>
      </c>
      <c r="D36" s="1" t="s">
        <v>145</v>
      </c>
      <c r="E36" s="1" t="s">
        <v>15</v>
      </c>
      <c r="F36" s="1" t="s">
        <v>146</v>
      </c>
      <c r="G36" s="1" t="s">
        <v>146</v>
      </c>
      <c r="H36" s="13">
        <v>2</v>
      </c>
      <c r="I36" s="13">
        <v>2</v>
      </c>
      <c r="J36" s="13">
        <v>0</v>
      </c>
      <c r="K36" s="13" t="s">
        <v>147</v>
      </c>
      <c r="L36" s="14" t="str" cm="1">
        <f t="array" ref="L3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Data'!$J$2:$J$10000=D36)*
(('Master Data'!$K$2:$K$10000-'Master Data'!$Q$2:$Q$10000)&lt;&gt;0)
)
),
"Not Found")</f>
        <v>Name: STAPLER Price: 12 Qty: 2 Unit: Nos Supplier Reference: MR MD For Project Management Services EST PO Reference: PUR-ORD-2026-00049</v>
      </c>
      <c r="M36" s="1" t="s">
        <v>19</v>
      </c>
    </row>
    <row r="37" spans="1:13" s="1" customFormat="1" x14ac:dyDescent="0.25">
      <c r="A37" s="12"/>
      <c r="B37" s="1" t="s">
        <v>134</v>
      </c>
      <c r="C37" s="1" t="s">
        <v>148</v>
      </c>
      <c r="D37" s="1" t="s">
        <v>149</v>
      </c>
      <c r="E37" s="1" t="s">
        <v>15</v>
      </c>
      <c r="F37" s="1" t="s">
        <v>150</v>
      </c>
      <c r="G37" s="1" t="s">
        <v>151</v>
      </c>
      <c r="H37" s="13">
        <v>2</v>
      </c>
      <c r="I37" s="13">
        <v>2</v>
      </c>
      <c r="J37" s="13">
        <v>0</v>
      </c>
      <c r="K37" s="13" t="s">
        <v>18</v>
      </c>
      <c r="L37" s="14" t="str" cm="1">
        <f t="array" ref="L3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Data'!$J$2:$J$10000=D37)*
(('Master Data'!$K$2:$K$10000-'Master Data'!$Q$2:$Q$10000)&lt;&gt;0)
)
),
"Not Found")</f>
        <v>Name: PEN KRISH  Price: 42 Qty: 2 Unit: PKT Supplier Reference: MR MD For Project Management Services EST PO Reference: PUR-ORD-2026-00049</v>
      </c>
      <c r="M37" s="1" t="s">
        <v>19</v>
      </c>
    </row>
    <row r="38" spans="1:13" s="1" customFormat="1" ht="30" x14ac:dyDescent="0.25">
      <c r="A38" s="12"/>
      <c r="B38" s="1" t="s">
        <v>134</v>
      </c>
      <c r="C38" s="1" t="s">
        <v>152</v>
      </c>
      <c r="D38" s="1" t="s">
        <v>153</v>
      </c>
      <c r="E38" s="1" t="s">
        <v>15</v>
      </c>
      <c r="F38" s="1" t="s">
        <v>154</v>
      </c>
      <c r="G38" s="1" t="s">
        <v>155</v>
      </c>
      <c r="H38" s="13">
        <v>2</v>
      </c>
      <c r="I38" s="13">
        <v>2</v>
      </c>
      <c r="J38" s="13">
        <v>0</v>
      </c>
      <c r="K38" s="13" t="s">
        <v>18</v>
      </c>
      <c r="L38" s="14" t="str" cm="1">
        <f t="array" ref="L3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Data'!$J$2:$J$10000=D38)*
(('Master Data'!$K$2:$K$10000-'Master Data'!$Q$2:$Q$10000)&lt;&gt;0)
)
),
"Not Found")</f>
        <v>Name: PAPER CLIP  Price: 20 Qty: 1 Unit: Nos Supplier Reference: MR MD For Project Management Services EST PO Reference: PUR-ORD-2026-00049
Name: PAPER CLIP  Price: 55 Qty: 1 Unit: Nos Supplier Reference: MR MD For Project Management Services EST PO Reference: PUR-ORD-2026-00049</v>
      </c>
      <c r="M38" s="1" t="s">
        <v>19</v>
      </c>
    </row>
    <row r="39" spans="1:13" s="1" customFormat="1" x14ac:dyDescent="0.25">
      <c r="A39" s="12"/>
      <c r="B39" s="1" t="s">
        <v>134</v>
      </c>
      <c r="C39" s="1" t="s">
        <v>156</v>
      </c>
      <c r="D39" s="1" t="s">
        <v>157</v>
      </c>
      <c r="E39" s="1" t="s">
        <v>15</v>
      </c>
      <c r="F39" s="1" t="s">
        <v>156</v>
      </c>
      <c r="G39" s="1" t="s">
        <v>157</v>
      </c>
      <c r="H39" s="13">
        <v>10</v>
      </c>
      <c r="I39" s="13">
        <v>10</v>
      </c>
      <c r="J39" s="13">
        <v>0</v>
      </c>
      <c r="K39" s="13" t="s">
        <v>18</v>
      </c>
      <c r="L39" s="14" t="str" cm="1">
        <f t="array" ref="L3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Data'!$J$2:$J$10000=D39)*
(('Master Data'!$K$2:$K$10000-'Master Data'!$Q$2:$Q$10000)&lt;&gt;0)
)
),
"Not Found")</f>
        <v>Name: ERASER  Price: 2 Qty: 10 Unit: Nos Supplier Reference: MR MD For Project Management Services EST PO Reference: PUR-ORD-2026-00049</v>
      </c>
      <c r="M39" s="1" t="s">
        <v>19</v>
      </c>
    </row>
    <row r="40" spans="1:13" s="1" customFormat="1" x14ac:dyDescent="0.25">
      <c r="A40" s="12"/>
      <c r="B40" s="1" t="s">
        <v>134</v>
      </c>
      <c r="C40" s="1" t="s">
        <v>158</v>
      </c>
      <c r="D40" s="1" t="s">
        <v>158</v>
      </c>
      <c r="E40" s="1" t="s">
        <v>15</v>
      </c>
      <c r="F40" s="1" t="s">
        <v>159</v>
      </c>
      <c r="G40" s="1" t="s">
        <v>160</v>
      </c>
      <c r="H40" s="13">
        <v>3</v>
      </c>
      <c r="I40" s="13">
        <v>3</v>
      </c>
      <c r="J40" s="13">
        <v>0</v>
      </c>
      <c r="K40" s="13" t="s">
        <v>18</v>
      </c>
      <c r="L40" s="14" t="str" cm="1">
        <f t="array" ref="L4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Data'!$J$2:$J$10000=D40)*
(('Master Data'!$K$2:$K$10000-'Master Data'!$Q$2:$Q$10000)&lt;&gt;0)
)
),
"Not Found")</f>
        <v>Name: Divider 1-12 Price: 120 Qty: 3 Unit: Box Supplier Reference: MR MD For Project Management Services EST PO Reference: PUR-ORD-2026-00049</v>
      </c>
      <c r="M40" s="1" t="s">
        <v>19</v>
      </c>
    </row>
    <row r="41" spans="1:13" s="1" customFormat="1" x14ac:dyDescent="0.25">
      <c r="A41" s="12"/>
      <c r="B41" s="1" t="s">
        <v>134</v>
      </c>
      <c r="C41" s="1" t="s">
        <v>161</v>
      </c>
      <c r="D41" s="1" t="s">
        <v>161</v>
      </c>
      <c r="E41" s="1" t="s">
        <v>15</v>
      </c>
      <c r="F41" s="1" t="s">
        <v>162</v>
      </c>
      <c r="G41" s="1" t="s">
        <v>163</v>
      </c>
      <c r="H41" s="13">
        <v>4</v>
      </c>
      <c r="I41" s="13">
        <v>4</v>
      </c>
      <c r="J41" s="13">
        <v>0</v>
      </c>
      <c r="K41" s="13" t="s">
        <v>18</v>
      </c>
      <c r="L41" s="14" t="str" cm="1">
        <f t="array" ref="L4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Data'!$J$2:$J$10000=D41)*
(('Master Data'!$K$2:$K$10000-'Master Data'!$Q$2:$Q$10000)&lt;&gt;0)
)
),
"Not Found")</f>
        <v>Name: Divider 1-15 Price: 106.25 Qty: 4 Unit: Box Supplier Reference: MR MD For Project Management Services EST PO Reference: PUR-ORD-2026-00049</v>
      </c>
      <c r="M41" s="1" t="s">
        <v>19</v>
      </c>
    </row>
    <row r="42" spans="1:13" s="1" customFormat="1" ht="30" x14ac:dyDescent="0.25">
      <c r="A42" s="12"/>
      <c r="B42" s="1" t="s">
        <v>134</v>
      </c>
      <c r="C42" s="1" t="s">
        <v>164</v>
      </c>
      <c r="D42" s="1" t="s">
        <v>164</v>
      </c>
      <c r="E42" s="1" t="s">
        <v>15</v>
      </c>
      <c r="F42" s="1" t="s">
        <v>165</v>
      </c>
      <c r="G42" s="1" t="s">
        <v>166</v>
      </c>
      <c r="H42" s="13">
        <v>8</v>
      </c>
      <c r="I42" s="13">
        <v>8</v>
      </c>
      <c r="J42" s="13">
        <v>0</v>
      </c>
      <c r="K42" s="13" t="s">
        <v>147</v>
      </c>
      <c r="L42" s="14" t="str" cm="1">
        <f t="array" ref="L4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Data'!$J$2:$J$10000=D42)*
(('Master Data'!$K$2:$K$10000-'Master Data'!$Q$2:$Q$10000)&lt;&gt;0)
)
),
"Not Found")</f>
        <v>Name: A4 Paper80 GSM (5 Ream/Box) (2500 Sheets) Price: 72 Qty: 8 Unit: Box Supplier Reference: MR MD For Project Management Services EST PO Reference: PUR-ORD-2026-00049</v>
      </c>
      <c r="M42" s="1" t="s">
        <v>19</v>
      </c>
    </row>
    <row r="43" spans="1:13" s="1" customFormat="1" x14ac:dyDescent="0.25">
      <c r="A43" s="12"/>
      <c r="B43" s="1" t="s">
        <v>134</v>
      </c>
      <c r="C43" s="1" t="s">
        <v>167</v>
      </c>
      <c r="D43" s="1" t="s">
        <v>167</v>
      </c>
      <c r="E43" s="1" t="s">
        <v>15</v>
      </c>
      <c r="F43" s="1" t="s">
        <v>167</v>
      </c>
      <c r="G43" s="1" t="s">
        <v>167</v>
      </c>
      <c r="H43" s="13">
        <v>3</v>
      </c>
      <c r="I43" s="13">
        <v>3</v>
      </c>
      <c r="J43" s="13">
        <v>0</v>
      </c>
      <c r="K43" s="13" t="s">
        <v>18</v>
      </c>
      <c r="L43" s="14" t="str" cm="1">
        <f t="array" ref="L4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Data'!$J$2:$J$10000=D43)*
(('Master Data'!$K$2:$K$10000-'Master Data'!$Q$2:$Q$10000)&lt;&gt;0)
)
),
"Not Found")</f>
        <v>Name: PUNCH Price: 13 Qty: 3 Unit: Nos Supplier Reference: MR MD For Project Management Services EST PO Reference: PUR-ORD-2026-00049</v>
      </c>
      <c r="M43" s="1" t="s">
        <v>19</v>
      </c>
    </row>
    <row r="44" spans="1:13" s="1" customFormat="1" x14ac:dyDescent="0.25">
      <c r="A44" s="12"/>
      <c r="B44" s="1" t="s">
        <v>134</v>
      </c>
      <c r="C44" s="1" t="s">
        <v>168</v>
      </c>
      <c r="D44" s="1" t="s">
        <v>168</v>
      </c>
      <c r="E44" s="1" t="s">
        <v>15</v>
      </c>
      <c r="F44" s="1" t="s">
        <v>169</v>
      </c>
      <c r="G44" s="1" t="s">
        <v>169</v>
      </c>
      <c r="H44" s="13">
        <v>5</v>
      </c>
      <c r="I44" s="13">
        <v>5</v>
      </c>
      <c r="J44" s="13">
        <v>0</v>
      </c>
      <c r="K44" s="13" t="s">
        <v>18</v>
      </c>
      <c r="L44" s="14" t="str" cm="1">
        <f t="array" ref="L4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Data'!$J$2:$J$10000=D44)*
(('Master Data'!$K$2:$K$10000-'Master Data'!$Q$2:$Q$10000)&lt;&gt;0)
)
),
"Not Found")</f>
        <v>Name: CLOTH SCISSOR Price: 7.5 Qty: 5 Unit: Nos Supplier Reference: MR MD For Project Management Services EST PO Reference: PUR-ORD-2026-00049</v>
      </c>
      <c r="M44" s="1" t="s">
        <v>19</v>
      </c>
    </row>
    <row r="45" spans="1:13" s="1" customFormat="1" ht="30" x14ac:dyDescent="0.25">
      <c r="A45" s="12"/>
      <c r="B45" s="1" t="s">
        <v>134</v>
      </c>
      <c r="C45" s="1" t="s">
        <v>170</v>
      </c>
      <c r="D45" s="1" t="s">
        <v>170</v>
      </c>
      <c r="E45" s="1" t="s">
        <v>15</v>
      </c>
      <c r="F45" s="1" t="s">
        <v>171</v>
      </c>
      <c r="G45" s="1" t="s">
        <v>172</v>
      </c>
      <c r="H45" s="13">
        <v>2</v>
      </c>
      <c r="I45" s="13">
        <v>2</v>
      </c>
      <c r="J45" s="13">
        <v>0</v>
      </c>
      <c r="K45" s="13" t="s">
        <v>147</v>
      </c>
      <c r="L45" s="14" t="str" cm="1">
        <f t="array" ref="L4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Data'!$J$2:$J$10000=D45)*
(('Master Data'!$K$2:$K$10000-'Master Data'!$Q$2:$Q$10000)&lt;&gt;0)
)
),
"Not Found")</f>
        <v>Name: Metal Fastner (50pcs/pkt) Price: 6.5 Qty: 2 Unit: Box Supplier Reference: MR MD For Project Management Services EST PO Reference: PUR-ORD-2026-00049</v>
      </c>
      <c r="M45" s="1" t="s">
        <v>19</v>
      </c>
    </row>
    <row r="46" spans="1:13" s="1" customFormat="1" x14ac:dyDescent="0.25">
      <c r="A46" s="12"/>
      <c r="B46" s="1" t="s">
        <v>134</v>
      </c>
      <c r="C46" s="1" t="s">
        <v>173</v>
      </c>
      <c r="D46" s="1" t="s">
        <v>174</v>
      </c>
      <c r="E46" s="1" t="s">
        <v>15</v>
      </c>
      <c r="F46" s="1" t="s">
        <v>175</v>
      </c>
      <c r="G46" s="1" t="s">
        <v>176</v>
      </c>
      <c r="H46" s="13">
        <v>3</v>
      </c>
      <c r="I46" s="13">
        <v>3</v>
      </c>
      <c r="J46" s="13">
        <v>0</v>
      </c>
      <c r="K46" s="13" t="s">
        <v>147</v>
      </c>
      <c r="L46" s="14" t="str" cm="1">
        <f t="array" ref="L4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Data'!$J$2:$J$10000=D46)*
(('Master Data'!$K$2:$K$10000-'Master Data'!$Q$2:$Q$10000)&lt;&gt;0)
)
),
"Not Found")</f>
        <v>Name: PAPER A3  Price: 165 Qty: 3 Unit: Box Supplier Reference: MR MD For Project Management Services EST PO Reference: PUR-ORD-2026-00049</v>
      </c>
      <c r="M46" s="1" t="s">
        <v>19</v>
      </c>
    </row>
    <row r="47" spans="1:13" s="1" customFormat="1" ht="30" x14ac:dyDescent="0.25">
      <c r="A47" s="12"/>
      <c r="B47" s="1" t="s">
        <v>134</v>
      </c>
      <c r="C47" s="1" t="s">
        <v>177</v>
      </c>
      <c r="D47" s="1" t="s">
        <v>177</v>
      </c>
      <c r="E47" s="1" t="s">
        <v>15</v>
      </c>
      <c r="F47" s="1" t="s">
        <v>178</v>
      </c>
      <c r="G47" s="1" t="s">
        <v>179</v>
      </c>
      <c r="H47" s="13">
        <v>5</v>
      </c>
      <c r="I47" s="13">
        <v>5</v>
      </c>
      <c r="J47" s="13">
        <v>0</v>
      </c>
      <c r="K47" s="13" t="s">
        <v>18</v>
      </c>
      <c r="L47" s="14" t="str" cm="1">
        <f t="array" ref="L4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Data'!$J$2:$J$10000=D47)*
(('Master Data'!$K$2:$K$10000-'Master Data'!$Q$2:$Q$10000)&lt;&gt;0)
)
),
"Not Found")</f>
        <v>Name: FIS note book / diary A5 Price: 18 Qty: 5 Unit: Nos Supplier Reference: MR MD For Project Management Services EST PO Reference: PUR-ORD-2026-00049</v>
      </c>
      <c r="M47" s="1" t="s">
        <v>19</v>
      </c>
    </row>
    <row r="48" spans="1:13" s="1" customFormat="1" ht="30" x14ac:dyDescent="0.25">
      <c r="A48" s="12" t="s">
        <v>180</v>
      </c>
      <c r="B48" s="1" t="s">
        <v>181</v>
      </c>
      <c r="C48" s="1" t="s">
        <v>182</v>
      </c>
      <c r="D48" s="1" t="s">
        <v>182</v>
      </c>
      <c r="E48" s="1" t="s">
        <v>15</v>
      </c>
      <c r="F48" s="1" t="s">
        <v>182</v>
      </c>
      <c r="G48" s="1" t="s">
        <v>182</v>
      </c>
      <c r="H48" s="13">
        <v>60</v>
      </c>
      <c r="I48" s="13">
        <v>30</v>
      </c>
      <c r="J48" s="13">
        <v>-30</v>
      </c>
      <c r="K48" s="13" t="s">
        <v>18</v>
      </c>
      <c r="L48" s="14" t="str" cm="1">
        <f t="array" ref="L4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Data'!$J$2:$J$10000=D48)*
(('Master Data'!$K$2:$K$10000-'Master Data'!$Q$2:$Q$10000)&lt;&gt;0)
)
),
"Not Found")</f>
        <v>Name: FIRE BLANKET Price: 16.5 Qty: 30 Unit: Nos Supplier Reference: MR MD For Project Management Services EST PO Reference: PUR-ORD-2026-00049
Name: FIRE BLANKET Price: 6 Qty: 30 Unit: Nos Supplier Reference: MR MD For Project Management Services EST PO Reference: PUR-ORD-2026-00049</v>
      </c>
      <c r="M48" s="1" t="s">
        <v>19</v>
      </c>
    </row>
    <row r="49" spans="1:13" s="1" customFormat="1" x14ac:dyDescent="0.25">
      <c r="A49" s="12" t="s">
        <v>183</v>
      </c>
      <c r="B49" s="1" t="s">
        <v>184</v>
      </c>
      <c r="C49" s="1" t="s">
        <v>185</v>
      </c>
      <c r="D49" s="1" t="s">
        <v>185</v>
      </c>
      <c r="E49" s="1" t="s">
        <v>15</v>
      </c>
      <c r="F49" s="1" t="s">
        <v>186</v>
      </c>
      <c r="G49" s="1" t="s">
        <v>187</v>
      </c>
      <c r="H49" s="13">
        <v>100</v>
      </c>
      <c r="I49" s="13">
        <v>100</v>
      </c>
      <c r="J49" s="13">
        <v>0</v>
      </c>
      <c r="K49" s="13" t="s">
        <v>18</v>
      </c>
      <c r="L49" s="14" t="str" cm="1">
        <f t="array" ref="L4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Data'!$J$2:$J$10000=D49)*
(('Master Data'!$K$2:$K$10000-'Master Data'!$Q$2:$Q$10000)&lt;&gt;0)
)
),
"Not Found")</f>
        <v>Name: JK PROFIX -WPC 11 Price: 165 Qty: 100 Unit: KIT Supplier Reference: JK CEMENT WORK  ( FUJAIRAH ) FZC PO Reference: MRG-LPO-00052</v>
      </c>
      <c r="M49" s="1" t="s">
        <v>19</v>
      </c>
    </row>
    <row r="50" spans="1:13" s="1" customFormat="1" ht="30" x14ac:dyDescent="0.25">
      <c r="A50" s="12"/>
      <c r="B50" s="1" t="s">
        <v>184</v>
      </c>
      <c r="C50" s="1" t="s">
        <v>188</v>
      </c>
      <c r="D50" s="1" t="s">
        <v>188</v>
      </c>
      <c r="E50" s="1" t="s">
        <v>15</v>
      </c>
      <c r="F50" s="1" t="s">
        <v>189</v>
      </c>
      <c r="G50" s="1" t="s">
        <v>190</v>
      </c>
      <c r="H50" s="13">
        <v>10</v>
      </c>
      <c r="I50" s="13">
        <v>10</v>
      </c>
      <c r="J50" s="13">
        <v>0</v>
      </c>
      <c r="K50" s="13" t="s">
        <v>18</v>
      </c>
      <c r="L50" s="14" t="str" cm="1">
        <f t="array" ref="L5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Data'!$J$2:$J$10000=D50)*
(('Master Data'!$K$2:$K$10000-'Master Data'!$Q$2:$Q$10000)&lt;&gt;0)
)
),
"Not Found")</f>
        <v>Name: JK PROFIX PU SPRAY 45-A (220KG/DRUM) Price: 2420 Qty: 10 Unit: Kg Supplier Reference: JK CEMENT WORK  ( FUJAIRAH ) FZC PO Reference: MRG-LPO-00081</v>
      </c>
      <c r="M50" s="1" t="s">
        <v>19</v>
      </c>
    </row>
    <row r="51" spans="1:13" s="1" customFormat="1" x14ac:dyDescent="0.25">
      <c r="A51" s="12"/>
      <c r="B51" s="1" t="s">
        <v>184</v>
      </c>
      <c r="C51" s="1" t="s">
        <v>191</v>
      </c>
      <c r="D51" s="1" t="s">
        <v>191</v>
      </c>
      <c r="E51" s="1" t="s">
        <v>15</v>
      </c>
      <c r="F51" s="1" t="s">
        <v>192</v>
      </c>
      <c r="G51" s="1" t="s">
        <v>193</v>
      </c>
      <c r="H51" s="13">
        <v>10</v>
      </c>
      <c r="I51" s="13">
        <v>10</v>
      </c>
      <c r="J51" s="13">
        <v>0</v>
      </c>
      <c r="K51" s="13" t="s">
        <v>18</v>
      </c>
      <c r="L51" s="14" t="str" cm="1">
        <f t="array" ref="L5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Data'!$J$2:$J$10000=D51)*
(('Master Data'!$K$2:$K$10000-'Master Data'!$Q$2:$Q$10000)&lt;&gt;0)
)
),
"Not Found")</f>
        <v>Name: JK PROFIX PU MDI-B (250KG/DRUM) Price: 2750 Qty: 10 Unit: Kg Supplier Reference: MR MD For Project Management Services EST PO Reference: PUR-ORD-2026-00049</v>
      </c>
      <c r="M51" s="1" t="s">
        <v>19</v>
      </c>
    </row>
    <row r="52" spans="1:13" s="1" customFormat="1" x14ac:dyDescent="0.25">
      <c r="A52" s="12" t="s">
        <v>194</v>
      </c>
      <c r="B52" s="1" t="s">
        <v>195</v>
      </c>
      <c r="C52" s="1" t="s">
        <v>196</v>
      </c>
      <c r="D52" s="1" t="s">
        <v>196</v>
      </c>
      <c r="E52" s="1" t="s">
        <v>15</v>
      </c>
      <c r="F52" s="1" t="s">
        <v>197</v>
      </c>
      <c r="G52" s="1" t="s">
        <v>198</v>
      </c>
      <c r="H52" s="13">
        <v>20</v>
      </c>
      <c r="I52" s="13">
        <v>20</v>
      </c>
      <c r="J52" s="13">
        <v>0</v>
      </c>
      <c r="K52" s="13" t="s">
        <v>18</v>
      </c>
      <c r="L52" s="14" t="str" cm="1">
        <f t="array" ref="L5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Data'!$J$2:$J$10000=D52)*
(('Master Data'!$K$2:$K$10000-'Master Data'!$Q$2:$Q$10000)&lt;&gt;0)
)
),
"Not Found")</f>
        <v>Name: CRESCOAT RBE 10 (200L -CT) (200LTR/DRUM) Price: 350 Qty: 20 Unit: Litre Supplier Reference: Kanz Chemical Ind LLC PO Reference: PUR-ORD-2026-00019</v>
      </c>
      <c r="M52" s="1" t="s">
        <v>19</v>
      </c>
    </row>
    <row r="53" spans="1:13" s="1" customFormat="1" x14ac:dyDescent="0.25">
      <c r="A53" s="12" t="s">
        <v>199</v>
      </c>
      <c r="B53" s="1" t="s">
        <v>200</v>
      </c>
      <c r="C53" s="1" t="s">
        <v>201</v>
      </c>
      <c r="D53" s="1" t="s">
        <v>201</v>
      </c>
      <c r="E53" s="1" t="s">
        <v>15</v>
      </c>
      <c r="F53" s="1" t="s">
        <v>202</v>
      </c>
      <c r="G53" s="1" t="s">
        <v>203</v>
      </c>
      <c r="H53" s="13">
        <v>3</v>
      </c>
      <c r="I53" s="13">
        <v>3</v>
      </c>
      <c r="J53" s="13">
        <v>0</v>
      </c>
      <c r="K53" s="13" t="s">
        <v>18</v>
      </c>
      <c r="L53" s="14" t="str" cm="1">
        <f t="array" ref="L5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Data'!$J$2:$J$10000=D53)*
(('Master Data'!$K$2:$K$10000-'Master Data'!$Q$2:$Q$10000)&lt;&gt;0)
)
),
"Not Found")</f>
        <v>Name: CANVAS CLOTH (1 BUNDDLE X 19) Price: 400 Qty: 3 Unit: M2 Supplier Reference: MMT TRADING LLC PO Reference: MRG-LPO-00281</v>
      </c>
      <c r="M53" s="1" t="s">
        <v>19</v>
      </c>
    </row>
    <row r="54" spans="1:13" s="1" customFormat="1" x14ac:dyDescent="0.25">
      <c r="A54" s="12"/>
      <c r="B54" s="1" t="s">
        <v>200</v>
      </c>
      <c r="C54" s="1" t="s">
        <v>204</v>
      </c>
      <c r="D54" s="1" t="s">
        <v>204</v>
      </c>
      <c r="E54" s="1" t="s">
        <v>15</v>
      </c>
      <c r="F54" s="1" t="s">
        <v>205</v>
      </c>
      <c r="G54" s="1" t="s">
        <v>206</v>
      </c>
      <c r="H54" s="13">
        <v>100</v>
      </c>
      <c r="I54" s="13">
        <v>100</v>
      </c>
      <c r="J54" s="13">
        <v>0</v>
      </c>
      <c r="K54" s="13" t="s">
        <v>147</v>
      </c>
      <c r="L54" s="14" t="str" cm="1">
        <f t="array" ref="L5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Data'!$J$2:$J$10000=D54)*
(('Master Data'!$K$2:$K$10000-'Master Data'!$Q$2:$Q$10000)&lt;&gt;0)
)
),
"Not Found")</f>
        <v>Name: MASKING TAPE 2'' Price: 38 Qty: 100 Unit: Box Supplier Reference: MMT TRADING LLC PO Reference: MRG-LPO-00621</v>
      </c>
      <c r="M54" s="1" t="s">
        <v>19</v>
      </c>
    </row>
    <row r="55" spans="1:13" s="1" customFormat="1" x14ac:dyDescent="0.25">
      <c r="A55" s="12"/>
      <c r="B55" s="1" t="s">
        <v>200</v>
      </c>
      <c r="C55" s="1" t="s">
        <v>207</v>
      </c>
      <c r="D55" s="1" t="s">
        <v>207</v>
      </c>
      <c r="E55" s="1" t="s">
        <v>15</v>
      </c>
      <c r="F55" s="1" t="s">
        <v>208</v>
      </c>
      <c r="G55" s="1" t="s">
        <v>207</v>
      </c>
      <c r="H55" s="13">
        <v>100</v>
      </c>
      <c r="I55" s="13">
        <v>100</v>
      </c>
      <c r="J55" s="13">
        <v>0</v>
      </c>
      <c r="K55" s="13" t="s">
        <v>209</v>
      </c>
      <c r="L55" s="14" t="str" cm="1">
        <f t="array" ref="L5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Data'!$J$2:$J$10000=D55)*
(('Master Data'!$K$2:$K$10000-'Master Data'!$Q$2:$Q$10000)&lt;&gt;0)
)
),
"Not Found")</f>
        <v>Name: POLYTHENE SHEET 100G  Price: 6.5 Qty: 100 Unit: ROLL Supplier Reference: MR MD For Project Management Services EST PO Reference: PUR-ORD-2026-00049</v>
      </c>
      <c r="M55" s="1" t="s">
        <v>19</v>
      </c>
    </row>
    <row r="56" spans="1:13" s="1" customFormat="1" x14ac:dyDescent="0.25">
      <c r="A56" s="12"/>
      <c r="B56" s="1" t="s">
        <v>200</v>
      </c>
      <c r="C56" s="1" t="s">
        <v>210</v>
      </c>
      <c r="D56" s="1" t="s">
        <v>210</v>
      </c>
      <c r="E56" s="1" t="s">
        <v>15</v>
      </c>
      <c r="F56" s="1" t="s">
        <v>210</v>
      </c>
      <c r="G56" s="1" t="s">
        <v>210</v>
      </c>
      <c r="H56" s="13">
        <v>35</v>
      </c>
      <c r="I56" s="13">
        <v>35</v>
      </c>
      <c r="J56" s="13">
        <v>0</v>
      </c>
      <c r="K56" s="13" t="s">
        <v>18</v>
      </c>
      <c r="L56" s="14" t="str" cm="1">
        <f t="array" ref="L5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Data'!$J$2:$J$10000=D56)*
(('Master Data'!$K$2:$K$10000-'Master Data'!$Q$2:$Q$10000)&lt;&gt;0)
)
),
"Not Found")</f>
        <v>Name: WELDING APRON Price: 11.5 Qty: 35 Unit: Nos Supplier Reference: MR MD For Project Management Services EST PO Reference: PUR-ORD-2026-00049</v>
      </c>
      <c r="M56" s="1" t="s">
        <v>19</v>
      </c>
    </row>
    <row r="57" spans="1:13" s="1" customFormat="1" x14ac:dyDescent="0.25">
      <c r="A57" s="12"/>
      <c r="B57" s="1" t="s">
        <v>200</v>
      </c>
      <c r="C57" s="1" t="s">
        <v>211</v>
      </c>
      <c r="D57" s="1" t="s">
        <v>211</v>
      </c>
      <c r="E57" s="1" t="s">
        <v>15</v>
      </c>
      <c r="F57" s="1" t="s">
        <v>211</v>
      </c>
      <c r="G57" s="1" t="s">
        <v>211</v>
      </c>
      <c r="H57" s="13">
        <v>30</v>
      </c>
      <c r="I57" s="13">
        <v>30</v>
      </c>
      <c r="J57" s="13">
        <v>0</v>
      </c>
      <c r="K57" s="13" t="s">
        <v>18</v>
      </c>
      <c r="L57" s="14" t="str" cm="1">
        <f t="array" ref="L5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Data'!$J$2:$J$10000=D57)*
(('Master Data'!$K$2:$K$10000-'Master Data'!$Q$2:$Q$10000)&lt;&gt;0)
)
),
"Not Found")</f>
        <v>Name: SCRAPER 2'' Price: 1.4 Qty: 30 Unit: Nos Supplier Reference: MR MD For Project Management Services EST PO Reference: PUR-ORD-2026-00049</v>
      </c>
      <c r="M57" s="1" t="s">
        <v>19</v>
      </c>
    </row>
    <row r="58" spans="1:13" s="1" customFormat="1" x14ac:dyDescent="0.25">
      <c r="A58" s="12"/>
      <c r="B58" s="1" t="s">
        <v>200</v>
      </c>
      <c r="C58" s="1" t="s">
        <v>212</v>
      </c>
      <c r="D58" s="1" t="s">
        <v>212</v>
      </c>
      <c r="E58" s="1" t="s">
        <v>15</v>
      </c>
      <c r="F58" s="1" t="s">
        <v>213</v>
      </c>
      <c r="G58" s="1" t="s">
        <v>213</v>
      </c>
      <c r="H58" s="13">
        <v>30</v>
      </c>
      <c r="I58" s="13">
        <v>30</v>
      </c>
      <c r="J58" s="13">
        <v>0</v>
      </c>
      <c r="K58" s="13" t="s">
        <v>18</v>
      </c>
      <c r="L58" s="14" t="str" cm="1">
        <f t="array" ref="L5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Data'!$J$2:$J$10000=D58)*
(('Master Data'!$K$2:$K$10000-'Master Data'!$Q$2:$Q$10000)&lt;&gt;0)
)
),
"Not Found")</f>
        <v>Name: SCRAPER 3'' Price: 1.55 Qty: 30 Unit: Nos Supplier Reference: MR MD For Project Management Services EST PO Reference: PUR-ORD-2026-00049</v>
      </c>
      <c r="M58" s="1" t="s">
        <v>19</v>
      </c>
    </row>
    <row r="59" spans="1:13" s="1" customFormat="1" x14ac:dyDescent="0.25">
      <c r="A59" s="12"/>
      <c r="B59" s="1" t="s">
        <v>200</v>
      </c>
      <c r="C59" s="1" t="s">
        <v>214</v>
      </c>
      <c r="D59" s="1" t="s">
        <v>214</v>
      </c>
      <c r="E59" s="1" t="s">
        <v>15</v>
      </c>
      <c r="F59" s="1" t="s">
        <v>215</v>
      </c>
      <c r="G59" s="1" t="s">
        <v>216</v>
      </c>
      <c r="H59" s="13">
        <v>20</v>
      </c>
      <c r="I59" s="13">
        <v>20</v>
      </c>
      <c r="J59" s="13">
        <v>0</v>
      </c>
      <c r="K59" s="13" t="s">
        <v>18</v>
      </c>
      <c r="L59" s="14" t="str" cm="1">
        <f t="array" ref="L5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Data'!$J$2:$J$10000=D59)*
(('Master Data'!$K$2:$K$10000-'Master Data'!$Q$2:$Q$10000)&lt;&gt;0)
)
),
"Not Found")</f>
        <v>Name: BAKING ROD 20MM Price: 68 Qty: 20 Unit: Nos Supplier Reference: MR MD For Project Management Services EST PO Reference: PUR-ORD-2026-00049</v>
      </c>
      <c r="M59" s="1" t="s">
        <v>19</v>
      </c>
    </row>
    <row r="60" spans="1:13" s="1" customFormat="1" x14ac:dyDescent="0.25">
      <c r="A60" s="12" t="s">
        <v>217</v>
      </c>
      <c r="B60" s="1" t="s">
        <v>218</v>
      </c>
      <c r="C60" s="1" t="s">
        <v>219</v>
      </c>
      <c r="D60" s="1" t="s">
        <v>219</v>
      </c>
      <c r="E60" s="1" t="s">
        <v>15</v>
      </c>
      <c r="F60" s="1" t="s">
        <v>220</v>
      </c>
      <c r="G60" s="1" t="s">
        <v>221</v>
      </c>
      <c r="H60" s="13">
        <v>1</v>
      </c>
      <c r="I60" s="13">
        <v>1</v>
      </c>
      <c r="J60" s="13">
        <v>0</v>
      </c>
      <c r="K60" s="13" t="s">
        <v>18</v>
      </c>
      <c r="L60" s="14" t="str" cm="1">
        <f t="array" ref="L6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Data'!$J$2:$J$10000=D60)*
(('Master Data'!$K$2:$K$10000-'Master Data'!$Q$2:$Q$10000)&lt;&gt;0)
)
),
"Not Found")</f>
        <v>Name: RHEOSEAL 4S -200 GSM SL APP Price: 128 Qty: 1 Unit: ROLL Supplier Reference: MR MD For Project Management Services EST PO Reference: PUR-ORD-2026-00049</v>
      </c>
      <c r="M60" s="1" t="s">
        <v>19</v>
      </c>
    </row>
    <row r="61" spans="1:13" s="1" customFormat="1" ht="45" x14ac:dyDescent="0.25">
      <c r="A61" s="12"/>
      <c r="B61" s="1" t="s">
        <v>218</v>
      </c>
      <c r="C61" s="1" t="s">
        <v>222</v>
      </c>
      <c r="D61" s="1" t="s">
        <v>222</v>
      </c>
      <c r="E61" s="1" t="s">
        <v>15</v>
      </c>
      <c r="F61" s="1" t="s">
        <v>223</v>
      </c>
      <c r="G61" s="1" t="s">
        <v>224</v>
      </c>
      <c r="H61" s="13">
        <v>230</v>
      </c>
      <c r="I61" s="13">
        <v>23</v>
      </c>
      <c r="J61" s="13">
        <v>-207</v>
      </c>
      <c r="K61" s="13" t="s">
        <v>18</v>
      </c>
      <c r="L61" s="14" t="str" cm="1">
        <f t="array" ref="L6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Data'!$J$2:$J$10000=D61)*
(('Master Data'!$K$2:$K$10000-'Master Data'!$Q$2:$Q$10000)&lt;&gt;0)
)
),
"Not Found")</f>
        <v>Name: RHEOSEAL  SBS 4S 200 -5   Price: 126 Qty: 23 Unit: Nos Supplier Reference: Petrozo Energy L.L.C PO Reference: MRG-LPO-00450
Name: RHEOSEAL  SBS 4S 200 -5   Price: 128 Qty: 92 Unit: Nos Supplier Reference: Petrozo Energy L.L.C PO Reference: MRG-LPO-00456
Name: RHEOSEAL  SBS 4S 200 -5   Price: 126 Qty: 115 Unit: Nos Supplier Reference: Petrozo Energy L.L.C PO Reference: MRG-LPO-00629</v>
      </c>
      <c r="M61" s="1" t="s">
        <v>19</v>
      </c>
    </row>
    <row r="62" spans="1:13" s="1" customFormat="1" ht="60" x14ac:dyDescent="0.25">
      <c r="A62" s="12" t="s">
        <v>225</v>
      </c>
      <c r="B62" s="1" t="s">
        <v>226</v>
      </c>
      <c r="C62" s="1" t="s">
        <v>227</v>
      </c>
      <c r="D62" s="1" t="s">
        <v>227</v>
      </c>
      <c r="E62" s="1" t="s">
        <v>15</v>
      </c>
      <c r="F62" s="1" t="s">
        <v>228</v>
      </c>
      <c r="G62" s="1" t="s">
        <v>229</v>
      </c>
      <c r="H62" s="13">
        <v>150</v>
      </c>
      <c r="I62" s="13">
        <v>100</v>
      </c>
      <c r="J62" s="13">
        <v>-50</v>
      </c>
      <c r="K62" s="13" t="s">
        <v>18</v>
      </c>
      <c r="L62" s="14" t="str" cm="1">
        <f t="array" ref="L6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Data'!$J$2:$J$10000=D62)*
(('Master Data'!$K$2:$K$10000-'Master Data'!$Q$2:$Q$10000)&lt;&gt;0)
)
),
"Not Found")</f>
        <v>Name: SIKA TOP 550 SEAL J (FORMERLY KNOWN AS MASTERSEAL 550J LIGHT GREY) (15KG+5KG) SET Price: 60 Qty: 50 Unit: KIT Supplier Reference: Reva International General Trading LLC PO Reference: PUR-ORD-2026-00004
Name: SIKA TOP 550 SEAL J (FORMERLY KNOWN AS MASTERSEAL 550J LIGHT GREY) (15KG+5KG) SET Price: 60 Qty: 100 Unit: KIT Supplier Reference: Reva International General Trading LLC PO Reference: MRG-LPO-00018</v>
      </c>
      <c r="M62" s="1" t="s">
        <v>19</v>
      </c>
    </row>
    <row r="63" spans="1:13" s="1" customFormat="1" x14ac:dyDescent="0.25">
      <c r="A63" s="12" t="s">
        <v>230</v>
      </c>
      <c r="B63" s="1" t="s">
        <v>231</v>
      </c>
      <c r="C63" s="1" t="s">
        <v>232</v>
      </c>
      <c r="D63" s="1" t="s">
        <v>232</v>
      </c>
      <c r="E63" s="1" t="s">
        <v>15</v>
      </c>
      <c r="F63" s="1" t="s">
        <v>233</v>
      </c>
      <c r="G63" s="1" t="s">
        <v>234</v>
      </c>
      <c r="H63" s="13">
        <v>500</v>
      </c>
      <c r="I63" s="13">
        <v>500</v>
      </c>
      <c r="J63" s="13">
        <v>0</v>
      </c>
      <c r="K63" s="13" t="s">
        <v>18</v>
      </c>
      <c r="L63" s="14" t="str" cm="1">
        <f t="array" ref="L6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Data'!$J$2:$J$10000=D63)*
(('Master Data'!$K$2:$K$10000-'Master Data'!$Q$2:$Q$10000)&lt;&gt;0)
)
),
"Not Found")</f>
        <v>Name: PAINT ROLLER 9" WITH REFILL Price: 5.25 Qty: 500 Unit: Nos Supplier Reference: RUKN AL GHUWAIR TRADING PO Reference: PUR-ORD-2026-00013</v>
      </c>
      <c r="M63" s="1" t="s">
        <v>19</v>
      </c>
    </row>
    <row r="64" spans="1:13" s="1" customFormat="1" ht="30" x14ac:dyDescent="0.25">
      <c r="A64" s="12"/>
      <c r="B64" s="1" t="s">
        <v>231</v>
      </c>
      <c r="C64" s="1" t="s">
        <v>235</v>
      </c>
      <c r="D64" s="1" t="s">
        <v>235</v>
      </c>
      <c r="E64" s="1" t="s">
        <v>15</v>
      </c>
      <c r="F64" s="1" t="s">
        <v>235</v>
      </c>
      <c r="G64" s="1" t="s">
        <v>235</v>
      </c>
      <c r="H64" s="13">
        <v>500</v>
      </c>
      <c r="I64" s="13">
        <v>200</v>
      </c>
      <c r="J64" s="13">
        <v>-300</v>
      </c>
      <c r="K64" s="13" t="s">
        <v>18</v>
      </c>
      <c r="L64" s="14" t="str" cm="1">
        <f t="array" ref="L6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Data'!$J$2:$J$10000=D64)*
(('Master Data'!$K$2:$K$10000-'Master Data'!$Q$2:$Q$10000)&lt;&gt;0)
)
),
"Not Found")</f>
        <v>Name: PAINT REFILL 9" Price: 2.75 Qty: 300 Unit: Nos Supplier Reference: MR MD For Project Management Services EST PO Reference: PUR-ORD-2026-00049
Name: PAINT REFILL 9" Price: 2.75 Qty: 200 Unit: Nos Supplier Reference: MR MD For Project Management Services EST PO Reference: PUR-ORD-2026-00049</v>
      </c>
      <c r="M64" s="1" t="s">
        <v>19</v>
      </c>
    </row>
    <row r="65" spans="1:13" s="1" customFormat="1" x14ac:dyDescent="0.25">
      <c r="A65" s="12"/>
      <c r="B65" s="1" t="s">
        <v>231</v>
      </c>
      <c r="C65" s="1" t="s">
        <v>236</v>
      </c>
      <c r="D65" s="1" t="s">
        <v>236</v>
      </c>
      <c r="E65" s="1" t="s">
        <v>15</v>
      </c>
      <c r="F65" s="1" t="s">
        <v>236</v>
      </c>
      <c r="G65" s="1" t="s">
        <v>236</v>
      </c>
      <c r="H65" s="13">
        <v>50</v>
      </c>
      <c r="I65" s="13">
        <v>50</v>
      </c>
      <c r="J65" s="13">
        <v>0</v>
      </c>
      <c r="K65" s="13" t="s">
        <v>18</v>
      </c>
      <c r="L65" s="14" t="str" cm="1">
        <f t="array" ref="L6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Data'!$J$2:$J$10000=D65)*
(('Master Data'!$K$2:$K$10000-'Master Data'!$Q$2:$Q$10000)&lt;&gt;0)
)
),
"Not Found")</f>
        <v>Name: MASON TROWEL 6'' Price: 6 Qty: 50 Unit: Nos Supplier Reference: MR MD For Project Management Services EST PO Reference: PUR-ORD-2026-00049</v>
      </c>
      <c r="M65" s="1" t="s">
        <v>19</v>
      </c>
    </row>
    <row r="66" spans="1:13" s="1" customFormat="1" x14ac:dyDescent="0.25">
      <c r="A66" s="12"/>
      <c r="B66" s="1" t="s">
        <v>231</v>
      </c>
      <c r="C66" s="1" t="s">
        <v>237</v>
      </c>
      <c r="D66" s="1" t="s">
        <v>237</v>
      </c>
      <c r="E66" s="1" t="s">
        <v>15</v>
      </c>
      <c r="F66" s="1" t="s">
        <v>238</v>
      </c>
      <c r="G66" s="1" t="s">
        <v>237</v>
      </c>
      <c r="H66" s="13">
        <v>100</v>
      </c>
      <c r="I66" s="13">
        <v>100</v>
      </c>
      <c r="J66" s="13">
        <v>0</v>
      </c>
      <c r="K66" s="13" t="s">
        <v>147</v>
      </c>
      <c r="L66" s="14" t="str" cm="1">
        <f t="array" ref="L6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Data'!$J$2:$J$10000=D66)*
(('Master Data'!$K$2:$K$10000-'Master Data'!$Q$2:$Q$10000)&lt;&gt;0)
)
),
"Not Found")</f>
        <v>Name: SAFETY GOGGLES BLACK Price: 2 Qty: 100 Unit: Nos Supplier Reference: MR MD For Project Management Services EST PO Reference: PUR-ORD-2026-00049</v>
      </c>
      <c r="M66" s="1" t="s">
        <v>19</v>
      </c>
    </row>
    <row r="67" spans="1:13" s="1" customFormat="1" ht="210" x14ac:dyDescent="0.25">
      <c r="A67" s="12" t="s">
        <v>239</v>
      </c>
      <c r="B67" s="1" t="s">
        <v>240</v>
      </c>
      <c r="C67" s="1" t="s">
        <v>241</v>
      </c>
      <c r="D67" s="1" t="s">
        <v>242</v>
      </c>
      <c r="E67" s="1" t="s">
        <v>15</v>
      </c>
      <c r="F67" s="1" t="s">
        <v>243</v>
      </c>
      <c r="G67" s="1" t="s">
        <v>244</v>
      </c>
      <c r="H67" s="13">
        <v>1275</v>
      </c>
      <c r="I67" s="13">
        <v>1075</v>
      </c>
      <c r="J67" s="13">
        <v>-200</v>
      </c>
      <c r="K67" s="13" t="s">
        <v>18</v>
      </c>
      <c r="L67" s="14" t="str" cm="1">
        <f t="array" ref="L6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Data'!$J$2:$J$10000=D67)*
(('Master Data'!$K$2:$K$10000-'Master Data'!$Q$2:$Q$10000)&lt;&gt;0)
)
),
"Not Found")</f>
        <v>Name: NEOSEAL FLEX 550 - WHITE  (PART A 15KG+ PART B 5KG) Price: 47 Qty: 100 Unit: KIT Supplier Reference: SHERIDAN SPECIALIZED BUILDING PRODUCTS  L.L.C PO Reference: MRG-LPO-00006
Name: NEOSEAL FLEX 550 - WHITE  (PART A 15KG+ PART B 5KG) Price: 49 Qty: 200 Unit: KIT Supplier Reference: SHERIDAN SPECIALIZED BUILDING PRODUCTS  L.L.C PO Reference: MRG-LPO-00229
Name: NEOSEAL FLEX 550 - WHITE  (PART A 15KG+ PART B 5KG) Price: 47 Qty: 200 Unit: KIT Supplier Reference: SHERIDAN SPECIALIZED BUILDING PRODUCTS  L.L.C PO Reference: MRG-LPO-00536
Name: NEOSEAL FLEX 550 - WHITE  (PART A 15KG+ PART B 5KG) Price: 47 Qty: 325 Unit: KIT Supplier Reference: SHERIDAN SPECIALIZED BUILDING PRODUCTS  L.L.C PO Reference: MRG-LPO-00568
Name: NEOSEAL FLEX 550 - WHITE  (PART A 15KG+ PART B 5KG) Price: 47 Qty: 100 Unit: KIT Supplier Reference: MR MD For Project Management Services EST PO Reference: PUR-ORD-2026-00049
Name: NEOSEAL FLEX 550 - WHITE  (PART A 15KG+ PART B 5KG) Price: 47 Qty: 100 Unit: KIT Supplier Reference: MR MD For Project Management Services EST PO Reference: PUR-ORD-2026-00049
Name: NEOSEAL FLEX 550 - WHITE  (PART A 15KG+ PART B 5KG) Price: 47 Qty: 250 Unit: KIT Supplier Reference: MR MD For Project Management Services EST PO Reference: PUR-ORD-2026-00049</v>
      </c>
      <c r="M67" s="1" t="s">
        <v>19</v>
      </c>
    </row>
    <row r="68" spans="1:13" s="1" customFormat="1" ht="240" x14ac:dyDescent="0.25">
      <c r="A68" s="12"/>
      <c r="B68" s="1" t="s">
        <v>240</v>
      </c>
      <c r="C68" s="1" t="s">
        <v>245</v>
      </c>
      <c r="D68" s="1" t="s">
        <v>245</v>
      </c>
      <c r="E68" s="1" t="s">
        <v>15</v>
      </c>
      <c r="F68" s="1" t="s">
        <v>246</v>
      </c>
      <c r="G68" s="1" t="s">
        <v>247</v>
      </c>
      <c r="H68" s="13">
        <v>132</v>
      </c>
      <c r="I68" s="13">
        <v>118</v>
      </c>
      <c r="J68" s="13">
        <v>-14</v>
      </c>
      <c r="K68" s="13" t="s">
        <v>18</v>
      </c>
      <c r="L68" s="14" t="str" cm="1">
        <f t="array" ref="L6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Data'!$J$2:$J$10000=D68)*
(('Master Data'!$K$2:$K$10000-'Master Data'!$Q$2:$Q$10000)&lt;&gt;0)
)
),
"Not Found")</f>
        <v>Name: NEONATE MDI (250KG) DRUM Price: 2050 Qty: 14 Unit: Kg Supplier Reference: SHERIDAN SPECIALIZED BUILDING PRODUCTS  L.L.C PO Reference: PUR-ORD-2025-00009
Name: NEONATE MDI (250KG) DRUM Price: 2225 Qty: 19 Unit: Kg Supplier Reference: SHERIDAN SPECIALIZED BUILDING PRODUCTS  L.L.C PO Reference: MRG-LPO-00025
Name: NEONATE MDI (250KG) DRUM Price: 2600 Qty: 1 Unit: Kg Supplier Reference: SHERIDAN SPECIALIZED BUILDING PRODUCTS  L.L.C PO Reference: MRG-LPO-00044
Name: NEONATE MDI (250KG) DRUM Price: 2700 Qty: 25 Unit: Kg Supplier Reference: SHERIDAN SPECIALIZED BUILDING PRODUCTS  L.L.C PO Reference: MRG-LPO-00084-1
Name: NEONATE MDI (250KG) DRUM Price: 2950 Qty: 14 Unit: Kg Supplier Reference: SHERIDAN SPECIALIZED BUILDING PRODUCTS  L.L.C PO Reference: MRG-LPO-00596
Name: NEONATE MDI (250KG) DRUM Price: 2025 Qty: 6 Unit: Kg Supplier Reference: MR MD For Project Management Services EST PO Reference: PUR-ORD-2026-00049
Name: NEONATE MDI (250KG) DRUM Price: 3125 Qty: 40 Unit: Kg Supplier Reference: MR MD For Project Management Services EST PO Reference: PUR-ORD-2026-00049
Name: NEONATE MDI (250KG) DRUM Price: 3125 Qty: 13 Unit: Kg Supplier Reference: MR MD For Project Management Services EST PO Reference: PUR-ORD-2026-00049</v>
      </c>
      <c r="M68" s="1" t="s">
        <v>19</v>
      </c>
    </row>
    <row r="69" spans="1:13" s="1" customFormat="1" ht="270" x14ac:dyDescent="0.25">
      <c r="A69" s="12"/>
      <c r="B69" s="1" t="s">
        <v>240</v>
      </c>
      <c r="C69" s="1" t="s">
        <v>248</v>
      </c>
      <c r="D69" s="1" t="s">
        <v>248</v>
      </c>
      <c r="E69" s="1" t="s">
        <v>15</v>
      </c>
      <c r="F69" s="1" t="s">
        <v>249</v>
      </c>
      <c r="G69" s="1" t="s">
        <v>250</v>
      </c>
      <c r="H69" s="13">
        <v>137</v>
      </c>
      <c r="I69" s="13">
        <v>142</v>
      </c>
      <c r="J69" s="13">
        <v>5</v>
      </c>
      <c r="K69" s="13" t="s">
        <v>18</v>
      </c>
      <c r="L69" s="14" t="str" cm="1">
        <f t="array" ref="L6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Data'!$J$2:$J$10000=D69)*
(('Master Data'!$K$2:$K$10000-'Master Data'!$Q$2:$Q$10000)&lt;&gt;0)
)
),
"Not Found")</f>
        <v>Name: NEOPOL SRS 45  (220KG) DRUM Price: 1782 Qty: 6 Unit: Kg Supplier Reference: MR MD For Project Management Services EST PO Reference: PUR-ORD-2026-00049
Name: NEOPOL SRS 45  (220KG) DRUM Price: 2376 Qty: 25 Unit: Kg Supplier Reference: MR MD For Project Management Services EST PO Reference: PUR-ORD-2026-00049
Name: NEOPOL SRS 45  (220KG) DRUM Price: 1804 Qty: 14 Unit: Kg Supplier Reference: MR MD For Project Management Services EST PO Reference: PUR-ORD-2026-00049
Name: NEOPOL SRS 45  (220KG) DRUM Price: 2596 Qty: 14 Unit: Kg Supplier Reference: MR MD For Project Management Services EST PO Reference: PUR-ORD-2026-00049
Name: NEOPOL SRS 45  (220KG) DRUM Price: 2596 Qty: 5 Unit: Kg Supplier Reference: MR MD For Project Management Services EST PO Reference: PUR-ORD-2026-00049
Name: NEOPOL SRS 45  (220KG) DRUM Price: 1958 Qty: 19 Unit: Kg Supplier Reference: MR MD For Project Management Services EST PO Reference: PUR-ORD-2026-00049
Name: NEOPOL SRS 45  (220KG) DRUM Price: 2750 Qty: 40 Unit: Kg Supplier Reference: MR MD For Project Management Services EST PO Reference: PUR-ORD-2026-00049
Name: NEOPOL SRS 45  (220KG) DRUM Price: 2288 Qty: 1 Unit: Kg Supplier Reference: MR MD For Project Management Services EST PO Reference: PUR-ORD-2026-00049
Name: NEOPOL SRS 45  (220KG) DRUM Price: 2750 Qty: 13 Unit: Kg Supplier Reference: MR MD For Project Management Services EST PO Reference: PUR-ORD-2026-00049</v>
      </c>
      <c r="M69" s="1" t="s">
        <v>19</v>
      </c>
    </row>
    <row r="70" spans="1:13" s="1" customFormat="1" ht="30" x14ac:dyDescent="0.25">
      <c r="A70" s="12"/>
      <c r="B70" s="1" t="s">
        <v>240</v>
      </c>
      <c r="C70" s="1" t="s">
        <v>251</v>
      </c>
      <c r="D70" s="1" t="s">
        <v>251</v>
      </c>
      <c r="E70" s="1" t="s">
        <v>15</v>
      </c>
      <c r="F70" s="1" t="s">
        <v>252</v>
      </c>
      <c r="G70" s="1" t="s">
        <v>253</v>
      </c>
      <c r="H70" s="13">
        <v>45</v>
      </c>
      <c r="I70" s="13">
        <v>45</v>
      </c>
      <c r="J70" s="13">
        <v>0</v>
      </c>
      <c r="K70" s="13" t="s">
        <v>18</v>
      </c>
      <c r="L70" s="14" t="str" cm="1">
        <f t="array" ref="L7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Data'!$J$2:$J$10000=D70)*
(('Master Data'!$K$2:$K$10000-'Master Data'!$Q$2:$Q$10000)&lt;&gt;0)
)
),
"Not Found")</f>
        <v>Name: NEOSULPHIDE SEALANT-GUN GRADE 2.5LTR(PART 4 4KG+PART B 0.250KG) Price: 46 Qty: 45 Unit: KIT Supplier Reference: SHERIDAN SPECIALIZED BUILDING PRODUCTS  L.L.C PO Reference: MRG-LPO-00023</v>
      </c>
      <c r="M70" s="1" t="s">
        <v>19</v>
      </c>
    </row>
    <row r="71" spans="1:13" s="1" customFormat="1" ht="90" x14ac:dyDescent="0.25">
      <c r="A71" s="12"/>
      <c r="B71" s="1" t="s">
        <v>240</v>
      </c>
      <c r="C71" s="1" t="s">
        <v>254</v>
      </c>
      <c r="D71" s="1" t="s">
        <v>254</v>
      </c>
      <c r="E71" s="1" t="s">
        <v>15</v>
      </c>
      <c r="F71" s="1" t="s">
        <v>255</v>
      </c>
      <c r="G71" s="1" t="s">
        <v>256</v>
      </c>
      <c r="H71" s="13">
        <v>280</v>
      </c>
      <c r="I71" s="13">
        <v>430</v>
      </c>
      <c r="J71" s="13">
        <v>150</v>
      </c>
      <c r="K71" s="13" t="s">
        <v>18</v>
      </c>
      <c r="L71" s="14" t="str" cm="1">
        <f t="array" ref="L7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Data'!$J$2:$J$10000=D71)*
(('Master Data'!$K$2:$K$10000-'Master Data'!$Q$2:$Q$10000)&lt;&gt;0)
)
),
"Not Found")</f>
        <v>Name: BITUMEN IMPEREGNATED BOARD 10 MM -CUTTING Price: 32 Qty: 100 Unit: SHEET Supplier Reference: SHERIDAN SPECIALIZED BUILDING PRODUCTS  L.L.C PO Reference: MRG-LPO-00024
Name: BITUMEN IMPEREGNATED BOARD 10 MM -CUTTING Price: 60 Qty: 150 Unit: SHEET Supplier Reference: MR MD For Project Management Services EST PO Reference: PUR-ORD-2026-00049
Name: BITUMEN IMPEREGNATED BOARD 10 MM -CUTTING Price: 39 Qty: 30 Unit: SHEET Supplier Reference: MR MD For Project Management Services EST PO Reference: PUR-ORD-2026-00049</v>
      </c>
      <c r="M71" s="1" t="s">
        <v>19</v>
      </c>
    </row>
    <row r="72" spans="1:13" s="1" customFormat="1" ht="90" x14ac:dyDescent="0.25">
      <c r="A72" s="12"/>
      <c r="B72" s="1" t="s">
        <v>240</v>
      </c>
      <c r="C72" s="1" t="s">
        <v>257</v>
      </c>
      <c r="D72" s="1" t="s">
        <v>257</v>
      </c>
      <c r="E72" s="1" t="s">
        <v>15</v>
      </c>
      <c r="F72" s="1" t="s">
        <v>258</v>
      </c>
      <c r="G72" s="1" t="s">
        <v>257</v>
      </c>
      <c r="H72" s="13">
        <v>450</v>
      </c>
      <c r="I72" s="13">
        <v>150</v>
      </c>
      <c r="J72" s="13">
        <v>-300</v>
      </c>
      <c r="K72" s="13" t="s">
        <v>18</v>
      </c>
      <c r="L72" s="14" t="str" cm="1">
        <f t="array" ref="L7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Data'!$J$2:$J$10000=D72)*
(('Master Data'!$K$2:$K$10000-'Master Data'!$Q$2:$Q$10000)&lt;&gt;0)
)
),
"Not Found")</f>
        <v>Name: NEOSEAL FLEX 550 -LIGHT GREY (PART A 15KG+PART B 5KG) Price: 47 Qty: 100 Unit: KIT Supplier Reference: SHERIDAN SPECIALIZED BUILDING PRODUCTS  L.L.C PO Reference: MRG-LPO-00055
Name: NEOSEAL FLEX 550 -LIGHT GREY (PART A 15KG+PART B 5KG) Price: 47 Qty: 300 Unit: Nos Supplier Reference: MR MD For Project Management Services EST PO Reference: PUR-ORD-2026-00049
Name: NEOSEAL FLEX 550 -LIGHT GREY (PART A 15KG+PART B 5KG) Price: 47 Qty: 50 Unit: KIT Supplier Reference: MR MD For Project Management Services EST PO Reference: PUR-ORD-2026-00049</v>
      </c>
      <c r="M72" s="1" t="s">
        <v>19</v>
      </c>
    </row>
    <row r="73" spans="1:13" s="1" customFormat="1" ht="30" x14ac:dyDescent="0.25">
      <c r="A73" s="12"/>
      <c r="B73" s="1" t="s">
        <v>240</v>
      </c>
      <c r="C73" s="1" t="s">
        <v>259</v>
      </c>
      <c r="D73" s="1" t="s">
        <v>259</v>
      </c>
      <c r="E73" s="1" t="s">
        <v>15</v>
      </c>
      <c r="F73" s="1" t="s">
        <v>260</v>
      </c>
      <c r="G73" s="1" t="s">
        <v>261</v>
      </c>
      <c r="H73" s="13">
        <v>2</v>
      </c>
      <c r="I73" s="13">
        <v>2</v>
      </c>
      <c r="J73" s="13">
        <v>0</v>
      </c>
      <c r="K73" s="13" t="s">
        <v>18</v>
      </c>
      <c r="L73" s="14" t="str" cm="1">
        <f t="array" ref="L7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Data'!$J$2:$J$10000=D73)*
(('Master Data'!$K$2:$K$10000-'Master Data'!$Q$2:$Q$10000)&lt;&gt;0)
)
),
"Not Found")</f>
        <v>Name: NEOTEX SP-ELASTOMERIC ACRYLIC COATING (20KG/PAIL) LIGHT GREY Price: 97 Qty: 2 Unit: PAIL Supplier Reference: MR MD For Project Management Services EST PO Reference: PUR-ORD-2026-00049</v>
      </c>
      <c r="M73" s="1" t="s">
        <v>19</v>
      </c>
    </row>
    <row r="74" spans="1:13" s="1" customFormat="1" ht="210" x14ac:dyDescent="0.25">
      <c r="A74" s="12"/>
      <c r="B74" s="1" t="s">
        <v>240</v>
      </c>
      <c r="C74" s="1" t="s">
        <v>262</v>
      </c>
      <c r="D74" s="1" t="s">
        <v>262</v>
      </c>
      <c r="E74" s="1" t="s">
        <v>15</v>
      </c>
      <c r="F74" s="1" t="s">
        <v>263</v>
      </c>
      <c r="G74" s="1" t="s">
        <v>264</v>
      </c>
      <c r="H74" s="13">
        <v>440</v>
      </c>
      <c r="I74" s="13">
        <v>280</v>
      </c>
      <c r="J74" s="13">
        <v>-160</v>
      </c>
      <c r="K74" s="13" t="s">
        <v>18</v>
      </c>
      <c r="L74" s="14" t="str" cm="1">
        <f t="array" ref="L7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Data'!$J$2:$J$10000=D74)*
(('Master Data'!$K$2:$K$10000-'Master Data'!$Q$2:$Q$10000)&lt;&gt;0)
)
),
"Not Found")</f>
        <v>Name: NEOSEAL WP 509 -BLACK 24 LTR Price: 170 Qty: 60 Unit: KIT Supplier Reference: SHERIDAN SPECIALIZED BUILDING PRODUCTS  L.L.C PO Reference: PUR-ORD-2025-00017
Name: NEOSEAL WP 509 -BLACK 24 LTR Price: 170 Qty: 50 Unit: KIT Supplier Reference: SHERIDAN SPECIALIZED BUILDING PRODUCTS  L.L.C PO Reference: PUR-ORD-2026-00008
Name: NEOSEAL WP 509 -BLACK 24 LTR Price: 170 Qty: 50 Unit: KIT Supplier Reference: SHERIDAN SPECIALIZED BUILDING PRODUCTS  L.L.C PO Reference: PUR-ORD-2026-00015
Name: NEOSEAL WP 509 -BLACK 24 LTR Price: 216 Qty: 100 Unit: KIT Supplier Reference: SHERIDAN SPECIALIZED BUILDING PRODUCTS  L.L.C PO Reference: MRG-LPO-00623
Name: NEOSEAL WP 509 -BLACK 24 LTR Price: 216 Qty: 100 Unit: KIT Supplier Reference: SHERIDAN SPECIALIZED BUILDING PRODUCTS  L.L.C PO Reference: MRG-LPO-00624
Name: NEOSEAL WP 509 -BLACK 24 LTR Price: 216 Qty: 70 Unit: KIT Supplier Reference: SHERIDAN SPECIALIZED BUILDING PRODUCTS  L.L.C PO Reference: MRG-LPO-00626
Name: NEOSEAL WP 509 -BLACK 24 LTR Price: 215 Qty: 10 Unit: KIT Supplier Reference: MR MD For Project Management Services EST PO Reference: PUR-ORD-2026-00049</v>
      </c>
      <c r="M74" s="1" t="s">
        <v>19</v>
      </c>
    </row>
    <row r="75" spans="1:13" s="1" customFormat="1" ht="90" x14ac:dyDescent="0.25">
      <c r="A75" s="12"/>
      <c r="B75" s="1" t="s">
        <v>240</v>
      </c>
      <c r="C75" s="1" t="s">
        <v>254</v>
      </c>
      <c r="D75" s="1" t="s">
        <v>254</v>
      </c>
      <c r="E75" s="1" t="s">
        <v>15</v>
      </c>
      <c r="F75" s="1" t="s">
        <v>255</v>
      </c>
      <c r="G75" s="1" t="s">
        <v>256</v>
      </c>
      <c r="H75" s="13">
        <v>280</v>
      </c>
      <c r="I75" s="13">
        <v>100</v>
      </c>
      <c r="J75" s="13">
        <v>-180</v>
      </c>
      <c r="K75" s="13" t="s">
        <v>18</v>
      </c>
      <c r="L75" s="14" t="str" cm="1">
        <f t="array" ref="L7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Data'!$J$2:$J$10000=D75)*
(('Master Data'!$K$2:$K$10000-'Master Data'!$Q$2:$Q$10000)&lt;&gt;0)
)
),
"Not Found")</f>
        <v>Name: BITUMEN IMPEREGNATED BOARD 10 MM -CUTTING Price: 32 Qty: 100 Unit: SHEET Supplier Reference: SHERIDAN SPECIALIZED BUILDING PRODUCTS  L.L.C PO Reference: MRG-LPO-00024
Name: BITUMEN IMPEREGNATED BOARD 10 MM -CUTTING Price: 60 Qty: 150 Unit: SHEET Supplier Reference: MR MD For Project Management Services EST PO Reference: PUR-ORD-2026-00049
Name: BITUMEN IMPEREGNATED BOARD 10 MM -CUTTING Price: 39 Qty: 30 Unit: SHEET Supplier Reference: MR MD For Project Management Services EST PO Reference: PUR-ORD-2026-00049</v>
      </c>
      <c r="M75" s="1" t="s">
        <v>19</v>
      </c>
    </row>
    <row r="76" spans="1:13" s="1" customFormat="1" ht="30" x14ac:dyDescent="0.25">
      <c r="A76" s="12"/>
      <c r="B76" s="1" t="s">
        <v>240</v>
      </c>
      <c r="C76" s="1" t="s">
        <v>265</v>
      </c>
      <c r="D76" s="1" t="s">
        <v>265</v>
      </c>
      <c r="E76" s="1" t="s">
        <v>15</v>
      </c>
      <c r="F76" s="1" t="s">
        <v>266</v>
      </c>
      <c r="G76" s="1" t="s">
        <v>265</v>
      </c>
      <c r="H76" s="13">
        <v>50</v>
      </c>
      <c r="I76" s="13">
        <v>50</v>
      </c>
      <c r="J76" s="13">
        <v>0</v>
      </c>
      <c r="K76" s="13" t="s">
        <v>18</v>
      </c>
      <c r="L76" s="14" t="str" cm="1">
        <f t="array" ref="L7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Data'!$J$2:$J$10000=D76)*
(('Master Data'!$K$2:$K$10000-'Master Data'!$Q$2:$Q$10000)&lt;&gt;0)
)
),
"Not Found")</f>
        <v>Name: NEOSEAL FLEX 588 -GREY (PART A 25KG+PART B 10KG) Price: 110 Qty: 50 Unit: KIT Supplier Reference: SHERIDAN SPECIALIZED BUILDING PRODUCTS  L.L.C PO Reference: MRG-LPO-00483</v>
      </c>
      <c r="M76" s="1" t="s">
        <v>19</v>
      </c>
    </row>
    <row r="77" spans="1:13" s="1" customFormat="1" x14ac:dyDescent="0.25">
      <c r="A77" s="12"/>
      <c r="B77" s="1" t="s">
        <v>240</v>
      </c>
      <c r="C77" s="1" t="s">
        <v>267</v>
      </c>
      <c r="D77" s="1" t="s">
        <v>267</v>
      </c>
      <c r="E77" s="1" t="s">
        <v>15</v>
      </c>
      <c r="F77" s="1" t="s">
        <v>268</v>
      </c>
      <c r="G77" s="1" t="s">
        <v>269</v>
      </c>
      <c r="H77" s="13">
        <v>2</v>
      </c>
      <c r="I77" s="13">
        <v>2</v>
      </c>
      <c r="J77" s="13">
        <v>0</v>
      </c>
      <c r="K77" s="13" t="s">
        <v>18</v>
      </c>
      <c r="L77" s="14" t="str" cm="1">
        <f t="array" ref="L7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Data'!$J$2:$J$10000=D77)*
(('Master Data'!$K$2:$K$10000-'Master Data'!$Q$2:$Q$10000)&lt;&gt;0)
)
),
"Not Found")</f>
        <v>Name: NEOBOND SBR 250 Price: 128 Qty: 2 Unit: PAIL Supplier Reference: MR MD For Project Management Services EST PO Reference: PUR-ORD-2026-00049</v>
      </c>
      <c r="M77" s="1" t="s">
        <v>19</v>
      </c>
    </row>
    <row r="78" spans="1:13" s="1" customFormat="1" ht="30" x14ac:dyDescent="0.25">
      <c r="A78" s="12"/>
      <c r="B78" s="1" t="s">
        <v>240</v>
      </c>
      <c r="C78" s="1" t="s">
        <v>270</v>
      </c>
      <c r="D78" s="1" t="s">
        <v>270</v>
      </c>
      <c r="E78" s="1" t="s">
        <v>15</v>
      </c>
      <c r="F78" s="1" t="s">
        <v>271</v>
      </c>
      <c r="G78" s="1" t="s">
        <v>272</v>
      </c>
      <c r="H78" s="13">
        <v>46</v>
      </c>
      <c r="I78" s="13">
        <v>46</v>
      </c>
      <c r="J78" s="13">
        <v>0</v>
      </c>
      <c r="K78" s="13" t="s">
        <v>18</v>
      </c>
      <c r="L78" s="14" t="str" cm="1">
        <f t="array" ref="L7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Data'!$J$2:$J$10000=D78)*
(('Master Data'!$K$2:$K$10000-'Master Data'!$Q$2:$Q$10000)&lt;&gt;0)
)
),
"Not Found")</f>
        <v>Name: GEOTEC -120GSM GEOTEXTILE  (3 X 100)300 MÂ²/ ROLL Price: 414 Qty: 46 Unit: M2 Supplier Reference: MR MD For Project Management Services EST PO Reference: PUR-ORD-2026-00049</v>
      </c>
      <c r="M78" s="1" t="s">
        <v>19</v>
      </c>
    </row>
    <row r="79" spans="1:13" s="1" customFormat="1" ht="60" x14ac:dyDescent="0.25">
      <c r="A79" s="12"/>
      <c r="B79" s="1" t="s">
        <v>240</v>
      </c>
      <c r="C79" s="1" t="s">
        <v>273</v>
      </c>
      <c r="D79" s="1" t="s">
        <v>273</v>
      </c>
      <c r="E79" s="1" t="s">
        <v>15</v>
      </c>
      <c r="F79" s="1" t="s">
        <v>274</v>
      </c>
      <c r="G79" s="1" t="s">
        <v>273</v>
      </c>
      <c r="H79" s="13">
        <v>100</v>
      </c>
      <c r="I79" s="13">
        <v>50</v>
      </c>
      <c r="J79" s="13">
        <v>-50</v>
      </c>
      <c r="K79" s="13" t="s">
        <v>18</v>
      </c>
      <c r="L79" s="14" t="str" cm="1">
        <f t="array" ref="L7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Data'!$J$2:$J$10000=D79)*
(('Master Data'!$K$2:$K$10000-'Master Data'!$Q$2:$Q$10000)&lt;&gt;0)
)
),
"Not Found")</f>
        <v>Name: NEOSEAL FLEX 588 -WHITE (PART A 26.25 KG+PART B 8.75 KG) Price: 112 Qty: 50 Unit: Nos Supplier Reference: MR MD For Project Management Services EST PO Reference: PUR-ORD-2026-00049
Name: NEOSEAL FLEX 588 -WHITE (PART A 26.25 KG+PART B 8.75 KG) Price: 112 Qty: 50 Unit: KIT Supplier Reference: MR MD For Project Management Services EST PO Reference: PUR-ORD-2026-00049</v>
      </c>
      <c r="M79" s="1" t="s">
        <v>19</v>
      </c>
    </row>
    <row r="80" spans="1:13" s="1" customFormat="1" ht="60" x14ac:dyDescent="0.25">
      <c r="A80" s="12"/>
      <c r="B80" s="1" t="s">
        <v>240</v>
      </c>
      <c r="C80" s="1" t="s">
        <v>275</v>
      </c>
      <c r="D80" s="1" t="s">
        <v>275</v>
      </c>
      <c r="E80" s="1" t="s">
        <v>15</v>
      </c>
      <c r="F80" s="1" t="s">
        <v>276</v>
      </c>
      <c r="G80" s="1" t="s">
        <v>277</v>
      </c>
      <c r="H80" s="13">
        <v>598</v>
      </c>
      <c r="I80" s="13">
        <v>598</v>
      </c>
      <c r="J80" s="13">
        <v>0</v>
      </c>
      <c r="K80" s="13" t="s">
        <v>18</v>
      </c>
      <c r="L80" s="14" t="str" cm="1">
        <f t="array" ref="L8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Data'!$J$2:$J$10000=D80)*
(('Master Data'!$K$2:$K$10000-'Master Data'!$Q$2:$Q$10000)&lt;&gt;0)
)
),
"Not Found")</f>
        <v>Name: 4MM NEOFLEX S4180 180GSM Price: 110 Qty: 276 Unit: M2 Supplier Reference: SHERIDAN SPECIALIZED BUILDING PRODUCTS  L.L.C PO Reference: MRG-LPO-00287
Name: 4MM NEOFLEX S4180 180GSM Price: 109 Qty: 322 Unit: M2 Supplier Reference: SHERIDAN SPECIALIZED BUILDING PRODUCTS  L.L.C PO Reference: MRG-LPO-00574</v>
      </c>
      <c r="M80" s="1" t="s">
        <v>19</v>
      </c>
    </row>
    <row r="81" spans="1:13" s="1" customFormat="1" ht="30" x14ac:dyDescent="0.25">
      <c r="A81" s="12" t="s">
        <v>278</v>
      </c>
      <c r="B81" s="1" t="s">
        <v>279</v>
      </c>
      <c r="C81" s="1" t="s">
        <v>280</v>
      </c>
      <c r="D81" s="1" t="s">
        <v>280</v>
      </c>
      <c r="E81" s="1" t="s">
        <v>15</v>
      </c>
      <c r="F81" s="1" t="s">
        <v>281</v>
      </c>
      <c r="G81" s="1" t="s">
        <v>282</v>
      </c>
      <c r="H81" s="13">
        <v>1</v>
      </c>
      <c r="I81" s="13">
        <v>1</v>
      </c>
      <c r="J81" s="13">
        <v>0</v>
      </c>
      <c r="K81" s="13" t="s">
        <v>283</v>
      </c>
      <c r="L81" s="14" t="str" cm="1">
        <f t="array" ref="L8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Data'!$J$2:$J$10000=D81)*
(('Master Data'!$K$2:$K$10000-'Master Data'!$Q$2:$Q$10000)&lt;&gt;0)
)
),
"Not Found")</f>
        <v>Name: 66 SEATER BUS WITH DRIVER &amp; FUEL Price: 8000 Qty: 1 Unit: Nos Supplier Reference: SHINGAK PASSENGERS TRANSPORT BY RENTED BUSES LLC PO Reference: PUR-ORD-2025-00015-1</v>
      </c>
      <c r="M81" s="1" t="s">
        <v>19</v>
      </c>
    </row>
    <row r="82" spans="1:13" s="1" customFormat="1" ht="45" x14ac:dyDescent="0.25">
      <c r="A82" s="12" t="s">
        <v>284</v>
      </c>
      <c r="B82" s="1" t="s">
        <v>285</v>
      </c>
      <c r="C82" s="1" t="s">
        <v>286</v>
      </c>
      <c r="D82" s="1" t="s">
        <v>286</v>
      </c>
      <c r="E82" s="1" t="s">
        <v>15</v>
      </c>
      <c r="F82" s="1" t="s">
        <v>287</v>
      </c>
      <c r="G82" s="1" t="s">
        <v>288</v>
      </c>
      <c r="H82" s="13">
        <v>8227</v>
      </c>
      <c r="I82" s="13">
        <v>822.7</v>
      </c>
      <c r="J82" s="13">
        <v>-7404.3</v>
      </c>
      <c r="K82" s="13" t="s">
        <v>18</v>
      </c>
      <c r="L82" s="14" t="str" cm="1">
        <f t="array" ref="L8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Data'!$J$2:$J$10000=D82)*
(('Master Data'!$K$2:$K$10000-'Master Data'!$Q$2:$Q$10000)&lt;&gt;0)
)
),
"Not Found")</f>
        <v>Name: SIKA SHIELD E35 PE SA 4MM ROLL 1MX10M Price: 100 Qty: 4488 Unit: M2 Supplier Reference: SIKA UAE LLC PO Reference: MRG-LPO-00014
Name: SIKA SHIELD E35 PE SA 4MM ROLL 1MX10M Price: 110 Qty: 3728 Unit: M2 Supplier Reference: MR MD For Project Management Services EST PO Reference: PUR-ORD-2026-00049
Name: SIKA SHIELD E35 PE SA 4MM ROLL 1MX10M Price: 110 Qty: 11 Unit: M2 Supplier Reference: MR MD For Project Management Services EST PO Reference: PUR-ORD-2026-00049</v>
      </c>
      <c r="M82" s="1" t="s">
        <v>19</v>
      </c>
    </row>
    <row r="83" spans="1:13" s="1" customFormat="1" ht="60" x14ac:dyDescent="0.25">
      <c r="A83" s="12"/>
      <c r="B83" s="1" t="s">
        <v>285</v>
      </c>
      <c r="C83" s="1" t="s">
        <v>289</v>
      </c>
      <c r="D83" s="1" t="s">
        <v>289</v>
      </c>
      <c r="E83" s="1" t="s">
        <v>15</v>
      </c>
      <c r="F83" s="1" t="s">
        <v>290</v>
      </c>
      <c r="G83" s="1" t="s">
        <v>291</v>
      </c>
      <c r="H83" s="13">
        <v>2650</v>
      </c>
      <c r="I83" s="13">
        <v>265</v>
      </c>
      <c r="J83" s="13">
        <v>-2385</v>
      </c>
      <c r="K83" s="13" t="s">
        <v>18</v>
      </c>
      <c r="L83" s="14" t="str" cm="1">
        <f t="array" ref="L8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Data'!$J$2:$J$10000=D83)*
(('Master Data'!$K$2:$K$10000-'Master Data'!$Q$2:$Q$10000)&lt;&gt;0)
)
),
"Not Found")</f>
        <v>Name: SIKA SHIELD P26 MG SA 4MM ROLL 1MX10M Price: 115 Qty: 1777 Unit: M2 Supplier Reference: SIKA UAE LLC PO Reference: MRG-LPO-00016
Name: SIKA SHIELD P26 MG SA 4MM ROLL 1MX10M Price: 125 Qty: 45 Unit: M2 Supplier Reference: SIKA UAE LLC PO Reference: MRG-LPO-00241
Name: SIKA SHIELD P26 MG SA 4MM ROLL 1MX10M Price: 125 Qty: 253 Unit: M2 Supplier Reference: SIKA UAE LLC PO Reference: MRG-LPO-00334
Name: SIKA SHIELD P26 MG SA 4MM ROLL 1MX10M Price: 125 Qty: 575 Unit: M2 Supplier Reference: MR MD For Project Management Services EST PO Reference: PUR-ORD-2026-00049</v>
      </c>
      <c r="M83" s="1" t="s">
        <v>19</v>
      </c>
    </row>
    <row r="84" spans="1:13" s="1" customFormat="1" x14ac:dyDescent="0.25">
      <c r="A84" s="12"/>
      <c r="B84" s="1" t="s">
        <v>285</v>
      </c>
      <c r="C84" s="1" t="s">
        <v>292</v>
      </c>
      <c r="D84" s="1" t="s">
        <v>292</v>
      </c>
      <c r="E84" s="1" t="s">
        <v>15</v>
      </c>
      <c r="F84" s="1" t="s">
        <v>293</v>
      </c>
      <c r="G84" s="1" t="s">
        <v>294</v>
      </c>
      <c r="H84" s="13">
        <v>64</v>
      </c>
      <c r="I84" s="13">
        <v>64</v>
      </c>
      <c r="J84" s="13">
        <v>0</v>
      </c>
      <c r="K84" s="13" t="s">
        <v>18</v>
      </c>
      <c r="L84" s="14" t="str" cm="1">
        <f t="array" ref="L8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Data'!$J$2:$J$10000=D84)*
(('Master Data'!$K$2:$K$10000-'Master Data'!$Q$2:$Q$10000)&lt;&gt;0)
)
),
"Not Found")</f>
        <v>Name: SIKALASTIC -152 AE PART A+B SYSTEM CON.33KG Price: 115 Qty: 64 Unit: KIT Supplier Reference: MR MD For Project Management Services EST PO Reference: PUR-ORD-2026-00049</v>
      </c>
      <c r="M84" s="1" t="s">
        <v>19</v>
      </c>
    </row>
    <row r="85" spans="1:13" s="1" customFormat="1" x14ac:dyDescent="0.25">
      <c r="A85" s="12"/>
      <c r="B85" s="1" t="s">
        <v>285</v>
      </c>
      <c r="C85" s="1" t="s">
        <v>295</v>
      </c>
      <c r="D85" s="1" t="s">
        <v>295</v>
      </c>
      <c r="E85" s="1" t="s">
        <v>15</v>
      </c>
      <c r="F85" s="1" t="s">
        <v>296</v>
      </c>
      <c r="G85" s="1" t="s">
        <v>297</v>
      </c>
      <c r="H85" s="13">
        <v>50</v>
      </c>
      <c r="I85" s="13">
        <v>50</v>
      </c>
      <c r="J85" s="13">
        <v>0</v>
      </c>
      <c r="K85" s="13" t="s">
        <v>18</v>
      </c>
      <c r="L85" s="14" t="str" cm="1">
        <f t="array" ref="L8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Data'!$J$2:$J$10000=D85)*
(('Master Data'!$K$2:$K$10000-'Master Data'!$Q$2:$Q$10000)&lt;&gt;0)
)
),
"Not Found")</f>
        <v>Name: SIKAFLEX-428 PRECAST CONCRETE GREY Price: 288 Qty: 50 Unit: PCS Supplier Reference: MR MD For Project Management Services EST PO Reference: PUR-ORD-2026-00049</v>
      </c>
      <c r="M85" s="1" t="s">
        <v>19</v>
      </c>
    </row>
    <row r="86" spans="1:13" s="1" customFormat="1" ht="30" x14ac:dyDescent="0.25">
      <c r="A86" s="12"/>
      <c r="B86" s="1" t="s">
        <v>285</v>
      </c>
      <c r="C86" s="1" t="s">
        <v>298</v>
      </c>
      <c r="D86" s="1" t="s">
        <v>298</v>
      </c>
      <c r="E86" s="1" t="s">
        <v>15</v>
      </c>
      <c r="F86" s="1" t="s">
        <v>299</v>
      </c>
      <c r="G86" s="1" t="s">
        <v>300</v>
      </c>
      <c r="H86" s="13">
        <v>10</v>
      </c>
      <c r="I86" s="13">
        <v>2</v>
      </c>
      <c r="J86" s="13">
        <v>-8</v>
      </c>
      <c r="K86" s="13" t="s">
        <v>18</v>
      </c>
      <c r="L86" s="14" t="str" cm="1">
        <f t="array" ref="L8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Data'!$J$2:$J$10000=D86)*
(('Master Data'!$K$2:$K$10000-'Master Data'!$Q$2:$Q$10000)&lt;&gt;0)
)
),
"Not Found")</f>
        <v>Name: SIKABIT P -12 AE BITUMENIOUS PRIMER  (180KG) DRUM Price: 850 Qty: 8 Unit: Kg Supplier Reference: SIKA UAE LLC PO Reference: PUR-ORD-2025-00006
Name: SIKABIT P -12 AE BITUMENIOUS PRIMER  (180KG) DRUM Price: 900 Qty: 2 Unit: Kg Supplier Reference: MR MD For Project Management Services EST PO Reference: PUR-ORD-2026-00049</v>
      </c>
      <c r="M86" s="1" t="s">
        <v>19</v>
      </c>
    </row>
    <row r="87" spans="1:13" s="1" customFormat="1" x14ac:dyDescent="0.25">
      <c r="A87" s="12"/>
      <c r="B87" s="1" t="s">
        <v>285</v>
      </c>
      <c r="C87" s="1" t="s">
        <v>301</v>
      </c>
      <c r="D87" s="1" t="s">
        <v>301</v>
      </c>
      <c r="E87" s="1" t="s">
        <v>15</v>
      </c>
      <c r="F87" s="1" t="s">
        <v>302</v>
      </c>
      <c r="G87" s="1" t="s">
        <v>303</v>
      </c>
      <c r="H87" s="13">
        <v>5</v>
      </c>
      <c r="I87" s="13">
        <v>5</v>
      </c>
      <c r="J87" s="13">
        <v>0</v>
      </c>
      <c r="K87" s="13" t="s">
        <v>18</v>
      </c>
      <c r="L87" s="14" t="str" cm="1">
        <f t="array" ref="L8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Data'!$J$2:$J$10000=D87)*
(('Master Data'!$K$2:$K$10000-'Master Data'!$Q$2:$Q$10000)&lt;&gt;0)
)
),
"Not Found")</f>
        <v>Name: SIKALASTIC 311 (AE) Price: 238 Qty: 5 Unit: Set Supplier Reference: SIKA UAE LLC PO Reference: MRG-LPO-00515</v>
      </c>
      <c r="M87" s="1" t="s">
        <v>19</v>
      </c>
    </row>
    <row r="88" spans="1:13" s="1" customFormat="1" x14ac:dyDescent="0.25">
      <c r="A88" s="12"/>
      <c r="B88" s="1" t="s">
        <v>285</v>
      </c>
      <c r="C88" s="1" t="s">
        <v>304</v>
      </c>
      <c r="D88" s="1" t="s">
        <v>304</v>
      </c>
      <c r="E88" s="1" t="s">
        <v>15</v>
      </c>
      <c r="F88" s="1" t="s">
        <v>305</v>
      </c>
      <c r="G88" s="1" t="s">
        <v>306</v>
      </c>
      <c r="H88" s="13">
        <v>184</v>
      </c>
      <c r="I88" s="13">
        <v>184</v>
      </c>
      <c r="J88" s="13">
        <v>0</v>
      </c>
      <c r="K88" s="13" t="s">
        <v>18</v>
      </c>
      <c r="L88" s="14" t="str" cm="1">
        <f t="array" ref="L8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Data'!$J$2:$J$10000=D88)*
(('Master Data'!$K$2:$K$10000-'Master Data'!$Q$2:$Q$10000)&lt;&gt;0)
)
),
"Not Found")</f>
        <v>Name: Sikashield E65 PE SA 4mm Price: 128 Qty: 184 Unit: M2 Supplier Reference: SIKA UAE LLC PO Reference: MRG-LPO-00582</v>
      </c>
      <c r="M88" s="1" t="s">
        <v>19</v>
      </c>
    </row>
    <row r="89" spans="1:13" s="1" customFormat="1" ht="30" x14ac:dyDescent="0.25">
      <c r="A89" s="12"/>
      <c r="B89" s="1" t="s">
        <v>285</v>
      </c>
      <c r="C89" s="1" t="s">
        <v>265</v>
      </c>
      <c r="D89" s="1" t="s">
        <v>265</v>
      </c>
      <c r="E89" s="1" t="s">
        <v>15</v>
      </c>
      <c r="F89" s="1" t="s">
        <v>266</v>
      </c>
      <c r="G89" s="1" t="s">
        <v>265</v>
      </c>
      <c r="H89" s="13">
        <v>50</v>
      </c>
      <c r="I89" s="13">
        <v>25</v>
      </c>
      <c r="J89" s="13">
        <v>-25</v>
      </c>
      <c r="K89" s="13" t="s">
        <v>18</v>
      </c>
      <c r="L89" s="14" t="str" cm="1">
        <f t="array" ref="L8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Data'!$J$2:$J$10000=D89)*
(('Master Data'!$K$2:$K$10000-'Master Data'!$Q$2:$Q$10000)&lt;&gt;0)
)
),
"Not Found")</f>
        <v>Name: NEOSEAL FLEX 588 -GREY (PART A 25KG+PART B 10KG) Price: 110 Qty: 50 Unit: KIT Supplier Reference: SHERIDAN SPECIALIZED BUILDING PRODUCTS  L.L.C PO Reference: MRG-LPO-00483</v>
      </c>
      <c r="M89" s="1" t="s">
        <v>19</v>
      </c>
    </row>
    <row r="90" spans="1:13" s="1" customFormat="1" ht="30" x14ac:dyDescent="0.25">
      <c r="A90" s="12" t="s">
        <v>307</v>
      </c>
      <c r="B90" s="1" t="s">
        <v>308</v>
      </c>
      <c r="C90" s="1" t="s">
        <v>309</v>
      </c>
      <c r="D90" s="1" t="s">
        <v>309</v>
      </c>
      <c r="E90" s="1" t="s">
        <v>15</v>
      </c>
      <c r="F90" s="1" t="s">
        <v>310</v>
      </c>
      <c r="G90" s="1" t="s">
        <v>311</v>
      </c>
      <c r="H90" s="13">
        <v>120</v>
      </c>
      <c r="I90" s="13">
        <v>120</v>
      </c>
      <c r="J90" s="13">
        <v>0</v>
      </c>
      <c r="K90" s="13" t="s">
        <v>18</v>
      </c>
      <c r="L90" s="14" t="str" cm="1">
        <f t="array" ref="L9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Data'!$J$2:$J$10000=D90)*
(('Master Data'!$K$2:$K$10000-'Master Data'!$Q$2:$Q$10000)&lt;&gt;0)
)
),
"Not Found")</f>
        <v>Name: WEBERDRY 136 FX GREY KIT (22.5KG) Price: 85 Qty: 120 Unit: KIT Supplier Reference: SODAMCO S.A.L-Abu Dhabi PO Reference: MRG-LPO-00153</v>
      </c>
      <c r="M90" s="1" t="s">
        <v>19</v>
      </c>
    </row>
    <row r="91" spans="1:13" s="1" customFormat="1" x14ac:dyDescent="0.25">
      <c r="A91" s="12"/>
      <c r="B91" s="1" t="s">
        <v>308</v>
      </c>
      <c r="C91" s="1" t="s">
        <v>312</v>
      </c>
      <c r="D91" s="1" t="s">
        <v>312</v>
      </c>
      <c r="E91" s="1" t="s">
        <v>15</v>
      </c>
      <c r="F91" s="1" t="s">
        <v>313</v>
      </c>
      <c r="G91" s="1" t="s">
        <v>314</v>
      </c>
      <c r="H91" s="13">
        <v>100</v>
      </c>
      <c r="I91" s="13">
        <v>100</v>
      </c>
      <c r="J91" s="13">
        <v>0</v>
      </c>
      <c r="K91" s="13" t="s">
        <v>18</v>
      </c>
      <c r="L91" s="14" t="str" cm="1">
        <f t="array" ref="L9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Data'!$J$2:$J$10000=D91)*
(('Master Data'!$K$2:$K$10000-'Master Data'!$Q$2:$Q$10000)&lt;&gt;0)
)
),
"Not Found")</f>
        <v>Name: WEBERSEAL PS  1000 GG/PG 4 Ltr / PACK Price: 100 Qty: 100 Unit: KIT Supplier Reference: MR MD For Project Management Services EST PO Reference: PUR-ORD-2026-00049</v>
      </c>
      <c r="M91" s="1" t="s">
        <v>19</v>
      </c>
    </row>
    <row r="92" spans="1:13" s="1" customFormat="1" ht="30" x14ac:dyDescent="0.25">
      <c r="A92" s="12"/>
      <c r="B92" s="1" t="s">
        <v>308</v>
      </c>
      <c r="C92" s="1" t="s">
        <v>315</v>
      </c>
      <c r="D92" s="1" t="s">
        <v>316</v>
      </c>
      <c r="E92" s="1" t="s">
        <v>15</v>
      </c>
      <c r="F92" s="1" t="s">
        <v>317</v>
      </c>
      <c r="G92" s="1" t="s">
        <v>318</v>
      </c>
      <c r="H92" s="13">
        <v>65</v>
      </c>
      <c r="I92" s="13">
        <v>65</v>
      </c>
      <c r="J92" s="13">
        <v>0</v>
      </c>
      <c r="K92" s="13" t="s">
        <v>18</v>
      </c>
      <c r="L92" s="14" t="str" cm="1">
        <f t="array" ref="L9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Data'!$J$2:$J$10000=D92)*
(('Master Data'!$K$2:$K$10000-'Master Data'!$Q$2:$Q$10000)&lt;&gt;0)
)
),
"Not Found")</f>
        <v>Name:  PROBOARD BITUMINIOUS PROTECTION BOARD  6MM    Price: 36 Qty: 65 Unit: BD Supplier Reference: MR MD For Project Management Services EST PO Reference: PUR-ORD-2026-00049</v>
      </c>
      <c r="M92" s="1" t="s">
        <v>19</v>
      </c>
    </row>
    <row r="93" spans="1:13" s="1" customFormat="1" x14ac:dyDescent="0.25">
      <c r="A93" s="12"/>
      <c r="B93" s="1" t="s">
        <v>308</v>
      </c>
      <c r="C93" s="1" t="s">
        <v>319</v>
      </c>
      <c r="D93" s="1" t="s">
        <v>320</v>
      </c>
      <c r="E93" s="1" t="s">
        <v>15</v>
      </c>
      <c r="F93" s="1" t="s">
        <v>321</v>
      </c>
      <c r="G93" s="1" t="s">
        <v>322</v>
      </c>
      <c r="H93" s="13">
        <v>600</v>
      </c>
      <c r="I93" s="13">
        <v>600</v>
      </c>
      <c r="J93" s="13">
        <v>0</v>
      </c>
      <c r="K93" s="13" t="s">
        <v>18</v>
      </c>
      <c r="L93" s="14" t="str" cm="1">
        <f t="array" ref="L9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Data'!$J$2:$J$10000=D93)*
(('Master Data'!$K$2:$K$10000-'Master Data'!$Q$2:$Q$10000)&lt;&gt;0)
)
),
"Not Found")</f>
        <v>Name: WEBERDRY 116 FX SP  WHITE  KIT (22.5 KG) Price: 79 Qty: 600 Unit: KIT Supplier Reference: SODAMCO S.A.L-Abu Dhabi PO Reference: MRG-LPO-00353-1</v>
      </c>
      <c r="M93" s="1" t="s">
        <v>19</v>
      </c>
    </row>
    <row r="94" spans="1:13" s="1" customFormat="1" x14ac:dyDescent="0.25">
      <c r="A94" s="12"/>
      <c r="B94" s="1" t="s">
        <v>308</v>
      </c>
      <c r="C94" s="1" t="s">
        <v>323</v>
      </c>
      <c r="D94" s="1" t="s">
        <v>323</v>
      </c>
      <c r="E94" s="1" t="s">
        <v>15</v>
      </c>
      <c r="F94" s="1" t="s">
        <v>324</v>
      </c>
      <c r="G94" s="1" t="s">
        <v>325</v>
      </c>
      <c r="H94" s="13">
        <v>650</v>
      </c>
      <c r="I94" s="13">
        <v>650</v>
      </c>
      <c r="J94" s="13">
        <v>0</v>
      </c>
      <c r="K94" s="13" t="s">
        <v>18</v>
      </c>
      <c r="L94" s="14" t="str" cm="1">
        <f t="array" ref="L9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Data'!$J$2:$J$10000=D94)*
(('Master Data'!$K$2:$K$10000-'Master Data'!$Q$2:$Q$10000)&lt;&gt;0)
)
),
"Not Found")</f>
        <v>Name: WEBERDRY 116 FX SP  GREY  KIT (22.5 KG) Price: 71 Qty: 650 Unit: KIT Supplier Reference: MR MD For Project Management Services EST PO Reference: PUR-ORD-2026-00049</v>
      </c>
      <c r="M94" s="1" t="s">
        <v>19</v>
      </c>
    </row>
    <row r="95" spans="1:13" s="1" customFormat="1" x14ac:dyDescent="0.25">
      <c r="A95" s="12"/>
      <c r="B95" s="1" t="s">
        <v>308</v>
      </c>
      <c r="C95" s="1" t="s">
        <v>326</v>
      </c>
      <c r="D95" s="1" t="s">
        <v>327</v>
      </c>
      <c r="E95" s="1" t="s">
        <v>15</v>
      </c>
      <c r="F95" s="1" t="s">
        <v>328</v>
      </c>
      <c r="G95" s="1" t="s">
        <v>329</v>
      </c>
      <c r="H95" s="13">
        <v>200</v>
      </c>
      <c r="I95" s="13">
        <v>200</v>
      </c>
      <c r="J95" s="13">
        <v>0</v>
      </c>
      <c r="K95" s="13" t="s">
        <v>18</v>
      </c>
      <c r="L95" s="14" t="str" cm="1">
        <f t="array" ref="L9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Data'!$J$2:$J$10000=D95)*
(('Master Data'!$K$2:$K$10000-'Master Data'!$Q$2:$Q$10000)&lt;&gt;0)
)
),
"Not Found")</f>
        <v>Name: WEBERDRY 116 FX WHITE  KIT (18 KG) Price: 56 Qty: 200 Unit: KIT Supplier Reference: SODAMCO S.A.L-Abu Dhabi PO Reference: MRG-LPO-00447</v>
      </c>
      <c r="M95" s="1" t="s">
        <v>19</v>
      </c>
    </row>
    <row r="96" spans="1:13" s="1" customFormat="1" x14ac:dyDescent="0.25">
      <c r="A96" s="12"/>
      <c r="B96" s="1" t="s">
        <v>308</v>
      </c>
      <c r="C96" s="1" t="s">
        <v>330</v>
      </c>
      <c r="D96" s="1" t="s">
        <v>331</v>
      </c>
      <c r="E96" s="1" t="s">
        <v>15</v>
      </c>
      <c r="F96" s="1" t="s">
        <v>332</v>
      </c>
      <c r="G96" s="1" t="s">
        <v>333</v>
      </c>
      <c r="H96" s="13">
        <v>2000</v>
      </c>
      <c r="I96" s="13">
        <v>2000</v>
      </c>
      <c r="J96" s="13">
        <v>0</v>
      </c>
      <c r="K96" s="13" t="s">
        <v>18</v>
      </c>
      <c r="L96" s="14" t="str" cm="1">
        <f t="array" ref="L9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Data'!$J$2:$J$10000=D96)*
(('Master Data'!$K$2:$K$10000-'Master Data'!$Q$2:$Q$10000)&lt;&gt;0)
)
),
"Not Found")</f>
        <v>Name: WEBERDRY 116 FX GREY  KIT (18KG) Price: 48 Qty: 2000 Unit: KIT Supplier Reference: SODAMCO S.A.L-Abu Dhabi PO Reference: MRG-LPO-00448</v>
      </c>
      <c r="M96" s="1" t="s">
        <v>19</v>
      </c>
    </row>
    <row r="97" spans="1:13" s="1" customFormat="1" ht="30" x14ac:dyDescent="0.25">
      <c r="A97" s="12"/>
      <c r="B97" s="1" t="s">
        <v>308</v>
      </c>
      <c r="C97" s="1" t="s">
        <v>334</v>
      </c>
      <c r="D97" s="1" t="s">
        <v>335</v>
      </c>
      <c r="E97" s="1" t="s">
        <v>15</v>
      </c>
      <c r="F97" s="1" t="s">
        <v>336</v>
      </c>
      <c r="G97" s="1" t="s">
        <v>337</v>
      </c>
      <c r="H97" s="13">
        <v>200</v>
      </c>
      <c r="I97" s="13">
        <v>200</v>
      </c>
      <c r="J97" s="13">
        <v>0</v>
      </c>
      <c r="K97" s="13" t="s">
        <v>18</v>
      </c>
      <c r="L97" s="14" t="str" cm="1">
        <f t="array" ref="L97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Data'!$J$2:$J$10000=D97)*
(('Master Data'!$K$2:$K$10000-'Master Data'!$Q$2:$Q$10000)&lt;&gt;0)
)
),
"Not Found")</f>
        <v>Name: WEBER JOINTSEAL PU 300 WHITE  (PC) (20 TUBE X 1 BOX) Price: 14 Qty: 200 Unit: TUBE Supplier Reference: SODAMCO S.A.L-Abu Dhabi PO Reference: MRG-LPO-00495</v>
      </c>
      <c r="M97" s="1" t="s">
        <v>19</v>
      </c>
    </row>
    <row r="98" spans="1:13" s="1" customFormat="1" ht="60" x14ac:dyDescent="0.25">
      <c r="A98" s="12" t="s">
        <v>338</v>
      </c>
      <c r="B98" s="1" t="s">
        <v>339</v>
      </c>
      <c r="C98" s="1" t="s">
        <v>340</v>
      </c>
      <c r="D98" s="1" t="s">
        <v>340</v>
      </c>
      <c r="E98" s="1" t="s">
        <v>15</v>
      </c>
      <c r="F98" s="1" t="s">
        <v>341</v>
      </c>
      <c r="G98" s="1" t="s">
        <v>342</v>
      </c>
      <c r="H98" s="13">
        <v>155</v>
      </c>
      <c r="I98" s="13">
        <v>155</v>
      </c>
      <c r="J98" s="13">
        <v>0</v>
      </c>
      <c r="K98" s="13" t="s">
        <v>18</v>
      </c>
      <c r="L98" s="14" t="str" cm="1">
        <f t="array" ref="L98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Data'!$J$2:$J$10000=D98)*
(('Master Data'!$K$2:$K$10000-'Master Data'!$Q$2:$Q$10000)&lt;&gt;0)
)
),
"Not Found")</f>
        <v>Name: COLPHENE BSW H 3.5 Price: 240 Qty: 100 Unit: ROLL Supplier Reference: SOPREMA FOR MANUFACTURING MATERIALS-SOLE PROPRIETORSHIP LLC PO Reference: MRG-LPO-00026
Name: COLPHENE BSW H 3.5 Price: 240 Qty: 55 Unit: ROLL Supplier Reference: SOPREMA FOR MANUFACTURING MATERIALS-SOLE PROPRIETORSHIP LLC PO Reference: MRG-LPO-00027</v>
      </c>
      <c r="M98" s="1" t="s">
        <v>19</v>
      </c>
    </row>
    <row r="99" spans="1:13" s="1" customFormat="1" ht="30" x14ac:dyDescent="0.25">
      <c r="A99" s="12"/>
      <c r="B99" s="1" t="s">
        <v>339</v>
      </c>
      <c r="C99" s="1" t="s">
        <v>343</v>
      </c>
      <c r="D99" s="1" t="s">
        <v>344</v>
      </c>
      <c r="E99" s="1" t="s">
        <v>15</v>
      </c>
      <c r="F99" s="1" t="s">
        <v>345</v>
      </c>
      <c r="G99" s="1" t="s">
        <v>346</v>
      </c>
      <c r="H99" s="13">
        <v>2</v>
      </c>
      <c r="I99" s="13">
        <v>2</v>
      </c>
      <c r="J99" s="13">
        <v>0</v>
      </c>
      <c r="K99" s="13" t="s">
        <v>18</v>
      </c>
      <c r="L99" s="14" t="str" cm="1">
        <f t="array" ref="L99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Data'!$J$2:$J$10000=D99)*
(('Master Data'!$K$2:$K$10000-'Master Data'!$Q$2:$Q$10000)&lt;&gt;0)
)
),
"Not Found")</f>
        <v>Name: SOPRAMASTIC LM  Price: 120 Qty: 2 Unit: PAIL Supplier Reference: MR MD For Project Management Services EST PO Reference: PUR-ORD-2026-00049</v>
      </c>
      <c r="M99" s="1" t="s">
        <v>19</v>
      </c>
    </row>
    <row r="100" spans="1:13" s="1" customFormat="1" ht="30" x14ac:dyDescent="0.25">
      <c r="A100" s="12"/>
      <c r="B100" s="1" t="s">
        <v>339</v>
      </c>
      <c r="C100" s="1" t="s">
        <v>347</v>
      </c>
      <c r="D100" s="1" t="s">
        <v>347</v>
      </c>
      <c r="E100" s="1" t="s">
        <v>15</v>
      </c>
      <c r="F100" s="1" t="s">
        <v>348</v>
      </c>
      <c r="G100" s="1" t="s">
        <v>349</v>
      </c>
      <c r="H100" s="13">
        <v>350</v>
      </c>
      <c r="I100" s="13">
        <v>350</v>
      </c>
      <c r="J100" s="13">
        <v>0</v>
      </c>
      <c r="K100" s="13" t="s">
        <v>18</v>
      </c>
      <c r="L100" s="14" t="str" cm="1">
        <f t="array" ref="L100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Data'!$J$2:$J$10000=D100)*
(('Master Data'!$K$2:$K$10000-'Master Data'!$Q$2:$Q$10000)&lt;&gt;0)
)
),
"Not Found")</f>
        <v>Name: SOPRABOARD SF 3MM Price: 18 Qty: 350 Unit: BD Supplier Reference: MR MD For Project Management Services EST PO Reference: PUR-ORD-2026-00049</v>
      </c>
      <c r="M100" s="1" t="s">
        <v>19</v>
      </c>
    </row>
    <row r="101" spans="1:13" s="1" customFormat="1" ht="30" x14ac:dyDescent="0.25">
      <c r="A101" s="12"/>
      <c r="B101" s="1" t="s">
        <v>339</v>
      </c>
      <c r="C101" s="1" t="s">
        <v>350</v>
      </c>
      <c r="D101" s="1" t="s">
        <v>350</v>
      </c>
      <c r="E101" s="1" t="s">
        <v>15</v>
      </c>
      <c r="F101" s="1" t="s">
        <v>351</v>
      </c>
      <c r="G101" s="1" t="s">
        <v>352</v>
      </c>
      <c r="H101" s="13">
        <v>25</v>
      </c>
      <c r="I101" s="13">
        <v>25</v>
      </c>
      <c r="J101" s="13">
        <v>0</v>
      </c>
      <c r="K101" s="13" t="s">
        <v>18</v>
      </c>
      <c r="L101" s="14" t="str" cm="1">
        <f t="array" ref="L101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Data'!$J$2:$J$10000=D101)*
(('Master Data'!$K$2:$K$10000-'Master Data'!$Q$2:$Q$10000)&lt;&gt;0)
)
),
"Not Found")</f>
        <v>Name: COLPHENE SP LAP Price: 100 Qty: 25 Unit: ROLL Supplier Reference: MR MD For Project Management Services EST PO Reference: PUR-ORD-2026-00049</v>
      </c>
      <c r="M101" s="1" t="s">
        <v>19</v>
      </c>
    </row>
    <row r="102" spans="1:13" s="1" customFormat="1" ht="60" x14ac:dyDescent="0.25">
      <c r="A102" s="12"/>
      <c r="B102" s="1" t="s">
        <v>339</v>
      </c>
      <c r="C102" s="1" t="s">
        <v>353</v>
      </c>
      <c r="D102" s="1" t="s">
        <v>353</v>
      </c>
      <c r="E102" s="1" t="s">
        <v>15</v>
      </c>
      <c r="F102" s="1" t="s">
        <v>354</v>
      </c>
      <c r="G102" s="1" t="s">
        <v>355</v>
      </c>
      <c r="H102" s="13">
        <v>9</v>
      </c>
      <c r="I102" s="13">
        <v>9</v>
      </c>
      <c r="J102" s="13">
        <v>0</v>
      </c>
      <c r="K102" s="13" t="s">
        <v>18</v>
      </c>
      <c r="L102" s="14" t="str" cm="1">
        <f t="array" ref="L102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Data'!$J$2:$J$10000=D102)*
(('Master Data'!$K$2:$K$10000-'Master Data'!$Q$2:$Q$10000)&lt;&gt;0)
)
),
"Not Found")</f>
        <v>Name: SOPRADERE HT (200LTR /DRUM) Price: 1000 Qty: 8 Unit: Nos Supplier Reference: SOPREMA FOR MANUFACTURING MATERIALS-SOLE PROPRIETORSHIP LLC PO Reference: MRG-LPO-00611
Name: SOPRADERE HT (200LTR /DRUM) Price: 850 Qty: 1 Unit: DRUM Supplier Reference: MR MD For Project Management Services EST PO Reference: PUR-ORD-2026-00049</v>
      </c>
      <c r="M102" s="1" t="s">
        <v>19</v>
      </c>
    </row>
    <row r="103" spans="1:13" s="1" customFormat="1" ht="30" x14ac:dyDescent="0.25">
      <c r="A103" s="12"/>
      <c r="B103" s="1" t="s">
        <v>339</v>
      </c>
      <c r="C103" s="1" t="s">
        <v>356</v>
      </c>
      <c r="D103" s="1" t="s">
        <v>356</v>
      </c>
      <c r="E103" s="1" t="s">
        <v>15</v>
      </c>
      <c r="F103" s="1" t="s">
        <v>357</v>
      </c>
      <c r="G103" s="1" t="s">
        <v>358</v>
      </c>
      <c r="H103" s="13">
        <v>235</v>
      </c>
      <c r="I103" s="13">
        <v>235</v>
      </c>
      <c r="J103" s="13">
        <v>0</v>
      </c>
      <c r="K103" s="13" t="s">
        <v>18</v>
      </c>
      <c r="L103" s="14" t="str" cm="1">
        <f t="array" ref="L103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Data'!$J$2:$J$10000=D103)*
(('Master Data'!$K$2:$K$10000-'Master Data'!$Q$2:$Q$10000)&lt;&gt;0)
)
),
"Not Found")</f>
        <v>Name: SOPRALENE FLAM JARDIN 200 4P20 Price: 126 Qty: 235 Unit: Nos Supplier Reference: MR MD For Project Management Services EST PO Reference: PUR-ORD-2026-00049</v>
      </c>
      <c r="M103" s="1" t="s">
        <v>19</v>
      </c>
    </row>
    <row r="104" spans="1:13" s="1" customFormat="1" ht="30" x14ac:dyDescent="0.25">
      <c r="A104" s="12"/>
      <c r="B104" s="1" t="s">
        <v>339</v>
      </c>
      <c r="C104" s="1" t="s">
        <v>359</v>
      </c>
      <c r="D104" s="1" t="s">
        <v>359</v>
      </c>
      <c r="E104" s="1" t="s">
        <v>15</v>
      </c>
      <c r="F104" s="1" t="s">
        <v>360</v>
      </c>
      <c r="G104" s="1" t="s">
        <v>361</v>
      </c>
      <c r="H104" s="13">
        <v>822</v>
      </c>
      <c r="I104" s="13">
        <v>822</v>
      </c>
      <c r="J104" s="13">
        <v>0</v>
      </c>
      <c r="K104" s="13" t="s">
        <v>18</v>
      </c>
      <c r="L104" s="14" t="str" cm="1">
        <f t="array" ref="L104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Data'!$J$2:$J$10000=D104)*
(('Master Data'!$K$2:$K$10000-'Master Data'!$Q$2:$Q$10000)&lt;&gt;0)
)
),
"Not Found")</f>
        <v>Name: SOPRALENE FLAME 180 4P10 Price: 120 Qty: 822 Unit: ROLL Supplier Reference: MR MD For Project Management Services EST PO Reference: PUR-ORD-2026-00049</v>
      </c>
      <c r="M104" s="1" t="s">
        <v>19</v>
      </c>
    </row>
    <row r="105" spans="1:13" s="1" customFormat="1" ht="30" x14ac:dyDescent="0.25">
      <c r="A105" s="12"/>
      <c r="B105" s="1" t="s">
        <v>339</v>
      </c>
      <c r="C105" s="1" t="s">
        <v>347</v>
      </c>
      <c r="D105" s="1" t="s">
        <v>347</v>
      </c>
      <c r="E105" s="1" t="s">
        <v>15</v>
      </c>
      <c r="F105" s="1" t="s">
        <v>348</v>
      </c>
      <c r="G105" s="1" t="s">
        <v>362</v>
      </c>
      <c r="H105" s="13">
        <v>350</v>
      </c>
      <c r="I105" s="13">
        <v>200</v>
      </c>
      <c r="J105" s="13">
        <v>-150</v>
      </c>
      <c r="K105" s="13" t="s">
        <v>18</v>
      </c>
      <c r="L105" s="14" t="str" cm="1">
        <f t="array" ref="L105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Data'!$J$2:$J$10000=D105)*
(('Master Data'!$K$2:$K$10000-'Master Data'!$Q$2:$Q$10000)&lt;&gt;0)
)
),
"Not Found")</f>
        <v>Name: SOPRABOARD SF 3MM Price: 18 Qty: 350 Unit: BD Supplier Reference: MR MD For Project Management Services EST PO Reference: PUR-ORD-2026-00049</v>
      </c>
      <c r="M105" s="1" t="s">
        <v>19</v>
      </c>
    </row>
    <row r="106" spans="1:13" s="1" customFormat="1" ht="30" x14ac:dyDescent="0.25">
      <c r="A106" s="12"/>
      <c r="B106" s="1" t="s">
        <v>339</v>
      </c>
      <c r="C106" s="1" t="s">
        <v>363</v>
      </c>
      <c r="D106" s="1" t="s">
        <v>363</v>
      </c>
      <c r="E106" s="1" t="s">
        <v>15</v>
      </c>
      <c r="F106" s="1" t="s">
        <v>364</v>
      </c>
      <c r="G106" s="1" t="s">
        <v>363</v>
      </c>
      <c r="H106" s="13">
        <v>150</v>
      </c>
      <c r="I106" s="13">
        <v>150</v>
      </c>
      <c r="J106" s="13">
        <v>0</v>
      </c>
      <c r="K106" s="13" t="s">
        <v>18</v>
      </c>
      <c r="L106" s="14" t="str" cm="1">
        <f t="array" ref="L106">IFERROR(
_xlfn.TEXTJOIN(CHAR(10),TRUE,
_xlfn._xlws.FILTER(
"Name: "&amp;'Master Data'!$J$2:$J$10000&amp;
" Price: "&amp;'Master Data'!$L$2:$L$10000&amp;
" Qty: "&amp;('Master Data'!$K$2:$K$10000-'Master Data'!$Q$2:$Q$10000)&amp;
" Unit: "&amp;'Master Data'!$N$2:$N$10000&amp;
" Supplier Reference: "&amp;'Master Data'!$B$2:$B$10000&amp;
" PO Reference: "&amp;'Master Data'!$A$2:$A$10000,
('Master Data'!$J$2:$J$10000=D106)*
(('Master Data'!$K$2:$K$10000-'Master Data'!$Q$2:$Q$10000)&lt;&gt;0)
)
),
"Not Found")</f>
        <v>Name: SOPRABOARD SF 6MM (1M*2M ) Price: 30 Qty: 150 Unit: Nos Supplier Reference: MR MD For Project Management Services EST PO Reference: PUR-ORD-2026-00049</v>
      </c>
      <c r="M106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3733-9B4B-4E9F-B635-CD3A2E61A54F}">
  <dimension ref="A1:Q571"/>
  <sheetViews>
    <sheetView zoomScale="115" zoomScaleNormal="115" workbookViewId="0">
      <selection activeCell="K2" sqref="K2:K127"/>
    </sheetView>
  </sheetViews>
  <sheetFormatPr defaultRowHeight="15" x14ac:dyDescent="0.25"/>
  <cols>
    <col min="1" max="1" width="34.28515625" customWidth="1"/>
    <col min="2" max="2" width="68.140625" customWidth="1"/>
    <col min="3" max="3" width="16.42578125" style="8" customWidth="1"/>
    <col min="4" max="4" width="35" customWidth="1"/>
    <col min="5" max="5" width="15.140625" customWidth="1"/>
    <col min="6" max="6" width="9.140625" style="8"/>
    <col min="7" max="7" width="27.85546875" customWidth="1"/>
    <col min="8" max="8" width="24.42578125" style="7" customWidth="1"/>
    <col min="9" max="10" width="56.7109375" customWidth="1"/>
    <col min="11" max="12" width="14.85546875" style="9" customWidth="1"/>
    <col min="13" max="13" width="20" customWidth="1"/>
    <col min="16" max="16" width="11.42578125" customWidth="1"/>
    <col min="17" max="17" width="28" style="7" customWidth="1"/>
  </cols>
  <sheetData>
    <row r="1" spans="1:17" s="2" customFormat="1" ht="30" customHeight="1" x14ac:dyDescent="0.25">
      <c r="A1" s="15" t="s">
        <v>365</v>
      </c>
      <c r="B1" s="15" t="s">
        <v>366</v>
      </c>
      <c r="C1" s="15" t="s">
        <v>367</v>
      </c>
      <c r="D1" s="15" t="s">
        <v>368</v>
      </c>
      <c r="E1" s="15" t="s">
        <v>369</v>
      </c>
      <c r="F1" s="15" t="s">
        <v>370</v>
      </c>
      <c r="G1" s="15" t="s">
        <v>371</v>
      </c>
      <c r="H1" s="16" t="s">
        <v>372</v>
      </c>
      <c r="I1" s="15" t="s">
        <v>373</v>
      </c>
      <c r="J1" s="2" t="s">
        <v>374</v>
      </c>
      <c r="K1" s="17" t="s">
        <v>375</v>
      </c>
      <c r="L1" s="17" t="s">
        <v>376</v>
      </c>
      <c r="M1" s="2" t="s">
        <v>377</v>
      </c>
      <c r="N1" s="2" t="s">
        <v>378</v>
      </c>
      <c r="O1" s="2" t="s">
        <v>379</v>
      </c>
      <c r="P1" s="2" t="s">
        <v>380</v>
      </c>
      <c r="Q1" s="18" t="s">
        <v>381</v>
      </c>
    </row>
    <row r="2" spans="1:17" x14ac:dyDescent="0.25">
      <c r="A2" t="s">
        <v>861</v>
      </c>
      <c r="B2" t="s">
        <v>13</v>
      </c>
      <c r="C2" s="19">
        <v>45904</v>
      </c>
      <c r="D2" t="s">
        <v>384</v>
      </c>
      <c r="E2" t="s">
        <v>385</v>
      </c>
      <c r="F2" s="8">
        <v>1</v>
      </c>
      <c r="G2" t="s">
        <v>386</v>
      </c>
      <c r="H2" s="7">
        <v>13420</v>
      </c>
      <c r="I2" t="s">
        <v>17</v>
      </c>
      <c r="J2" t="s">
        <v>14</v>
      </c>
      <c r="K2" s="9">
        <v>122</v>
      </c>
      <c r="L2" s="9">
        <v>110</v>
      </c>
      <c r="M2" s="20">
        <v>46387</v>
      </c>
      <c r="N2" t="s">
        <v>836</v>
      </c>
      <c r="O2" t="s">
        <v>836</v>
      </c>
      <c r="P2">
        <v>1</v>
      </c>
      <c r="Q2" s="7">
        <v>108</v>
      </c>
    </row>
    <row r="3" spans="1:17" x14ac:dyDescent="0.25">
      <c r="A3" t="s">
        <v>737</v>
      </c>
      <c r="B3" t="s">
        <v>285</v>
      </c>
      <c r="C3" s="19">
        <v>45971</v>
      </c>
      <c r="D3" t="s">
        <v>384</v>
      </c>
      <c r="E3" t="s">
        <v>385</v>
      </c>
      <c r="F3" s="8">
        <v>1</v>
      </c>
      <c r="G3" t="s">
        <v>386</v>
      </c>
      <c r="H3" s="7">
        <v>207000</v>
      </c>
      <c r="I3" t="s">
        <v>289</v>
      </c>
      <c r="J3" t="s">
        <v>289</v>
      </c>
      <c r="K3" s="9">
        <v>1800</v>
      </c>
      <c r="L3" s="9">
        <v>115</v>
      </c>
      <c r="M3" s="20">
        <v>46112</v>
      </c>
      <c r="N3" t="s">
        <v>388</v>
      </c>
      <c r="O3" t="s">
        <v>209</v>
      </c>
      <c r="P3">
        <v>10</v>
      </c>
      <c r="Q3" s="7">
        <v>23</v>
      </c>
    </row>
    <row r="4" spans="1:17" x14ac:dyDescent="0.25">
      <c r="A4" t="s">
        <v>545</v>
      </c>
      <c r="B4" t="s">
        <v>48</v>
      </c>
      <c r="C4" s="19">
        <v>45996</v>
      </c>
      <c r="D4" t="s">
        <v>384</v>
      </c>
      <c r="E4" t="s">
        <v>385</v>
      </c>
      <c r="F4" s="8">
        <v>1</v>
      </c>
      <c r="G4" t="s">
        <v>386</v>
      </c>
      <c r="H4" s="7">
        <v>32292</v>
      </c>
      <c r="I4" t="s">
        <v>58</v>
      </c>
      <c r="J4" t="s">
        <v>58</v>
      </c>
      <c r="K4" s="9">
        <v>276</v>
      </c>
      <c r="L4" s="9">
        <v>117</v>
      </c>
      <c r="M4" s="20">
        <v>46022</v>
      </c>
      <c r="N4" t="s">
        <v>388</v>
      </c>
      <c r="O4" t="s">
        <v>209</v>
      </c>
      <c r="P4">
        <v>10</v>
      </c>
      <c r="Q4" s="7">
        <v>0</v>
      </c>
    </row>
    <row r="5" spans="1:17" x14ac:dyDescent="0.25">
      <c r="A5" t="s">
        <v>546</v>
      </c>
      <c r="B5" t="s">
        <v>285</v>
      </c>
      <c r="C5" s="19">
        <v>45996</v>
      </c>
      <c r="D5" t="s">
        <v>384</v>
      </c>
      <c r="E5" t="s">
        <v>385</v>
      </c>
      <c r="F5" s="8">
        <v>1</v>
      </c>
      <c r="G5" t="s">
        <v>386</v>
      </c>
      <c r="H5" s="7">
        <v>6800</v>
      </c>
      <c r="I5" t="s">
        <v>298</v>
      </c>
      <c r="J5" t="s">
        <v>298</v>
      </c>
      <c r="K5" s="9">
        <v>8</v>
      </c>
      <c r="L5" s="9">
        <v>850</v>
      </c>
      <c r="M5" s="20">
        <v>46022</v>
      </c>
      <c r="N5" t="s">
        <v>398</v>
      </c>
      <c r="O5" t="s">
        <v>441</v>
      </c>
      <c r="P5">
        <v>180</v>
      </c>
      <c r="Q5" s="7">
        <v>0</v>
      </c>
    </row>
    <row r="6" spans="1:17" x14ac:dyDescent="0.25">
      <c r="A6" t="s">
        <v>787</v>
      </c>
      <c r="B6" t="s">
        <v>788</v>
      </c>
      <c r="C6" s="19">
        <v>45996</v>
      </c>
      <c r="D6" t="s">
        <v>384</v>
      </c>
      <c r="E6" t="s">
        <v>385</v>
      </c>
      <c r="F6" s="8">
        <v>1</v>
      </c>
      <c r="G6" t="s">
        <v>386</v>
      </c>
      <c r="H6" s="7">
        <v>1700</v>
      </c>
      <c r="I6" t="s">
        <v>789</v>
      </c>
      <c r="J6" t="s">
        <v>790</v>
      </c>
      <c r="K6" s="9">
        <v>2</v>
      </c>
      <c r="L6" s="9">
        <v>850</v>
      </c>
      <c r="M6" s="20">
        <v>46022</v>
      </c>
      <c r="N6" t="s">
        <v>18</v>
      </c>
      <c r="O6" t="s">
        <v>18</v>
      </c>
      <c r="P6">
        <v>1</v>
      </c>
      <c r="Q6" s="7">
        <v>0</v>
      </c>
    </row>
    <row r="7" spans="1:17" x14ac:dyDescent="0.25">
      <c r="A7" t="s">
        <v>547</v>
      </c>
      <c r="B7" t="s">
        <v>48</v>
      </c>
      <c r="C7" s="19">
        <v>45997</v>
      </c>
      <c r="D7" t="s">
        <v>384</v>
      </c>
      <c r="E7" t="s">
        <v>385</v>
      </c>
      <c r="F7" s="8">
        <v>1</v>
      </c>
      <c r="G7" t="s">
        <v>386</v>
      </c>
      <c r="H7" s="7">
        <v>26910</v>
      </c>
      <c r="I7" t="s">
        <v>58</v>
      </c>
      <c r="J7" t="s">
        <v>58</v>
      </c>
      <c r="K7" s="9">
        <v>230</v>
      </c>
      <c r="L7" s="9">
        <v>117</v>
      </c>
      <c r="M7" s="20">
        <v>46022</v>
      </c>
      <c r="N7" t="s">
        <v>388</v>
      </c>
      <c r="O7" t="s">
        <v>209</v>
      </c>
      <c r="P7">
        <v>10</v>
      </c>
      <c r="Q7" s="7">
        <v>0</v>
      </c>
    </row>
    <row r="8" spans="1:17" x14ac:dyDescent="0.25">
      <c r="A8" t="s">
        <v>548</v>
      </c>
      <c r="B8" t="s">
        <v>23</v>
      </c>
      <c r="C8" s="19">
        <v>45998</v>
      </c>
      <c r="D8" t="s">
        <v>384</v>
      </c>
      <c r="E8" t="s">
        <v>385</v>
      </c>
      <c r="F8" s="8">
        <v>1</v>
      </c>
      <c r="G8" t="s">
        <v>386</v>
      </c>
      <c r="H8" s="7">
        <v>2600</v>
      </c>
      <c r="I8" t="s">
        <v>401</v>
      </c>
      <c r="J8" t="s">
        <v>401</v>
      </c>
      <c r="K8" s="9">
        <v>80</v>
      </c>
      <c r="L8" s="9">
        <v>32.5</v>
      </c>
      <c r="M8" s="20">
        <v>46022</v>
      </c>
      <c r="N8" t="s">
        <v>18</v>
      </c>
      <c r="O8" t="s">
        <v>402</v>
      </c>
      <c r="P8">
        <v>1</v>
      </c>
      <c r="Q8" s="7">
        <v>0</v>
      </c>
    </row>
    <row r="9" spans="1:17" x14ac:dyDescent="0.25">
      <c r="A9" t="s">
        <v>797</v>
      </c>
      <c r="B9" t="s">
        <v>240</v>
      </c>
      <c r="C9" s="19">
        <v>45999</v>
      </c>
      <c r="D9" t="s">
        <v>384</v>
      </c>
      <c r="E9" t="s">
        <v>385</v>
      </c>
      <c r="F9" s="8">
        <v>1</v>
      </c>
      <c r="G9" t="s">
        <v>386</v>
      </c>
      <c r="H9" s="7">
        <v>49200</v>
      </c>
      <c r="I9" t="s">
        <v>245</v>
      </c>
      <c r="J9" t="s">
        <v>245</v>
      </c>
      <c r="K9" s="9">
        <v>24</v>
      </c>
      <c r="L9" s="9">
        <v>2050</v>
      </c>
      <c r="M9" s="20">
        <v>46022</v>
      </c>
      <c r="N9" t="s">
        <v>398</v>
      </c>
      <c r="O9" t="s">
        <v>441</v>
      </c>
      <c r="P9">
        <v>250</v>
      </c>
      <c r="Q9" s="7">
        <v>10</v>
      </c>
    </row>
    <row r="10" spans="1:17" x14ac:dyDescent="0.25">
      <c r="A10" t="s">
        <v>549</v>
      </c>
      <c r="B10" t="s">
        <v>28</v>
      </c>
      <c r="C10" s="19">
        <v>46000</v>
      </c>
      <c r="D10" t="s">
        <v>384</v>
      </c>
      <c r="E10" t="s">
        <v>385</v>
      </c>
      <c r="F10" s="8">
        <v>1</v>
      </c>
      <c r="G10" t="s">
        <v>386</v>
      </c>
      <c r="H10" s="7">
        <v>700</v>
      </c>
      <c r="I10" t="s">
        <v>550</v>
      </c>
      <c r="J10" t="s">
        <v>550</v>
      </c>
      <c r="K10" s="9">
        <v>1000</v>
      </c>
      <c r="L10" s="9">
        <v>0.7</v>
      </c>
      <c r="M10" s="20">
        <v>46022</v>
      </c>
      <c r="N10" t="s">
        <v>18</v>
      </c>
      <c r="O10" t="s">
        <v>18</v>
      </c>
      <c r="P10">
        <v>1</v>
      </c>
      <c r="Q10" s="7">
        <v>0</v>
      </c>
    </row>
    <row r="11" spans="1:17" x14ac:dyDescent="0.25">
      <c r="A11" t="s">
        <v>551</v>
      </c>
      <c r="B11" t="s">
        <v>35</v>
      </c>
      <c r="C11" s="19">
        <v>46001</v>
      </c>
      <c r="D11" t="s">
        <v>384</v>
      </c>
      <c r="E11" t="s">
        <v>385</v>
      </c>
      <c r="F11" s="8">
        <v>1</v>
      </c>
      <c r="G11" t="s">
        <v>386</v>
      </c>
      <c r="H11" s="7">
        <v>720</v>
      </c>
      <c r="I11" t="s">
        <v>37</v>
      </c>
      <c r="J11" t="s">
        <v>37</v>
      </c>
      <c r="K11" s="9">
        <v>12</v>
      </c>
      <c r="L11" s="9">
        <v>60</v>
      </c>
      <c r="M11" s="20">
        <v>46022</v>
      </c>
      <c r="N11" t="s">
        <v>38</v>
      </c>
      <c r="O11" t="s">
        <v>38</v>
      </c>
      <c r="P11">
        <v>1</v>
      </c>
      <c r="Q11" s="7">
        <v>0</v>
      </c>
    </row>
    <row r="12" spans="1:17" x14ac:dyDescent="0.25">
      <c r="A12" t="s">
        <v>552</v>
      </c>
      <c r="B12" t="s">
        <v>553</v>
      </c>
      <c r="C12" s="19">
        <v>46001</v>
      </c>
      <c r="D12" t="s">
        <v>384</v>
      </c>
      <c r="E12" t="s">
        <v>385</v>
      </c>
      <c r="F12" s="8">
        <v>1</v>
      </c>
      <c r="G12" t="s">
        <v>386</v>
      </c>
      <c r="H12" s="7">
        <v>240</v>
      </c>
      <c r="I12" t="s">
        <v>37</v>
      </c>
      <c r="J12" t="s">
        <v>37</v>
      </c>
      <c r="K12" s="9">
        <v>4</v>
      </c>
      <c r="L12" s="9">
        <v>60</v>
      </c>
      <c r="M12" s="20">
        <v>46022</v>
      </c>
      <c r="N12" t="s">
        <v>38</v>
      </c>
      <c r="O12" t="s">
        <v>38</v>
      </c>
      <c r="P12">
        <v>1</v>
      </c>
      <c r="Q12" s="7">
        <v>0</v>
      </c>
    </row>
    <row r="13" spans="1:17" x14ac:dyDescent="0.25">
      <c r="A13" t="s">
        <v>278</v>
      </c>
      <c r="B13" t="s">
        <v>279</v>
      </c>
      <c r="C13" s="19">
        <v>46001</v>
      </c>
      <c r="D13" t="s">
        <v>384</v>
      </c>
      <c r="E13" t="s">
        <v>385</v>
      </c>
      <c r="F13" s="8">
        <v>1</v>
      </c>
      <c r="G13" t="s">
        <v>386</v>
      </c>
      <c r="H13" s="7">
        <v>8000</v>
      </c>
      <c r="I13" t="s">
        <v>720</v>
      </c>
      <c r="J13" t="s">
        <v>280</v>
      </c>
      <c r="K13" s="9">
        <v>1</v>
      </c>
      <c r="L13" s="9">
        <v>8000</v>
      </c>
      <c r="M13" s="20">
        <v>46022</v>
      </c>
      <c r="N13" t="s">
        <v>18</v>
      </c>
      <c r="O13" t="s">
        <v>18</v>
      </c>
      <c r="P13">
        <v>1</v>
      </c>
      <c r="Q13" s="7">
        <v>0</v>
      </c>
    </row>
    <row r="14" spans="1:17" x14ac:dyDescent="0.25">
      <c r="A14" t="s">
        <v>756</v>
      </c>
      <c r="B14" t="s">
        <v>240</v>
      </c>
      <c r="C14" s="19">
        <v>46001</v>
      </c>
      <c r="D14" t="s">
        <v>384</v>
      </c>
      <c r="E14" t="s">
        <v>385</v>
      </c>
      <c r="F14" s="8">
        <v>1</v>
      </c>
      <c r="G14" t="s">
        <v>386</v>
      </c>
      <c r="H14" s="7">
        <v>10200</v>
      </c>
      <c r="I14" t="s">
        <v>262</v>
      </c>
      <c r="J14" t="s">
        <v>262</v>
      </c>
      <c r="K14" s="9">
        <v>60</v>
      </c>
      <c r="L14" s="9">
        <v>170</v>
      </c>
      <c r="M14" s="20">
        <v>46022</v>
      </c>
      <c r="N14" t="s">
        <v>394</v>
      </c>
      <c r="O14" t="s">
        <v>394</v>
      </c>
      <c r="P14">
        <v>1</v>
      </c>
      <c r="Q14" s="7">
        <v>0</v>
      </c>
    </row>
    <row r="15" spans="1:17" x14ac:dyDescent="0.25">
      <c r="A15" t="s">
        <v>554</v>
      </c>
      <c r="B15" t="s">
        <v>102</v>
      </c>
      <c r="C15" s="19">
        <v>46003</v>
      </c>
      <c r="D15" t="s">
        <v>384</v>
      </c>
      <c r="E15" t="s">
        <v>385</v>
      </c>
      <c r="F15" s="8">
        <v>1</v>
      </c>
      <c r="G15" t="s">
        <v>386</v>
      </c>
      <c r="H15" s="7">
        <v>2160</v>
      </c>
      <c r="I15" t="s">
        <v>555</v>
      </c>
      <c r="J15" t="s">
        <v>555</v>
      </c>
      <c r="K15" s="9">
        <v>6</v>
      </c>
      <c r="L15" s="9">
        <v>360</v>
      </c>
      <c r="M15" s="20">
        <v>46022</v>
      </c>
      <c r="N15" t="s">
        <v>556</v>
      </c>
      <c r="O15" t="s">
        <v>441</v>
      </c>
      <c r="P15">
        <v>200</v>
      </c>
      <c r="Q15" s="7">
        <v>0</v>
      </c>
    </row>
    <row r="16" spans="1:17" x14ac:dyDescent="0.25">
      <c r="A16" t="s">
        <v>557</v>
      </c>
      <c r="B16" t="s">
        <v>558</v>
      </c>
      <c r="C16" s="19">
        <v>46003</v>
      </c>
      <c r="D16" t="s">
        <v>384</v>
      </c>
      <c r="E16" t="s">
        <v>385</v>
      </c>
      <c r="F16" s="8">
        <v>1</v>
      </c>
      <c r="G16" t="s">
        <v>386</v>
      </c>
      <c r="H16" s="7">
        <v>400</v>
      </c>
      <c r="I16" t="s">
        <v>559</v>
      </c>
      <c r="J16" t="s">
        <v>560</v>
      </c>
      <c r="K16" s="9">
        <v>1000</v>
      </c>
      <c r="L16" s="9">
        <v>0.4</v>
      </c>
      <c r="M16" s="20">
        <v>46022</v>
      </c>
      <c r="N16" t="s">
        <v>18</v>
      </c>
      <c r="O16" t="s">
        <v>18</v>
      </c>
      <c r="P16">
        <v>1</v>
      </c>
      <c r="Q16" s="7">
        <v>0</v>
      </c>
    </row>
    <row r="17" spans="1:17" x14ac:dyDescent="0.25">
      <c r="A17" t="s">
        <v>561</v>
      </c>
      <c r="B17" t="s">
        <v>195</v>
      </c>
      <c r="C17" s="19">
        <v>46003</v>
      </c>
      <c r="D17" t="s">
        <v>384</v>
      </c>
      <c r="E17" t="s">
        <v>385</v>
      </c>
      <c r="F17" s="8">
        <v>1</v>
      </c>
      <c r="G17" t="s">
        <v>386</v>
      </c>
      <c r="H17" s="7">
        <v>15250</v>
      </c>
      <c r="I17" t="s">
        <v>562</v>
      </c>
      <c r="J17" t="s">
        <v>562</v>
      </c>
      <c r="K17" s="9">
        <v>50</v>
      </c>
      <c r="L17" s="9">
        <v>305</v>
      </c>
      <c r="M17" s="20">
        <v>46022</v>
      </c>
      <c r="N17" t="s">
        <v>388</v>
      </c>
      <c r="O17" t="s">
        <v>209</v>
      </c>
      <c r="P17">
        <v>1</v>
      </c>
      <c r="Q17" s="7">
        <v>0</v>
      </c>
    </row>
    <row r="18" spans="1:17" x14ac:dyDescent="0.25">
      <c r="A18" t="s">
        <v>568</v>
      </c>
      <c r="B18" t="s">
        <v>226</v>
      </c>
      <c r="C18" s="19">
        <v>46003</v>
      </c>
      <c r="D18" t="s">
        <v>384</v>
      </c>
      <c r="E18" t="s">
        <v>385</v>
      </c>
      <c r="F18" s="8">
        <v>1</v>
      </c>
      <c r="G18" t="s">
        <v>386</v>
      </c>
      <c r="H18" s="7">
        <v>3000</v>
      </c>
      <c r="I18" t="s">
        <v>569</v>
      </c>
      <c r="J18" t="s">
        <v>569</v>
      </c>
      <c r="K18" s="9">
        <v>50</v>
      </c>
      <c r="L18" s="9">
        <v>60</v>
      </c>
      <c r="M18" s="20">
        <v>46022</v>
      </c>
      <c r="N18" t="s">
        <v>394</v>
      </c>
      <c r="O18" t="s">
        <v>394</v>
      </c>
      <c r="P18">
        <v>1</v>
      </c>
      <c r="Q18" s="7">
        <v>0</v>
      </c>
    </row>
    <row r="19" spans="1:17" x14ac:dyDescent="0.25">
      <c r="A19" t="s">
        <v>565</v>
      </c>
      <c r="B19" t="s">
        <v>500</v>
      </c>
      <c r="C19" s="19">
        <v>46004</v>
      </c>
      <c r="D19" t="s">
        <v>384</v>
      </c>
      <c r="E19" t="s">
        <v>385</v>
      </c>
      <c r="F19" s="8">
        <v>1</v>
      </c>
      <c r="G19" t="s">
        <v>393</v>
      </c>
      <c r="H19" s="7">
        <v>1225</v>
      </c>
      <c r="I19" t="s">
        <v>566</v>
      </c>
      <c r="J19" t="s">
        <v>566</v>
      </c>
      <c r="K19" s="9">
        <v>50</v>
      </c>
      <c r="L19" s="9">
        <v>24.5</v>
      </c>
      <c r="M19" s="20">
        <v>46022</v>
      </c>
      <c r="N19" t="s">
        <v>209</v>
      </c>
      <c r="O19" t="s">
        <v>209</v>
      </c>
      <c r="P19">
        <v>1</v>
      </c>
      <c r="Q19" s="7">
        <v>0</v>
      </c>
    </row>
    <row r="20" spans="1:17" x14ac:dyDescent="0.25">
      <c r="A20" t="s">
        <v>570</v>
      </c>
      <c r="B20" t="s">
        <v>226</v>
      </c>
      <c r="C20" s="19">
        <v>46006</v>
      </c>
      <c r="D20" t="s">
        <v>384</v>
      </c>
      <c r="E20" t="s">
        <v>385</v>
      </c>
      <c r="F20" s="8">
        <v>1</v>
      </c>
      <c r="G20" t="s">
        <v>386</v>
      </c>
      <c r="H20" s="7">
        <v>3000</v>
      </c>
      <c r="I20" t="s">
        <v>227</v>
      </c>
      <c r="J20" t="s">
        <v>227</v>
      </c>
      <c r="K20" s="9">
        <v>50</v>
      </c>
      <c r="L20" s="9">
        <v>60</v>
      </c>
      <c r="M20" s="20">
        <v>46022</v>
      </c>
      <c r="N20" t="s">
        <v>394</v>
      </c>
      <c r="O20" t="s">
        <v>394</v>
      </c>
      <c r="P20">
        <v>1</v>
      </c>
      <c r="Q20" s="7">
        <v>0</v>
      </c>
    </row>
    <row r="21" spans="1:17" x14ac:dyDescent="0.25">
      <c r="A21" t="s">
        <v>571</v>
      </c>
      <c r="B21" t="s">
        <v>23</v>
      </c>
      <c r="C21" s="19">
        <v>46006</v>
      </c>
      <c r="D21" t="s">
        <v>384</v>
      </c>
      <c r="E21" t="s">
        <v>385</v>
      </c>
      <c r="F21" s="8">
        <v>1</v>
      </c>
      <c r="G21" t="s">
        <v>386</v>
      </c>
      <c r="H21" s="7">
        <v>6118</v>
      </c>
      <c r="I21" t="s">
        <v>572</v>
      </c>
      <c r="J21" t="s">
        <v>572</v>
      </c>
      <c r="K21" s="9">
        <v>46</v>
      </c>
      <c r="L21" s="9">
        <v>133</v>
      </c>
      <c r="M21" s="20">
        <v>46022</v>
      </c>
      <c r="N21" t="s">
        <v>388</v>
      </c>
      <c r="O21" t="s">
        <v>209</v>
      </c>
      <c r="P21">
        <v>10</v>
      </c>
      <c r="Q21" s="7">
        <v>0</v>
      </c>
    </row>
    <row r="22" spans="1:17" x14ac:dyDescent="0.25">
      <c r="A22" t="s">
        <v>573</v>
      </c>
      <c r="B22" t="s">
        <v>574</v>
      </c>
      <c r="C22" s="19">
        <v>46006</v>
      </c>
      <c r="D22" t="s">
        <v>384</v>
      </c>
      <c r="E22" t="s">
        <v>385</v>
      </c>
      <c r="F22" s="8">
        <v>1</v>
      </c>
      <c r="G22" t="s">
        <v>386</v>
      </c>
      <c r="H22" s="7">
        <v>4875</v>
      </c>
      <c r="I22" t="s">
        <v>575</v>
      </c>
      <c r="J22" t="s">
        <v>576</v>
      </c>
      <c r="K22" s="9">
        <v>125</v>
      </c>
      <c r="L22" s="9">
        <v>39</v>
      </c>
      <c r="M22" s="20">
        <v>46022</v>
      </c>
      <c r="N22" t="s">
        <v>18</v>
      </c>
      <c r="O22" t="s">
        <v>18</v>
      </c>
      <c r="P22">
        <v>1</v>
      </c>
      <c r="Q22" s="7">
        <v>0</v>
      </c>
    </row>
    <row r="23" spans="1:17" x14ac:dyDescent="0.25">
      <c r="A23" t="s">
        <v>577</v>
      </c>
      <c r="B23" t="s">
        <v>240</v>
      </c>
      <c r="C23" s="19">
        <v>46007</v>
      </c>
      <c r="D23" t="s">
        <v>384</v>
      </c>
      <c r="E23" t="s">
        <v>385</v>
      </c>
      <c r="F23" s="8">
        <v>1</v>
      </c>
      <c r="G23" t="s">
        <v>386</v>
      </c>
      <c r="H23" s="7">
        <v>8500</v>
      </c>
      <c r="I23" t="s">
        <v>262</v>
      </c>
      <c r="J23" t="s">
        <v>262</v>
      </c>
      <c r="K23" s="9">
        <v>50</v>
      </c>
      <c r="L23" s="9">
        <v>170</v>
      </c>
      <c r="M23" s="20">
        <v>46022</v>
      </c>
      <c r="N23" t="s">
        <v>394</v>
      </c>
      <c r="O23" t="s">
        <v>394</v>
      </c>
      <c r="P23">
        <v>1</v>
      </c>
      <c r="Q23" s="7">
        <v>0</v>
      </c>
    </row>
    <row r="24" spans="1:17" x14ac:dyDescent="0.25">
      <c r="A24" t="s">
        <v>578</v>
      </c>
      <c r="B24" t="s">
        <v>285</v>
      </c>
      <c r="C24" s="19">
        <v>46007</v>
      </c>
      <c r="D24" t="s">
        <v>384</v>
      </c>
      <c r="E24" t="s">
        <v>385</v>
      </c>
      <c r="F24" s="8">
        <v>1</v>
      </c>
      <c r="G24" t="s">
        <v>386</v>
      </c>
      <c r="H24" s="7">
        <v>17400</v>
      </c>
      <c r="I24" t="s">
        <v>579</v>
      </c>
      <c r="J24" t="s">
        <v>579</v>
      </c>
      <c r="K24" s="9">
        <v>600</v>
      </c>
      <c r="L24" s="9">
        <v>29</v>
      </c>
      <c r="M24" s="20">
        <v>46022</v>
      </c>
      <c r="N24" t="s">
        <v>402</v>
      </c>
      <c r="O24" t="s">
        <v>402</v>
      </c>
      <c r="P24">
        <v>1</v>
      </c>
      <c r="Q24" s="7">
        <v>0</v>
      </c>
    </row>
    <row r="25" spans="1:17" x14ac:dyDescent="0.25">
      <c r="A25" t="s">
        <v>580</v>
      </c>
      <c r="B25" t="s">
        <v>581</v>
      </c>
      <c r="C25" s="19">
        <v>46007</v>
      </c>
      <c r="D25" t="s">
        <v>384</v>
      </c>
      <c r="E25" t="s">
        <v>385</v>
      </c>
      <c r="F25" s="8">
        <v>1</v>
      </c>
      <c r="G25" t="s">
        <v>386</v>
      </c>
      <c r="H25" s="7">
        <v>290</v>
      </c>
      <c r="I25" t="s">
        <v>582</v>
      </c>
      <c r="J25" t="s">
        <v>582</v>
      </c>
      <c r="K25" s="9">
        <v>2</v>
      </c>
      <c r="L25" s="9">
        <v>145</v>
      </c>
      <c r="M25" s="20">
        <v>46022</v>
      </c>
      <c r="N25" t="s">
        <v>18</v>
      </c>
      <c r="O25" t="s">
        <v>583</v>
      </c>
      <c r="P25">
        <v>1</v>
      </c>
      <c r="Q25" s="7">
        <v>0</v>
      </c>
    </row>
    <row r="26" spans="1:17" x14ac:dyDescent="0.25">
      <c r="A26" t="s">
        <v>593</v>
      </c>
      <c r="B26" t="s">
        <v>48</v>
      </c>
      <c r="C26" s="19">
        <v>46010</v>
      </c>
      <c r="D26" t="s">
        <v>384</v>
      </c>
      <c r="E26" t="s">
        <v>385</v>
      </c>
      <c r="F26" s="8">
        <v>1</v>
      </c>
      <c r="G26" t="s">
        <v>386</v>
      </c>
      <c r="H26" s="7">
        <v>21528</v>
      </c>
      <c r="I26" t="s">
        <v>58</v>
      </c>
      <c r="J26" t="s">
        <v>58</v>
      </c>
      <c r="K26" s="9">
        <v>184</v>
      </c>
      <c r="L26" s="9">
        <v>117</v>
      </c>
      <c r="M26" s="20">
        <v>46022</v>
      </c>
      <c r="N26" t="s">
        <v>388</v>
      </c>
      <c r="O26" t="s">
        <v>209</v>
      </c>
      <c r="P26">
        <v>10</v>
      </c>
      <c r="Q26" s="7">
        <v>0</v>
      </c>
    </row>
    <row r="27" spans="1:17" x14ac:dyDescent="0.25">
      <c r="A27" t="s">
        <v>594</v>
      </c>
      <c r="B27" t="s">
        <v>595</v>
      </c>
      <c r="C27" s="19">
        <v>46013</v>
      </c>
      <c r="D27" t="s">
        <v>384</v>
      </c>
      <c r="E27" t="s">
        <v>385</v>
      </c>
      <c r="F27" s="8">
        <v>1</v>
      </c>
      <c r="G27" t="s">
        <v>386</v>
      </c>
      <c r="H27" s="7">
        <v>2160</v>
      </c>
      <c r="I27" t="s">
        <v>596</v>
      </c>
      <c r="J27" t="s">
        <v>596</v>
      </c>
      <c r="K27" s="9">
        <v>18</v>
      </c>
      <c r="L27" s="9">
        <v>120</v>
      </c>
      <c r="M27" s="20">
        <v>46022</v>
      </c>
      <c r="N27" t="s">
        <v>18</v>
      </c>
      <c r="O27" t="s">
        <v>18</v>
      </c>
      <c r="P27">
        <v>1</v>
      </c>
      <c r="Q27" s="7">
        <v>0</v>
      </c>
    </row>
    <row r="28" spans="1:17" x14ac:dyDescent="0.25">
      <c r="A28" t="s">
        <v>230</v>
      </c>
      <c r="B28" t="s">
        <v>231</v>
      </c>
      <c r="C28" s="19">
        <v>46013</v>
      </c>
      <c r="D28" t="s">
        <v>384</v>
      </c>
      <c r="E28" t="s">
        <v>385</v>
      </c>
      <c r="F28" s="8">
        <v>1</v>
      </c>
      <c r="G28" t="s">
        <v>386</v>
      </c>
      <c r="H28" s="7">
        <v>2625</v>
      </c>
      <c r="I28" t="s">
        <v>232</v>
      </c>
      <c r="J28" t="s">
        <v>232</v>
      </c>
      <c r="K28" s="9">
        <v>500</v>
      </c>
      <c r="L28" s="9">
        <v>5.25</v>
      </c>
      <c r="M28" s="20">
        <v>46022</v>
      </c>
      <c r="N28" t="s">
        <v>18</v>
      </c>
      <c r="O28" t="s">
        <v>18</v>
      </c>
      <c r="P28">
        <v>1</v>
      </c>
      <c r="Q28" s="7">
        <v>0</v>
      </c>
    </row>
    <row r="29" spans="1:17" x14ac:dyDescent="0.25">
      <c r="A29" t="s">
        <v>600</v>
      </c>
      <c r="B29" t="s">
        <v>240</v>
      </c>
      <c r="C29" s="19">
        <v>46014</v>
      </c>
      <c r="D29" t="s">
        <v>384</v>
      </c>
      <c r="E29" t="s">
        <v>385</v>
      </c>
      <c r="F29" s="8">
        <v>1</v>
      </c>
      <c r="G29" t="s">
        <v>386</v>
      </c>
      <c r="H29" s="7">
        <v>8500</v>
      </c>
      <c r="I29" t="s">
        <v>262</v>
      </c>
      <c r="J29" t="s">
        <v>262</v>
      </c>
      <c r="K29" s="9">
        <v>50</v>
      </c>
      <c r="L29" s="9">
        <v>170</v>
      </c>
      <c r="M29" s="20">
        <v>46022</v>
      </c>
      <c r="N29" t="s">
        <v>394</v>
      </c>
      <c r="O29" t="s">
        <v>394</v>
      </c>
      <c r="P29">
        <v>1</v>
      </c>
      <c r="Q29" s="7">
        <v>0</v>
      </c>
    </row>
    <row r="30" spans="1:17" x14ac:dyDescent="0.25">
      <c r="A30" t="s">
        <v>846</v>
      </c>
      <c r="B30" t="s">
        <v>308</v>
      </c>
      <c r="C30" s="19">
        <v>46028</v>
      </c>
      <c r="D30" t="s">
        <v>384</v>
      </c>
      <c r="E30" t="s">
        <v>385</v>
      </c>
      <c r="F30" s="8">
        <v>1</v>
      </c>
      <c r="G30" t="s">
        <v>386</v>
      </c>
      <c r="H30" s="7">
        <v>2185</v>
      </c>
      <c r="I30" t="s">
        <v>847</v>
      </c>
      <c r="J30" t="s">
        <v>847</v>
      </c>
      <c r="K30" s="9">
        <v>115</v>
      </c>
      <c r="L30" s="9">
        <v>19</v>
      </c>
      <c r="M30" s="20">
        <v>46112</v>
      </c>
      <c r="N30" t="s">
        <v>209</v>
      </c>
      <c r="O30" t="s">
        <v>209</v>
      </c>
      <c r="P30">
        <v>1</v>
      </c>
      <c r="Q30" s="7">
        <v>115</v>
      </c>
    </row>
    <row r="31" spans="1:17" x14ac:dyDescent="0.25">
      <c r="A31" t="s">
        <v>753</v>
      </c>
      <c r="B31" t="s">
        <v>285</v>
      </c>
      <c r="C31" s="19">
        <v>46029</v>
      </c>
      <c r="D31" t="s">
        <v>384</v>
      </c>
      <c r="E31" t="s">
        <v>385</v>
      </c>
      <c r="F31" s="8">
        <v>1</v>
      </c>
      <c r="G31" t="s">
        <v>386</v>
      </c>
      <c r="H31" s="7">
        <v>500000</v>
      </c>
      <c r="I31" t="s">
        <v>286</v>
      </c>
      <c r="J31" t="s">
        <v>286</v>
      </c>
      <c r="K31" s="9">
        <v>5000</v>
      </c>
      <c r="L31" s="9">
        <v>100</v>
      </c>
      <c r="M31" s="20">
        <v>46142</v>
      </c>
      <c r="N31" t="s">
        <v>388</v>
      </c>
      <c r="O31" t="s">
        <v>209</v>
      </c>
      <c r="P31">
        <v>10</v>
      </c>
      <c r="Q31" s="7">
        <v>512</v>
      </c>
    </row>
    <row r="32" spans="1:17" x14ac:dyDescent="0.25">
      <c r="A32" t="s">
        <v>407</v>
      </c>
      <c r="B32" t="s">
        <v>308</v>
      </c>
      <c r="C32" s="19">
        <v>46052</v>
      </c>
      <c r="D32" t="s">
        <v>384</v>
      </c>
      <c r="E32" t="s">
        <v>385</v>
      </c>
      <c r="F32" s="8">
        <v>1</v>
      </c>
      <c r="G32" t="s">
        <v>386</v>
      </c>
      <c r="H32" s="7">
        <v>10200</v>
      </c>
      <c r="I32" t="s">
        <v>309</v>
      </c>
      <c r="J32" t="s">
        <v>309</v>
      </c>
      <c r="K32" s="9">
        <v>120</v>
      </c>
      <c r="L32" s="9">
        <v>85</v>
      </c>
      <c r="M32" s="20">
        <v>46173</v>
      </c>
      <c r="N32" t="s">
        <v>394</v>
      </c>
      <c r="O32" t="s">
        <v>394</v>
      </c>
      <c r="P32">
        <v>1</v>
      </c>
      <c r="Q32" s="7">
        <v>0</v>
      </c>
    </row>
    <row r="33" spans="1:17" x14ac:dyDescent="0.25">
      <c r="A33" t="s">
        <v>755</v>
      </c>
      <c r="B33" t="s">
        <v>74</v>
      </c>
      <c r="C33" s="19">
        <v>46055</v>
      </c>
      <c r="D33" t="s">
        <v>384</v>
      </c>
      <c r="E33" t="s">
        <v>385</v>
      </c>
      <c r="F33" s="8">
        <v>1</v>
      </c>
      <c r="G33" t="s">
        <v>386</v>
      </c>
      <c r="H33" s="7">
        <v>384000</v>
      </c>
      <c r="I33" t="s">
        <v>75</v>
      </c>
      <c r="J33" t="s">
        <v>75</v>
      </c>
      <c r="K33" s="9">
        <v>4000</v>
      </c>
      <c r="L33" s="9">
        <v>96</v>
      </c>
      <c r="M33" s="20">
        <v>46112</v>
      </c>
      <c r="N33" t="s">
        <v>209</v>
      </c>
      <c r="O33" t="s">
        <v>209</v>
      </c>
      <c r="P33">
        <v>1</v>
      </c>
      <c r="Q33" s="7">
        <v>552</v>
      </c>
    </row>
    <row r="34" spans="1:17" x14ac:dyDescent="0.25">
      <c r="A34" t="s">
        <v>758</v>
      </c>
      <c r="B34" t="s">
        <v>339</v>
      </c>
      <c r="C34" s="19">
        <v>46063</v>
      </c>
      <c r="D34" t="s">
        <v>384</v>
      </c>
      <c r="E34" t="s">
        <v>385</v>
      </c>
      <c r="F34" s="8">
        <v>1</v>
      </c>
      <c r="G34" t="s">
        <v>386</v>
      </c>
      <c r="H34" s="7">
        <v>55200</v>
      </c>
      <c r="I34" t="s">
        <v>340</v>
      </c>
      <c r="J34" t="s">
        <v>340</v>
      </c>
      <c r="K34" s="9">
        <v>230</v>
      </c>
      <c r="L34" s="9">
        <v>240</v>
      </c>
      <c r="M34" s="20">
        <v>46112</v>
      </c>
      <c r="N34" t="s">
        <v>209</v>
      </c>
      <c r="O34" t="s">
        <v>209</v>
      </c>
      <c r="P34">
        <v>1</v>
      </c>
      <c r="Q34" s="7">
        <v>130</v>
      </c>
    </row>
    <row r="35" spans="1:17" x14ac:dyDescent="0.25">
      <c r="A35" t="s">
        <v>918</v>
      </c>
      <c r="B35" t="s">
        <v>126</v>
      </c>
      <c r="C35" s="19">
        <v>46063</v>
      </c>
      <c r="D35" t="s">
        <v>384</v>
      </c>
      <c r="E35" t="s">
        <v>385</v>
      </c>
      <c r="F35" s="8">
        <v>1</v>
      </c>
      <c r="G35" t="s">
        <v>919</v>
      </c>
      <c r="H35" s="7">
        <v>36740</v>
      </c>
      <c r="I35" t="s">
        <v>397</v>
      </c>
      <c r="J35" t="s">
        <v>127</v>
      </c>
      <c r="K35" s="9">
        <v>4400</v>
      </c>
      <c r="L35" s="9">
        <v>8.35</v>
      </c>
      <c r="M35" s="20">
        <v>46112</v>
      </c>
      <c r="N35" t="s">
        <v>398</v>
      </c>
      <c r="O35" t="s">
        <v>398</v>
      </c>
      <c r="P35">
        <v>1</v>
      </c>
      <c r="Q35" s="7">
        <v>4400</v>
      </c>
    </row>
    <row r="36" spans="1:17" x14ac:dyDescent="0.25">
      <c r="A36" t="s">
        <v>784</v>
      </c>
      <c r="B36" t="s">
        <v>240</v>
      </c>
      <c r="C36" s="19">
        <v>46064</v>
      </c>
      <c r="D36" t="s">
        <v>384</v>
      </c>
      <c r="E36" t="s">
        <v>385</v>
      </c>
      <c r="F36" s="8">
        <v>1</v>
      </c>
      <c r="G36" t="s">
        <v>386</v>
      </c>
      <c r="H36" s="7">
        <v>4800</v>
      </c>
      <c r="I36" t="s">
        <v>254</v>
      </c>
      <c r="J36" t="s">
        <v>254</v>
      </c>
      <c r="K36" s="9">
        <v>150</v>
      </c>
      <c r="L36" s="9">
        <v>32</v>
      </c>
      <c r="M36" s="20">
        <v>46112</v>
      </c>
      <c r="N36" t="s">
        <v>402</v>
      </c>
      <c r="O36" t="s">
        <v>402</v>
      </c>
      <c r="P36">
        <v>1</v>
      </c>
      <c r="Q36" s="7">
        <v>50</v>
      </c>
    </row>
    <row r="37" spans="1:17" x14ac:dyDescent="0.25">
      <c r="A37" t="s">
        <v>225</v>
      </c>
      <c r="B37" t="s">
        <v>226</v>
      </c>
      <c r="C37" s="19">
        <v>46073</v>
      </c>
      <c r="D37" t="s">
        <v>384</v>
      </c>
      <c r="E37" t="s">
        <v>385</v>
      </c>
      <c r="F37" s="8">
        <v>1</v>
      </c>
      <c r="G37" t="s">
        <v>386</v>
      </c>
      <c r="H37" s="7">
        <v>9000</v>
      </c>
      <c r="I37" t="s">
        <v>227</v>
      </c>
      <c r="J37" t="s">
        <v>227</v>
      </c>
      <c r="K37" s="9">
        <v>150</v>
      </c>
      <c r="L37" s="9">
        <v>60</v>
      </c>
      <c r="M37" s="20">
        <v>46112</v>
      </c>
      <c r="N37" t="s">
        <v>394</v>
      </c>
      <c r="O37" t="s">
        <v>394</v>
      </c>
      <c r="P37">
        <v>1</v>
      </c>
      <c r="Q37" s="7">
        <v>50</v>
      </c>
    </row>
    <row r="38" spans="1:17" x14ac:dyDescent="0.25">
      <c r="A38" t="s">
        <v>382</v>
      </c>
      <c r="B38" t="s">
        <v>383</v>
      </c>
      <c r="C38" s="19">
        <v>46074</v>
      </c>
      <c r="D38" t="s">
        <v>384</v>
      </c>
      <c r="E38" t="s">
        <v>385</v>
      </c>
      <c r="F38" s="8">
        <v>1</v>
      </c>
      <c r="G38" t="s">
        <v>386</v>
      </c>
      <c r="H38" s="7">
        <v>100000</v>
      </c>
      <c r="I38" t="s">
        <v>387</v>
      </c>
      <c r="J38" t="s">
        <v>387</v>
      </c>
      <c r="K38" s="9">
        <v>4000</v>
      </c>
      <c r="L38" s="9">
        <v>25</v>
      </c>
      <c r="M38" s="20">
        <v>46142</v>
      </c>
      <c r="N38" t="s">
        <v>388</v>
      </c>
      <c r="O38" t="s">
        <v>388</v>
      </c>
      <c r="P38">
        <v>1</v>
      </c>
      <c r="Q38" s="7">
        <v>0</v>
      </c>
    </row>
    <row r="39" spans="1:17" x14ac:dyDescent="0.25">
      <c r="A39" t="s">
        <v>752</v>
      </c>
      <c r="B39" t="s">
        <v>240</v>
      </c>
      <c r="C39" s="19">
        <v>46074</v>
      </c>
      <c r="D39" t="s">
        <v>384</v>
      </c>
      <c r="E39" t="s">
        <v>385</v>
      </c>
      <c r="F39" s="8">
        <v>1</v>
      </c>
      <c r="G39" t="s">
        <v>386</v>
      </c>
      <c r="H39" s="7">
        <v>4700</v>
      </c>
      <c r="I39" t="s">
        <v>242</v>
      </c>
      <c r="J39" t="s">
        <v>242</v>
      </c>
      <c r="K39" s="9">
        <v>100</v>
      </c>
      <c r="L39" s="9">
        <v>47</v>
      </c>
      <c r="M39" s="20">
        <v>46112</v>
      </c>
      <c r="N39" t="s">
        <v>394</v>
      </c>
      <c r="O39" t="s">
        <v>394</v>
      </c>
      <c r="P39">
        <v>1</v>
      </c>
      <c r="Q39" s="7">
        <v>0</v>
      </c>
    </row>
    <row r="40" spans="1:17" x14ac:dyDescent="0.25">
      <c r="A40" t="s">
        <v>864</v>
      </c>
      <c r="B40" t="s">
        <v>240</v>
      </c>
      <c r="C40" s="19">
        <v>46078</v>
      </c>
      <c r="D40" t="s">
        <v>384</v>
      </c>
      <c r="E40" t="s">
        <v>385</v>
      </c>
      <c r="F40" s="8">
        <v>1</v>
      </c>
      <c r="G40" t="s">
        <v>386</v>
      </c>
      <c r="H40" s="7">
        <v>2760</v>
      </c>
      <c r="I40" t="s">
        <v>251</v>
      </c>
      <c r="J40" t="s">
        <v>251</v>
      </c>
      <c r="K40" s="9">
        <v>60</v>
      </c>
      <c r="L40" s="9">
        <v>46</v>
      </c>
      <c r="M40" s="20">
        <v>46112</v>
      </c>
      <c r="N40" t="s">
        <v>394</v>
      </c>
      <c r="O40" t="s">
        <v>394</v>
      </c>
      <c r="P40">
        <v>1</v>
      </c>
      <c r="Q40" s="7">
        <v>15</v>
      </c>
    </row>
    <row r="41" spans="1:17" x14ac:dyDescent="0.25">
      <c r="A41" t="s">
        <v>419</v>
      </c>
      <c r="B41" t="s">
        <v>420</v>
      </c>
      <c r="C41" s="19">
        <v>46082</v>
      </c>
      <c r="D41" t="s">
        <v>384</v>
      </c>
      <c r="E41" t="s">
        <v>385</v>
      </c>
      <c r="F41" s="8">
        <v>1</v>
      </c>
      <c r="G41" t="s">
        <v>393</v>
      </c>
      <c r="H41" s="7">
        <v>2340</v>
      </c>
      <c r="I41" t="s">
        <v>421</v>
      </c>
      <c r="J41" t="s">
        <v>421</v>
      </c>
      <c r="K41" s="9">
        <v>1</v>
      </c>
      <c r="L41" s="9">
        <v>2340</v>
      </c>
      <c r="M41" s="20">
        <v>46112</v>
      </c>
      <c r="N41" t="s">
        <v>422</v>
      </c>
      <c r="O41" t="s">
        <v>18</v>
      </c>
      <c r="P41">
        <v>1</v>
      </c>
      <c r="Q41" s="7">
        <v>0</v>
      </c>
    </row>
    <row r="42" spans="1:17" x14ac:dyDescent="0.25">
      <c r="A42" t="s">
        <v>34</v>
      </c>
      <c r="B42" t="s">
        <v>35</v>
      </c>
      <c r="C42" s="19">
        <v>46082</v>
      </c>
      <c r="D42" t="s">
        <v>384</v>
      </c>
      <c r="E42" t="s">
        <v>385</v>
      </c>
      <c r="F42" s="8">
        <v>1</v>
      </c>
      <c r="G42" t="s">
        <v>386</v>
      </c>
      <c r="H42" s="7">
        <v>880</v>
      </c>
      <c r="I42" t="s">
        <v>821</v>
      </c>
      <c r="J42" t="s">
        <v>821</v>
      </c>
      <c r="K42" s="9">
        <v>22</v>
      </c>
      <c r="L42" s="9">
        <v>40</v>
      </c>
      <c r="M42" s="20">
        <v>46112</v>
      </c>
      <c r="N42" t="s">
        <v>18</v>
      </c>
      <c r="O42" t="s">
        <v>18</v>
      </c>
      <c r="P42">
        <v>1</v>
      </c>
      <c r="Q42" s="7">
        <v>22</v>
      </c>
    </row>
    <row r="43" spans="1:17" x14ac:dyDescent="0.25">
      <c r="A43" t="s">
        <v>826</v>
      </c>
      <c r="B43" t="s">
        <v>118</v>
      </c>
      <c r="C43" s="19">
        <v>46084</v>
      </c>
      <c r="D43" t="s">
        <v>384</v>
      </c>
      <c r="E43" t="s">
        <v>385</v>
      </c>
      <c r="F43" s="8">
        <v>1</v>
      </c>
      <c r="G43" t="s">
        <v>386</v>
      </c>
      <c r="H43" s="7">
        <v>17400</v>
      </c>
      <c r="I43" t="s">
        <v>119</v>
      </c>
      <c r="J43" t="s">
        <v>119</v>
      </c>
      <c r="K43" s="9">
        <v>60</v>
      </c>
      <c r="L43" s="9">
        <v>290</v>
      </c>
      <c r="M43" s="20">
        <v>46112</v>
      </c>
      <c r="N43" t="s">
        <v>388</v>
      </c>
      <c r="O43" t="s">
        <v>209</v>
      </c>
      <c r="P43">
        <v>300</v>
      </c>
      <c r="Q43" s="7">
        <v>60</v>
      </c>
    </row>
    <row r="44" spans="1:17" x14ac:dyDescent="0.25">
      <c r="A44" t="s">
        <v>101</v>
      </c>
      <c r="B44" t="s">
        <v>102</v>
      </c>
      <c r="C44" s="19">
        <v>46090</v>
      </c>
      <c r="D44" t="s">
        <v>384</v>
      </c>
      <c r="E44" t="s">
        <v>385</v>
      </c>
      <c r="F44" s="8">
        <v>1</v>
      </c>
      <c r="G44" t="s">
        <v>386</v>
      </c>
      <c r="H44" s="7">
        <v>5520</v>
      </c>
      <c r="I44" t="s">
        <v>528</v>
      </c>
      <c r="J44" t="s">
        <v>529</v>
      </c>
      <c r="K44" s="9">
        <v>30</v>
      </c>
      <c r="L44" s="9">
        <v>184</v>
      </c>
      <c r="M44" s="20">
        <v>46142</v>
      </c>
      <c r="N44" t="s">
        <v>209</v>
      </c>
      <c r="O44" t="s">
        <v>209</v>
      </c>
      <c r="P44">
        <v>1</v>
      </c>
      <c r="Q44" s="7">
        <v>0</v>
      </c>
    </row>
    <row r="45" spans="1:17" x14ac:dyDescent="0.25">
      <c r="A45" t="s">
        <v>932</v>
      </c>
      <c r="B45" t="s">
        <v>933</v>
      </c>
      <c r="C45" s="19">
        <v>46090</v>
      </c>
      <c r="D45" t="s">
        <v>384</v>
      </c>
      <c r="E45" t="s">
        <v>385</v>
      </c>
      <c r="F45" s="8">
        <v>1</v>
      </c>
      <c r="G45" t="s">
        <v>919</v>
      </c>
      <c r="H45" s="7">
        <v>392</v>
      </c>
      <c r="I45" t="s">
        <v>429</v>
      </c>
      <c r="J45" t="s">
        <v>429</v>
      </c>
      <c r="K45" s="9">
        <v>112</v>
      </c>
      <c r="L45" s="9">
        <v>3.5</v>
      </c>
      <c r="M45" s="20">
        <v>46326</v>
      </c>
      <c r="N45" t="s">
        <v>18</v>
      </c>
      <c r="O45" t="s">
        <v>388</v>
      </c>
      <c r="P45">
        <v>1</v>
      </c>
      <c r="Q45" s="7">
        <v>112</v>
      </c>
    </row>
    <row r="46" spans="1:17" x14ac:dyDescent="0.25">
      <c r="A46" t="s">
        <v>887</v>
      </c>
      <c r="B46" t="s">
        <v>240</v>
      </c>
      <c r="C46" s="19">
        <v>46095</v>
      </c>
      <c r="D46" t="s">
        <v>384</v>
      </c>
      <c r="E46" t="s">
        <v>385</v>
      </c>
      <c r="F46" s="8">
        <v>1</v>
      </c>
      <c r="G46" t="s">
        <v>386</v>
      </c>
      <c r="H46" s="7">
        <v>53400</v>
      </c>
      <c r="I46" t="s">
        <v>245</v>
      </c>
      <c r="J46" t="s">
        <v>245</v>
      </c>
      <c r="K46" s="9">
        <v>24</v>
      </c>
      <c r="L46" s="9">
        <v>2225</v>
      </c>
      <c r="M46" s="20">
        <v>46112</v>
      </c>
      <c r="N46" t="s">
        <v>398</v>
      </c>
      <c r="O46" t="s">
        <v>441</v>
      </c>
      <c r="P46">
        <v>250</v>
      </c>
      <c r="Q46" s="7">
        <v>5</v>
      </c>
    </row>
    <row r="47" spans="1:17" x14ac:dyDescent="0.25">
      <c r="A47" t="s">
        <v>907</v>
      </c>
      <c r="B47" t="s">
        <v>285</v>
      </c>
      <c r="C47" s="19">
        <v>46097</v>
      </c>
      <c r="D47" t="s">
        <v>384</v>
      </c>
      <c r="E47" t="s">
        <v>385</v>
      </c>
      <c r="F47" s="8">
        <v>1</v>
      </c>
      <c r="G47" t="s">
        <v>386</v>
      </c>
      <c r="H47" s="7">
        <v>62500</v>
      </c>
      <c r="I47" t="s">
        <v>289</v>
      </c>
      <c r="J47" t="s">
        <v>289</v>
      </c>
      <c r="K47" s="9">
        <v>500</v>
      </c>
      <c r="L47" s="9">
        <v>125</v>
      </c>
      <c r="M47" s="20">
        <v>46142</v>
      </c>
      <c r="N47" t="s">
        <v>388</v>
      </c>
      <c r="O47" t="s">
        <v>209</v>
      </c>
      <c r="P47">
        <v>10</v>
      </c>
      <c r="Q47" s="7">
        <v>500</v>
      </c>
    </row>
    <row r="48" spans="1:17" x14ac:dyDescent="0.25">
      <c r="A48" t="s">
        <v>802</v>
      </c>
      <c r="B48" t="s">
        <v>339</v>
      </c>
      <c r="C48" s="19">
        <v>46098</v>
      </c>
      <c r="D48" t="s">
        <v>384</v>
      </c>
      <c r="E48" t="s">
        <v>385</v>
      </c>
      <c r="F48" s="8">
        <v>1</v>
      </c>
      <c r="G48" t="s">
        <v>386</v>
      </c>
      <c r="H48" s="7">
        <v>30000</v>
      </c>
      <c r="I48" t="s">
        <v>340</v>
      </c>
      <c r="J48" t="s">
        <v>340</v>
      </c>
      <c r="K48" s="9">
        <v>125</v>
      </c>
      <c r="L48" s="9">
        <v>240</v>
      </c>
      <c r="M48" s="20">
        <v>46112</v>
      </c>
      <c r="N48" t="s">
        <v>209</v>
      </c>
      <c r="O48" t="s">
        <v>209</v>
      </c>
      <c r="P48">
        <v>1</v>
      </c>
      <c r="Q48" s="7">
        <v>70</v>
      </c>
    </row>
    <row r="49" spans="1:17" x14ac:dyDescent="0.25">
      <c r="A49" t="s">
        <v>389</v>
      </c>
      <c r="B49" t="s">
        <v>390</v>
      </c>
      <c r="C49" s="19">
        <v>46105</v>
      </c>
      <c r="D49" t="s">
        <v>384</v>
      </c>
      <c r="E49" t="s">
        <v>385</v>
      </c>
      <c r="F49" s="8">
        <v>1</v>
      </c>
      <c r="G49" t="s">
        <v>386</v>
      </c>
      <c r="H49" s="7">
        <v>650</v>
      </c>
      <c r="I49" t="s">
        <v>391</v>
      </c>
      <c r="J49" t="s">
        <v>391</v>
      </c>
      <c r="K49" s="9">
        <v>1</v>
      </c>
      <c r="L49" s="9">
        <v>650</v>
      </c>
      <c r="M49" s="20">
        <v>46112</v>
      </c>
      <c r="N49" t="s">
        <v>18</v>
      </c>
      <c r="O49" t="s">
        <v>18</v>
      </c>
      <c r="P49">
        <v>1</v>
      </c>
      <c r="Q49" s="7">
        <v>0</v>
      </c>
    </row>
    <row r="50" spans="1:17" x14ac:dyDescent="0.25">
      <c r="A50" t="s">
        <v>194</v>
      </c>
      <c r="B50" t="s">
        <v>195</v>
      </c>
      <c r="C50" s="19">
        <v>46105</v>
      </c>
      <c r="D50" t="s">
        <v>384</v>
      </c>
      <c r="E50" t="s">
        <v>385</v>
      </c>
      <c r="F50" s="8">
        <v>1</v>
      </c>
      <c r="G50" t="s">
        <v>386</v>
      </c>
      <c r="H50" s="7">
        <v>7000</v>
      </c>
      <c r="I50" t="s">
        <v>196</v>
      </c>
      <c r="J50" t="s">
        <v>196</v>
      </c>
      <c r="K50" s="9">
        <v>20</v>
      </c>
      <c r="L50" s="9">
        <v>350</v>
      </c>
      <c r="M50" s="20">
        <v>46112</v>
      </c>
      <c r="N50" t="s">
        <v>556</v>
      </c>
      <c r="O50" t="s">
        <v>441</v>
      </c>
      <c r="P50">
        <v>200</v>
      </c>
      <c r="Q50" s="7">
        <v>0</v>
      </c>
    </row>
    <row r="51" spans="1:17" x14ac:dyDescent="0.25">
      <c r="A51" t="s">
        <v>835</v>
      </c>
      <c r="B51" t="s">
        <v>13</v>
      </c>
      <c r="C51" s="19">
        <v>46113</v>
      </c>
      <c r="D51" t="s">
        <v>384</v>
      </c>
      <c r="E51" t="s">
        <v>385</v>
      </c>
      <c r="F51" s="8">
        <v>1</v>
      </c>
      <c r="G51" t="s">
        <v>386</v>
      </c>
      <c r="H51" s="7">
        <v>126000</v>
      </c>
      <c r="I51" t="s">
        <v>17</v>
      </c>
      <c r="J51" t="s">
        <v>14</v>
      </c>
      <c r="K51" s="9">
        <v>1000</v>
      </c>
      <c r="L51" s="9">
        <v>126</v>
      </c>
      <c r="M51" s="20">
        <v>46386</v>
      </c>
      <c r="N51" t="s">
        <v>836</v>
      </c>
      <c r="O51" t="s">
        <v>836</v>
      </c>
      <c r="P51">
        <v>1</v>
      </c>
      <c r="Q51" s="7">
        <v>728</v>
      </c>
    </row>
    <row r="52" spans="1:17" x14ac:dyDescent="0.25">
      <c r="A52" t="s">
        <v>905</v>
      </c>
      <c r="B52" t="s">
        <v>240</v>
      </c>
      <c r="C52" s="19">
        <v>46116</v>
      </c>
      <c r="D52" t="s">
        <v>384</v>
      </c>
      <c r="E52" t="s">
        <v>385</v>
      </c>
      <c r="F52" s="8">
        <v>1</v>
      </c>
      <c r="G52" t="s">
        <v>386</v>
      </c>
      <c r="H52" s="7">
        <v>104000</v>
      </c>
      <c r="I52" t="s">
        <v>245</v>
      </c>
      <c r="J52" t="s">
        <v>245</v>
      </c>
      <c r="K52" s="9">
        <v>40</v>
      </c>
      <c r="L52" s="9">
        <v>2600</v>
      </c>
      <c r="M52" s="20">
        <v>46142</v>
      </c>
      <c r="N52" t="s">
        <v>398</v>
      </c>
      <c r="O52" t="s">
        <v>441</v>
      </c>
      <c r="P52">
        <v>250</v>
      </c>
      <c r="Q52" s="7">
        <v>39</v>
      </c>
    </row>
    <row r="53" spans="1:17" x14ac:dyDescent="0.25">
      <c r="A53" t="s">
        <v>896</v>
      </c>
      <c r="B53" t="s">
        <v>74</v>
      </c>
      <c r="C53" s="19">
        <v>46117</v>
      </c>
      <c r="D53" t="s">
        <v>384</v>
      </c>
      <c r="E53" t="s">
        <v>385</v>
      </c>
      <c r="F53" s="8">
        <v>1</v>
      </c>
      <c r="G53" t="s">
        <v>386</v>
      </c>
      <c r="H53" s="7">
        <v>94500</v>
      </c>
      <c r="I53" t="s">
        <v>78</v>
      </c>
      <c r="J53" t="s">
        <v>78</v>
      </c>
      <c r="K53" s="9">
        <v>5000</v>
      </c>
      <c r="L53" s="9">
        <v>18.899999999999999</v>
      </c>
      <c r="M53" s="20">
        <v>46173</v>
      </c>
      <c r="N53" t="s">
        <v>402</v>
      </c>
      <c r="O53" t="s">
        <v>402</v>
      </c>
      <c r="P53">
        <v>1</v>
      </c>
      <c r="Q53" s="7">
        <v>4800</v>
      </c>
    </row>
    <row r="54" spans="1:17" x14ac:dyDescent="0.25">
      <c r="A54" t="s">
        <v>906</v>
      </c>
      <c r="B54" t="s">
        <v>118</v>
      </c>
      <c r="C54" s="19">
        <v>46122</v>
      </c>
      <c r="D54" t="s">
        <v>384</v>
      </c>
      <c r="E54" t="s">
        <v>385</v>
      </c>
      <c r="F54" s="8">
        <v>1</v>
      </c>
      <c r="G54" t="s">
        <v>386</v>
      </c>
      <c r="H54" s="7">
        <v>15250</v>
      </c>
      <c r="I54" t="s">
        <v>119</v>
      </c>
      <c r="J54" t="s">
        <v>119</v>
      </c>
      <c r="K54" s="9">
        <v>50</v>
      </c>
      <c r="L54" s="9">
        <v>305</v>
      </c>
      <c r="M54" s="20">
        <v>46142</v>
      </c>
      <c r="N54" t="s">
        <v>388</v>
      </c>
      <c r="O54" t="s">
        <v>209</v>
      </c>
      <c r="P54">
        <v>300</v>
      </c>
      <c r="Q54" s="7">
        <v>49</v>
      </c>
    </row>
    <row r="55" spans="1:17" x14ac:dyDescent="0.25">
      <c r="A55" t="s">
        <v>396</v>
      </c>
      <c r="B55" t="s">
        <v>126</v>
      </c>
      <c r="C55" s="19">
        <v>46123</v>
      </c>
      <c r="D55" t="s">
        <v>384</v>
      </c>
      <c r="E55" t="s">
        <v>385</v>
      </c>
      <c r="F55" s="8">
        <v>1</v>
      </c>
      <c r="G55" t="s">
        <v>393</v>
      </c>
      <c r="H55" s="7">
        <v>27720</v>
      </c>
      <c r="I55" t="s">
        <v>397</v>
      </c>
      <c r="J55" t="s">
        <v>127</v>
      </c>
      <c r="K55" s="9">
        <v>2640</v>
      </c>
      <c r="L55" s="9">
        <v>10.5</v>
      </c>
      <c r="M55" s="20">
        <v>46142</v>
      </c>
      <c r="N55" t="s">
        <v>398</v>
      </c>
      <c r="O55" t="s">
        <v>398</v>
      </c>
      <c r="P55">
        <v>1</v>
      </c>
      <c r="Q55" s="7">
        <v>0</v>
      </c>
    </row>
    <row r="56" spans="1:17" x14ac:dyDescent="0.25">
      <c r="A56" t="s">
        <v>895</v>
      </c>
      <c r="B56" t="s">
        <v>240</v>
      </c>
      <c r="C56" s="19">
        <v>46123</v>
      </c>
      <c r="D56" t="s">
        <v>384</v>
      </c>
      <c r="E56" t="s">
        <v>385</v>
      </c>
      <c r="F56" s="8">
        <v>1</v>
      </c>
      <c r="G56" t="s">
        <v>386</v>
      </c>
      <c r="H56" s="7">
        <v>62400</v>
      </c>
      <c r="I56" t="s">
        <v>245</v>
      </c>
      <c r="J56" t="s">
        <v>245</v>
      </c>
      <c r="K56" s="9">
        <v>24</v>
      </c>
      <c r="L56" s="9">
        <v>2600</v>
      </c>
      <c r="M56" s="20">
        <v>46128</v>
      </c>
      <c r="N56" t="s">
        <v>398</v>
      </c>
      <c r="O56" t="s">
        <v>441</v>
      </c>
      <c r="P56">
        <v>250</v>
      </c>
      <c r="Q56" s="7">
        <v>24</v>
      </c>
    </row>
    <row r="57" spans="1:17" x14ac:dyDescent="0.25">
      <c r="A57" t="s">
        <v>400</v>
      </c>
      <c r="B57" t="s">
        <v>285</v>
      </c>
      <c r="C57" s="19">
        <v>46125</v>
      </c>
      <c r="D57" t="s">
        <v>384</v>
      </c>
      <c r="E57" t="s">
        <v>385</v>
      </c>
      <c r="F57" s="8">
        <v>1</v>
      </c>
      <c r="G57" t="s">
        <v>393</v>
      </c>
      <c r="H57" s="7">
        <v>9600</v>
      </c>
      <c r="I57" t="s">
        <v>401</v>
      </c>
      <c r="J57" t="s">
        <v>401</v>
      </c>
      <c r="K57" s="9">
        <v>300</v>
      </c>
      <c r="L57" s="9">
        <v>32</v>
      </c>
      <c r="M57" s="20">
        <v>46142</v>
      </c>
      <c r="N57" t="s">
        <v>18</v>
      </c>
      <c r="O57" t="s">
        <v>402</v>
      </c>
      <c r="P57">
        <v>1</v>
      </c>
      <c r="Q57" s="7">
        <v>0</v>
      </c>
    </row>
    <row r="58" spans="1:17" x14ac:dyDescent="0.25">
      <c r="A58" t="s">
        <v>935</v>
      </c>
      <c r="B58" t="s">
        <v>936</v>
      </c>
      <c r="C58" s="19">
        <v>46125</v>
      </c>
      <c r="D58" t="s">
        <v>384</v>
      </c>
      <c r="E58" t="s">
        <v>385</v>
      </c>
      <c r="F58" s="8">
        <v>1</v>
      </c>
      <c r="G58" t="s">
        <v>919</v>
      </c>
      <c r="H58" s="7">
        <v>3500</v>
      </c>
      <c r="I58" t="s">
        <v>937</v>
      </c>
      <c r="J58" t="s">
        <v>938</v>
      </c>
      <c r="K58" s="9">
        <v>1</v>
      </c>
      <c r="L58" s="9">
        <v>3500</v>
      </c>
      <c r="M58" s="20">
        <v>46155</v>
      </c>
      <c r="N58" t="s">
        <v>283</v>
      </c>
      <c r="O58" t="s">
        <v>283</v>
      </c>
      <c r="P58">
        <v>1</v>
      </c>
      <c r="Q58" s="7">
        <v>1</v>
      </c>
    </row>
    <row r="59" spans="1:17" x14ac:dyDescent="0.25">
      <c r="A59" t="s">
        <v>392</v>
      </c>
      <c r="B59" t="s">
        <v>184</v>
      </c>
      <c r="C59" s="19">
        <v>46126</v>
      </c>
      <c r="D59" t="s">
        <v>384</v>
      </c>
      <c r="E59" t="s">
        <v>385</v>
      </c>
      <c r="F59" s="8">
        <v>1</v>
      </c>
      <c r="G59" t="s">
        <v>393</v>
      </c>
      <c r="H59" s="7">
        <v>16500</v>
      </c>
      <c r="I59" t="s">
        <v>185</v>
      </c>
      <c r="J59" t="s">
        <v>185</v>
      </c>
      <c r="K59" s="9">
        <v>100</v>
      </c>
      <c r="L59" s="9">
        <v>165</v>
      </c>
      <c r="M59" s="20">
        <v>46142</v>
      </c>
      <c r="N59" t="s">
        <v>394</v>
      </c>
      <c r="O59" t="s">
        <v>394</v>
      </c>
      <c r="P59">
        <v>1</v>
      </c>
      <c r="Q59" s="7">
        <v>0</v>
      </c>
    </row>
    <row r="60" spans="1:17" x14ac:dyDescent="0.25">
      <c r="A60" t="s">
        <v>395</v>
      </c>
      <c r="B60" t="s">
        <v>240</v>
      </c>
      <c r="C60" s="19">
        <v>46126</v>
      </c>
      <c r="D60" t="s">
        <v>384</v>
      </c>
      <c r="E60" t="s">
        <v>385</v>
      </c>
      <c r="F60" s="8">
        <v>1</v>
      </c>
      <c r="G60" t="s">
        <v>386</v>
      </c>
      <c r="H60" s="7">
        <v>4700</v>
      </c>
      <c r="I60" t="s">
        <v>257</v>
      </c>
      <c r="J60" t="s">
        <v>257</v>
      </c>
      <c r="K60" s="9">
        <v>100</v>
      </c>
      <c r="L60" s="9">
        <v>47</v>
      </c>
      <c r="M60" s="20">
        <v>46142</v>
      </c>
      <c r="N60" t="s">
        <v>394</v>
      </c>
      <c r="O60" t="s">
        <v>394</v>
      </c>
      <c r="P60">
        <v>1</v>
      </c>
      <c r="Q60" s="7">
        <v>0</v>
      </c>
    </row>
    <row r="61" spans="1:17" x14ac:dyDescent="0.25">
      <c r="A61" t="s">
        <v>897</v>
      </c>
      <c r="B61" t="s">
        <v>240</v>
      </c>
      <c r="C61" s="19">
        <v>46130</v>
      </c>
      <c r="D61" t="s">
        <v>384</v>
      </c>
      <c r="E61" t="s">
        <v>385</v>
      </c>
      <c r="F61" s="8">
        <v>1</v>
      </c>
      <c r="G61" t="s">
        <v>386</v>
      </c>
      <c r="H61" s="7">
        <v>9600</v>
      </c>
      <c r="I61" t="s">
        <v>242</v>
      </c>
      <c r="J61" t="s">
        <v>242</v>
      </c>
      <c r="K61" s="9">
        <v>200</v>
      </c>
      <c r="L61" s="9">
        <v>48</v>
      </c>
      <c r="M61" s="20">
        <v>46142</v>
      </c>
      <c r="N61" t="s">
        <v>394</v>
      </c>
      <c r="O61" t="s">
        <v>394</v>
      </c>
      <c r="P61">
        <v>1</v>
      </c>
      <c r="Q61" s="7">
        <v>200</v>
      </c>
    </row>
    <row r="62" spans="1:17" x14ac:dyDescent="0.25">
      <c r="A62" t="s">
        <v>921</v>
      </c>
      <c r="B62" t="s">
        <v>240</v>
      </c>
      <c r="C62" s="19">
        <v>46130</v>
      </c>
      <c r="D62" t="s">
        <v>384</v>
      </c>
      <c r="E62" t="s">
        <v>385</v>
      </c>
      <c r="F62" s="8">
        <v>1</v>
      </c>
      <c r="G62" t="s">
        <v>919</v>
      </c>
      <c r="H62" s="7">
        <v>2350</v>
      </c>
      <c r="I62" t="s">
        <v>242</v>
      </c>
      <c r="J62" t="s">
        <v>242</v>
      </c>
      <c r="K62" s="9">
        <v>50</v>
      </c>
      <c r="L62" s="9">
        <v>47</v>
      </c>
      <c r="M62" s="20">
        <v>46173</v>
      </c>
      <c r="N62" t="s">
        <v>394</v>
      </c>
      <c r="O62" t="s">
        <v>394</v>
      </c>
      <c r="P62">
        <v>1</v>
      </c>
      <c r="Q62" s="7">
        <v>50</v>
      </c>
    </row>
    <row r="63" spans="1:17" x14ac:dyDescent="0.25">
      <c r="A63" t="s">
        <v>27</v>
      </c>
      <c r="B63" t="s">
        <v>28</v>
      </c>
      <c r="C63" s="19">
        <v>46133</v>
      </c>
      <c r="D63" t="s">
        <v>384</v>
      </c>
      <c r="E63" t="s">
        <v>385</v>
      </c>
      <c r="F63" s="8">
        <v>1</v>
      </c>
      <c r="G63" t="s">
        <v>386</v>
      </c>
      <c r="H63" s="7">
        <v>60</v>
      </c>
      <c r="I63" t="s">
        <v>403</v>
      </c>
      <c r="J63" t="s">
        <v>404</v>
      </c>
      <c r="K63" s="9">
        <v>30</v>
      </c>
      <c r="L63" s="9">
        <v>2</v>
      </c>
      <c r="M63" s="20">
        <v>46134</v>
      </c>
      <c r="N63" t="s">
        <v>18</v>
      </c>
      <c r="O63" t="s">
        <v>18</v>
      </c>
      <c r="P63">
        <v>1</v>
      </c>
      <c r="Q63" s="7">
        <v>0</v>
      </c>
    </row>
    <row r="64" spans="1:17" x14ac:dyDescent="0.25">
      <c r="A64" t="s">
        <v>803</v>
      </c>
      <c r="B64" t="s">
        <v>184</v>
      </c>
      <c r="C64" s="19">
        <v>46134</v>
      </c>
      <c r="D64" t="s">
        <v>384</v>
      </c>
      <c r="E64" t="s">
        <v>385</v>
      </c>
      <c r="F64" s="8">
        <v>1</v>
      </c>
      <c r="G64" t="s">
        <v>386</v>
      </c>
      <c r="H64" s="7">
        <v>48400</v>
      </c>
      <c r="I64" t="s">
        <v>188</v>
      </c>
      <c r="J64" t="s">
        <v>188</v>
      </c>
      <c r="K64" s="9">
        <v>20</v>
      </c>
      <c r="L64" s="9">
        <v>2420</v>
      </c>
      <c r="M64" s="20">
        <v>46142</v>
      </c>
      <c r="N64" t="s">
        <v>398</v>
      </c>
      <c r="O64" t="s">
        <v>441</v>
      </c>
      <c r="P64">
        <v>220</v>
      </c>
      <c r="Q64" s="7">
        <v>10</v>
      </c>
    </row>
    <row r="65" spans="1:17" x14ac:dyDescent="0.25">
      <c r="A65" t="s">
        <v>754</v>
      </c>
      <c r="B65" t="s">
        <v>240</v>
      </c>
      <c r="C65" s="19">
        <v>46135</v>
      </c>
      <c r="D65" t="s">
        <v>384</v>
      </c>
      <c r="E65" t="s">
        <v>385</v>
      </c>
      <c r="F65" s="8">
        <v>1</v>
      </c>
      <c r="G65" t="s">
        <v>386</v>
      </c>
      <c r="H65" s="7">
        <v>81000</v>
      </c>
      <c r="I65" t="s">
        <v>245</v>
      </c>
      <c r="J65" t="s">
        <v>245</v>
      </c>
      <c r="K65" s="9">
        <v>30</v>
      </c>
      <c r="L65" s="9">
        <v>2700</v>
      </c>
      <c r="M65" s="20">
        <v>46137</v>
      </c>
      <c r="N65" t="s">
        <v>398</v>
      </c>
      <c r="O65" t="s">
        <v>441</v>
      </c>
      <c r="P65">
        <v>250</v>
      </c>
      <c r="Q65" s="7">
        <v>5</v>
      </c>
    </row>
    <row r="66" spans="1:17" x14ac:dyDescent="0.25">
      <c r="A66" t="s">
        <v>822</v>
      </c>
      <c r="B66" t="s">
        <v>48</v>
      </c>
      <c r="C66" s="19">
        <v>46140</v>
      </c>
      <c r="D66" t="s">
        <v>384</v>
      </c>
      <c r="E66" t="s">
        <v>385</v>
      </c>
      <c r="F66" s="8">
        <v>1</v>
      </c>
      <c r="G66" t="s">
        <v>386</v>
      </c>
      <c r="H66" s="7">
        <v>31680</v>
      </c>
      <c r="I66" t="s">
        <v>55</v>
      </c>
      <c r="J66" t="s">
        <v>55</v>
      </c>
      <c r="K66" s="9">
        <v>12</v>
      </c>
      <c r="L66" s="9">
        <v>2640</v>
      </c>
      <c r="M66" s="20">
        <v>46203</v>
      </c>
      <c r="N66" t="s">
        <v>398</v>
      </c>
      <c r="O66" t="s">
        <v>441</v>
      </c>
      <c r="P66">
        <v>220</v>
      </c>
      <c r="Q66" s="7">
        <v>8</v>
      </c>
    </row>
    <row r="67" spans="1:17" x14ac:dyDescent="0.25">
      <c r="A67" t="s">
        <v>882</v>
      </c>
      <c r="B67" t="s">
        <v>240</v>
      </c>
      <c r="C67" s="19">
        <v>46140</v>
      </c>
      <c r="D67" t="s">
        <v>384</v>
      </c>
      <c r="E67" t="s">
        <v>385</v>
      </c>
      <c r="F67" s="8">
        <v>1</v>
      </c>
      <c r="G67" t="s">
        <v>386</v>
      </c>
      <c r="H67" s="7">
        <v>9600</v>
      </c>
      <c r="I67" t="s">
        <v>242</v>
      </c>
      <c r="J67" t="s">
        <v>242</v>
      </c>
      <c r="K67" s="9">
        <v>200</v>
      </c>
      <c r="L67" s="9">
        <v>48</v>
      </c>
      <c r="M67" s="20">
        <v>46173</v>
      </c>
      <c r="N67" t="s">
        <v>394</v>
      </c>
      <c r="O67" t="s">
        <v>394</v>
      </c>
      <c r="P67">
        <v>1</v>
      </c>
      <c r="Q67" s="7">
        <v>200</v>
      </c>
    </row>
    <row r="68" spans="1:17" x14ac:dyDescent="0.25">
      <c r="A68" t="s">
        <v>866</v>
      </c>
      <c r="B68" t="s">
        <v>285</v>
      </c>
      <c r="C68" s="19">
        <v>46142</v>
      </c>
      <c r="D68" t="s">
        <v>384</v>
      </c>
      <c r="E68" t="s">
        <v>385</v>
      </c>
      <c r="F68" s="8">
        <v>1</v>
      </c>
      <c r="G68" t="s">
        <v>386</v>
      </c>
      <c r="H68" s="7">
        <v>14400</v>
      </c>
      <c r="I68" t="s">
        <v>867</v>
      </c>
      <c r="J68" t="s">
        <v>867</v>
      </c>
      <c r="K68" s="9">
        <v>600</v>
      </c>
      <c r="L68" s="9">
        <v>24</v>
      </c>
      <c r="M68" s="20">
        <v>46173</v>
      </c>
      <c r="N68" t="s">
        <v>18</v>
      </c>
      <c r="O68" t="s">
        <v>402</v>
      </c>
      <c r="P68">
        <v>1</v>
      </c>
      <c r="Q68" s="7">
        <v>500</v>
      </c>
    </row>
    <row r="69" spans="1:17" x14ac:dyDescent="0.25">
      <c r="A69" t="s">
        <v>778</v>
      </c>
      <c r="B69" t="s">
        <v>48</v>
      </c>
      <c r="C69" s="19">
        <v>46150</v>
      </c>
      <c r="D69" t="s">
        <v>384</v>
      </c>
      <c r="E69" t="s">
        <v>385</v>
      </c>
      <c r="F69" s="8">
        <v>1</v>
      </c>
      <c r="G69" t="s">
        <v>386</v>
      </c>
      <c r="H69" s="7">
        <v>66000</v>
      </c>
      <c r="I69" t="s">
        <v>49</v>
      </c>
      <c r="J69" t="s">
        <v>49</v>
      </c>
      <c r="K69" s="9">
        <v>24</v>
      </c>
      <c r="L69" s="9">
        <v>2750</v>
      </c>
      <c r="M69" s="20">
        <v>46173</v>
      </c>
      <c r="N69" t="s">
        <v>398</v>
      </c>
      <c r="O69" t="s">
        <v>441</v>
      </c>
      <c r="P69">
        <v>220</v>
      </c>
      <c r="Q69" s="7">
        <v>6</v>
      </c>
    </row>
    <row r="70" spans="1:17" x14ac:dyDescent="0.25">
      <c r="A70" t="s">
        <v>922</v>
      </c>
      <c r="B70" t="s">
        <v>923</v>
      </c>
      <c r="C70" s="19">
        <v>46153</v>
      </c>
      <c r="D70" t="s">
        <v>384</v>
      </c>
      <c r="E70" t="s">
        <v>385</v>
      </c>
      <c r="F70" s="8">
        <v>1</v>
      </c>
      <c r="G70" t="s">
        <v>919</v>
      </c>
      <c r="H70" s="7">
        <v>450</v>
      </c>
      <c r="I70" t="s">
        <v>924</v>
      </c>
      <c r="J70" t="s">
        <v>924</v>
      </c>
      <c r="K70" s="9">
        <v>3</v>
      </c>
      <c r="L70" s="9">
        <v>150</v>
      </c>
      <c r="M70" s="20">
        <v>46153</v>
      </c>
      <c r="N70" t="s">
        <v>18</v>
      </c>
      <c r="O70" t="s">
        <v>18</v>
      </c>
      <c r="P70">
        <v>1</v>
      </c>
      <c r="Q70" s="7">
        <v>3</v>
      </c>
    </row>
    <row r="71" spans="1:17" x14ac:dyDescent="0.25">
      <c r="A71" t="s">
        <v>915</v>
      </c>
      <c r="B71" t="s">
        <v>218</v>
      </c>
      <c r="C71" s="19">
        <v>46154</v>
      </c>
      <c r="D71" t="s">
        <v>384</v>
      </c>
      <c r="E71" t="s">
        <v>385</v>
      </c>
      <c r="F71" s="8">
        <v>1</v>
      </c>
      <c r="G71" t="s">
        <v>386</v>
      </c>
      <c r="H71" s="7">
        <v>17800</v>
      </c>
      <c r="I71" t="s">
        <v>877</v>
      </c>
      <c r="J71" t="s">
        <v>877</v>
      </c>
      <c r="K71" s="9">
        <v>20</v>
      </c>
      <c r="L71" s="9">
        <v>890</v>
      </c>
      <c r="M71" s="20">
        <v>46173</v>
      </c>
      <c r="N71" t="s">
        <v>441</v>
      </c>
      <c r="O71" t="s">
        <v>441</v>
      </c>
      <c r="P71">
        <v>1</v>
      </c>
      <c r="Q71" s="7">
        <v>20</v>
      </c>
    </row>
    <row r="72" spans="1:17" x14ac:dyDescent="0.25">
      <c r="A72" t="s">
        <v>785</v>
      </c>
      <c r="B72" t="s">
        <v>48</v>
      </c>
      <c r="C72" s="19">
        <v>46157</v>
      </c>
      <c r="D72" t="s">
        <v>384</v>
      </c>
      <c r="E72" t="s">
        <v>385</v>
      </c>
      <c r="F72" s="8">
        <v>1</v>
      </c>
      <c r="G72" t="s">
        <v>386</v>
      </c>
      <c r="H72" s="7">
        <v>68640</v>
      </c>
      <c r="I72" t="s">
        <v>49</v>
      </c>
      <c r="J72" t="s">
        <v>49</v>
      </c>
      <c r="K72" s="9">
        <v>24</v>
      </c>
      <c r="L72" s="9">
        <v>2860</v>
      </c>
      <c r="M72" s="20">
        <v>46173</v>
      </c>
      <c r="N72" t="s">
        <v>398</v>
      </c>
      <c r="O72" t="s">
        <v>441</v>
      </c>
      <c r="P72">
        <v>220</v>
      </c>
      <c r="Q72" s="7">
        <v>8</v>
      </c>
    </row>
    <row r="73" spans="1:17" x14ac:dyDescent="0.25">
      <c r="A73" t="s">
        <v>798</v>
      </c>
      <c r="B73" t="s">
        <v>48</v>
      </c>
      <c r="C73" s="19">
        <v>46157</v>
      </c>
      <c r="D73" t="s">
        <v>384</v>
      </c>
      <c r="E73" t="s">
        <v>385</v>
      </c>
      <c r="F73" s="8">
        <v>1</v>
      </c>
      <c r="G73" t="s">
        <v>386</v>
      </c>
      <c r="H73" s="7">
        <v>16240</v>
      </c>
      <c r="I73" t="s">
        <v>799</v>
      </c>
      <c r="J73" t="s">
        <v>799</v>
      </c>
      <c r="K73" s="9">
        <v>35</v>
      </c>
      <c r="L73" s="9">
        <v>464</v>
      </c>
      <c r="M73" s="20">
        <v>46173</v>
      </c>
      <c r="N73" t="s">
        <v>388</v>
      </c>
      <c r="O73" t="s">
        <v>209</v>
      </c>
      <c r="P73">
        <v>290</v>
      </c>
      <c r="Q73" s="7">
        <v>15</v>
      </c>
    </row>
    <row r="74" spans="1:17" x14ac:dyDescent="0.25">
      <c r="A74" t="s">
        <v>841</v>
      </c>
      <c r="B74" t="s">
        <v>285</v>
      </c>
      <c r="C74" s="19">
        <v>46161</v>
      </c>
      <c r="D74" t="s">
        <v>384</v>
      </c>
      <c r="E74" t="s">
        <v>385</v>
      </c>
      <c r="F74" s="8">
        <v>1</v>
      </c>
      <c r="G74" t="s">
        <v>386</v>
      </c>
      <c r="H74" s="7">
        <v>15000</v>
      </c>
      <c r="I74" t="s">
        <v>289</v>
      </c>
      <c r="J74" t="s">
        <v>289</v>
      </c>
      <c r="K74" s="9">
        <v>120</v>
      </c>
      <c r="L74" s="9">
        <v>125</v>
      </c>
      <c r="M74" s="20">
        <v>46203</v>
      </c>
      <c r="N74" t="s">
        <v>388</v>
      </c>
      <c r="O74" t="s">
        <v>209</v>
      </c>
      <c r="P74">
        <v>10</v>
      </c>
      <c r="Q74" s="7">
        <v>75</v>
      </c>
    </row>
    <row r="75" spans="1:17" x14ac:dyDescent="0.25">
      <c r="A75" t="s">
        <v>878</v>
      </c>
      <c r="B75" t="s">
        <v>308</v>
      </c>
      <c r="C75" s="19">
        <v>46162</v>
      </c>
      <c r="D75" t="s">
        <v>384</v>
      </c>
      <c r="E75" t="s">
        <v>385</v>
      </c>
      <c r="F75" s="8">
        <v>1</v>
      </c>
      <c r="G75" t="s">
        <v>386</v>
      </c>
      <c r="H75" s="7">
        <v>6600</v>
      </c>
      <c r="I75" t="s">
        <v>879</v>
      </c>
      <c r="J75" t="s">
        <v>880</v>
      </c>
      <c r="K75" s="9">
        <v>6</v>
      </c>
      <c r="L75" s="9">
        <v>1100</v>
      </c>
      <c r="M75" s="20">
        <v>46167</v>
      </c>
      <c r="N75" t="s">
        <v>556</v>
      </c>
      <c r="O75" t="s">
        <v>441</v>
      </c>
      <c r="P75">
        <v>1</v>
      </c>
      <c r="Q75" s="7">
        <v>6</v>
      </c>
    </row>
    <row r="76" spans="1:17" x14ac:dyDescent="0.25">
      <c r="A76" t="s">
        <v>851</v>
      </c>
      <c r="B76" t="s">
        <v>48</v>
      </c>
      <c r="C76" s="19">
        <v>46163</v>
      </c>
      <c r="D76" t="s">
        <v>384</v>
      </c>
      <c r="E76" t="s">
        <v>385</v>
      </c>
      <c r="F76" s="8">
        <v>1</v>
      </c>
      <c r="G76" t="s">
        <v>386</v>
      </c>
      <c r="H76" s="7">
        <v>411600</v>
      </c>
      <c r="I76" t="s">
        <v>64</v>
      </c>
      <c r="J76" t="s">
        <v>64</v>
      </c>
      <c r="K76" s="9">
        <v>1470</v>
      </c>
      <c r="L76" s="9">
        <v>280</v>
      </c>
      <c r="M76" s="20">
        <v>46234</v>
      </c>
      <c r="N76" t="s">
        <v>209</v>
      </c>
      <c r="O76" t="s">
        <v>209</v>
      </c>
      <c r="P76">
        <v>1</v>
      </c>
      <c r="Q76" s="7">
        <v>1242</v>
      </c>
    </row>
    <row r="77" spans="1:17" x14ac:dyDescent="0.25">
      <c r="A77" t="s">
        <v>112</v>
      </c>
      <c r="B77" t="s">
        <v>113</v>
      </c>
      <c r="C77" s="19">
        <v>46174</v>
      </c>
      <c r="D77" t="s">
        <v>384</v>
      </c>
      <c r="E77" t="s">
        <v>385</v>
      </c>
      <c r="F77" s="8">
        <v>1</v>
      </c>
      <c r="G77" t="s">
        <v>386</v>
      </c>
      <c r="H77" s="7">
        <v>420</v>
      </c>
      <c r="I77" t="s">
        <v>411</v>
      </c>
      <c r="J77" t="s">
        <v>114</v>
      </c>
      <c r="K77" s="9">
        <v>1</v>
      </c>
      <c r="L77" s="9">
        <v>420</v>
      </c>
      <c r="M77" s="20">
        <v>46203</v>
      </c>
      <c r="N77" t="s">
        <v>283</v>
      </c>
      <c r="O77" t="s">
        <v>283</v>
      </c>
      <c r="P77">
        <v>1</v>
      </c>
      <c r="Q77" s="7">
        <v>0</v>
      </c>
    </row>
    <row r="78" spans="1:17" x14ac:dyDescent="0.25">
      <c r="A78" t="s">
        <v>910</v>
      </c>
      <c r="B78" t="s">
        <v>240</v>
      </c>
      <c r="C78" s="19">
        <v>46174</v>
      </c>
      <c r="D78" t="s">
        <v>384</v>
      </c>
      <c r="E78" t="s">
        <v>385</v>
      </c>
      <c r="F78" s="8">
        <v>1</v>
      </c>
      <c r="G78" t="s">
        <v>386</v>
      </c>
      <c r="H78" s="7">
        <v>1660</v>
      </c>
      <c r="I78" t="s">
        <v>911</v>
      </c>
      <c r="J78" t="s">
        <v>911</v>
      </c>
      <c r="K78" s="9">
        <v>20</v>
      </c>
      <c r="L78" s="9">
        <v>83</v>
      </c>
      <c r="M78" s="20">
        <v>46203</v>
      </c>
      <c r="N78" t="s">
        <v>912</v>
      </c>
      <c r="O78" t="s">
        <v>912</v>
      </c>
      <c r="P78">
        <v>1</v>
      </c>
      <c r="Q78" s="7">
        <v>20</v>
      </c>
    </row>
    <row r="79" spans="1:17" x14ac:dyDescent="0.25">
      <c r="A79" t="s">
        <v>408</v>
      </c>
      <c r="B79" t="s">
        <v>409</v>
      </c>
      <c r="C79" s="19">
        <v>46176</v>
      </c>
      <c r="D79" t="s">
        <v>384</v>
      </c>
      <c r="E79" t="s">
        <v>385</v>
      </c>
      <c r="F79" s="8">
        <v>1</v>
      </c>
      <c r="G79" t="s">
        <v>393</v>
      </c>
      <c r="H79" s="7">
        <v>5000</v>
      </c>
      <c r="I79" t="s">
        <v>410</v>
      </c>
      <c r="J79" t="s">
        <v>410</v>
      </c>
      <c r="K79" s="9">
        <v>1000</v>
      </c>
      <c r="L79" s="9">
        <v>5</v>
      </c>
      <c r="M79" s="20">
        <v>46176</v>
      </c>
      <c r="N79" t="s">
        <v>18</v>
      </c>
      <c r="O79" t="s">
        <v>388</v>
      </c>
      <c r="P79">
        <v>1</v>
      </c>
      <c r="Q79" s="7">
        <v>0</v>
      </c>
    </row>
    <row r="80" spans="1:17" x14ac:dyDescent="0.25">
      <c r="A80" t="s">
        <v>804</v>
      </c>
      <c r="B80" t="s">
        <v>240</v>
      </c>
      <c r="C80" s="19">
        <v>46176</v>
      </c>
      <c r="D80" t="s">
        <v>384</v>
      </c>
      <c r="E80" t="s">
        <v>385</v>
      </c>
      <c r="F80" s="8">
        <v>1</v>
      </c>
      <c r="G80" t="s">
        <v>386</v>
      </c>
      <c r="H80" s="7">
        <v>9800</v>
      </c>
      <c r="I80" t="s">
        <v>242</v>
      </c>
      <c r="J80" t="s">
        <v>242</v>
      </c>
      <c r="K80" s="9">
        <v>200</v>
      </c>
      <c r="L80" s="9">
        <v>49</v>
      </c>
      <c r="M80" s="20">
        <v>46203</v>
      </c>
      <c r="N80" t="s">
        <v>394</v>
      </c>
      <c r="O80" t="s">
        <v>394</v>
      </c>
      <c r="P80">
        <v>1</v>
      </c>
      <c r="Q80" s="7">
        <v>0</v>
      </c>
    </row>
    <row r="81" spans="1:17" x14ac:dyDescent="0.25">
      <c r="A81" t="s">
        <v>842</v>
      </c>
      <c r="B81" t="s">
        <v>420</v>
      </c>
      <c r="C81" s="19">
        <v>46176</v>
      </c>
      <c r="D81" t="s">
        <v>384</v>
      </c>
      <c r="E81" t="s">
        <v>385</v>
      </c>
      <c r="F81" s="8">
        <v>1</v>
      </c>
      <c r="G81" t="s">
        <v>386</v>
      </c>
      <c r="H81" s="7">
        <v>130</v>
      </c>
      <c r="I81" t="s">
        <v>843</v>
      </c>
      <c r="J81" t="s">
        <v>843</v>
      </c>
      <c r="K81" s="9">
        <v>1</v>
      </c>
      <c r="L81" s="9">
        <v>130</v>
      </c>
      <c r="M81" s="20">
        <v>46220</v>
      </c>
      <c r="N81" t="s">
        <v>18</v>
      </c>
      <c r="O81" t="s">
        <v>18</v>
      </c>
      <c r="P81">
        <v>1</v>
      </c>
      <c r="Q81" s="7">
        <v>2</v>
      </c>
    </row>
    <row r="82" spans="1:17" x14ac:dyDescent="0.25">
      <c r="A82" t="s">
        <v>796</v>
      </c>
      <c r="B82" t="s">
        <v>48</v>
      </c>
      <c r="C82" s="19">
        <v>46177</v>
      </c>
      <c r="D82" t="s">
        <v>384</v>
      </c>
      <c r="E82" t="s">
        <v>385</v>
      </c>
      <c r="F82" s="8">
        <v>1</v>
      </c>
      <c r="G82" t="s">
        <v>386</v>
      </c>
      <c r="H82" s="7">
        <v>54340</v>
      </c>
      <c r="I82" t="s">
        <v>49</v>
      </c>
      <c r="J82" t="s">
        <v>49</v>
      </c>
      <c r="K82" s="9">
        <v>19</v>
      </c>
      <c r="L82" s="9">
        <v>2860</v>
      </c>
      <c r="M82" s="20">
        <v>46203</v>
      </c>
      <c r="N82" t="s">
        <v>398</v>
      </c>
      <c r="O82" t="s">
        <v>441</v>
      </c>
      <c r="P82">
        <v>220</v>
      </c>
      <c r="Q82" s="7">
        <v>7</v>
      </c>
    </row>
    <row r="83" spans="1:17" x14ac:dyDescent="0.25">
      <c r="A83" t="s">
        <v>891</v>
      </c>
      <c r="B83" t="s">
        <v>48</v>
      </c>
      <c r="C83" s="19">
        <v>46182</v>
      </c>
      <c r="D83" t="s">
        <v>384</v>
      </c>
      <c r="E83" t="s">
        <v>385</v>
      </c>
      <c r="F83" s="8">
        <v>1</v>
      </c>
      <c r="G83" t="s">
        <v>386</v>
      </c>
      <c r="H83" s="7">
        <v>6500</v>
      </c>
      <c r="I83" t="s">
        <v>892</v>
      </c>
      <c r="J83" t="s">
        <v>892</v>
      </c>
      <c r="K83" s="9">
        <v>50</v>
      </c>
      <c r="L83" s="9">
        <v>130</v>
      </c>
      <c r="M83" s="20">
        <v>46203</v>
      </c>
      <c r="N83" t="s">
        <v>893</v>
      </c>
      <c r="O83" t="s">
        <v>893</v>
      </c>
      <c r="P83">
        <v>1</v>
      </c>
      <c r="Q83" s="7">
        <v>50</v>
      </c>
    </row>
    <row r="84" spans="1:17" x14ac:dyDescent="0.25">
      <c r="A84" t="s">
        <v>888</v>
      </c>
      <c r="B84" t="s">
        <v>240</v>
      </c>
      <c r="C84" s="19">
        <v>46189</v>
      </c>
      <c r="D84" t="s">
        <v>384</v>
      </c>
      <c r="E84" t="s">
        <v>385</v>
      </c>
      <c r="F84" s="8">
        <v>1</v>
      </c>
      <c r="G84" t="s">
        <v>386</v>
      </c>
      <c r="H84" s="7">
        <v>64500</v>
      </c>
      <c r="I84" t="s">
        <v>262</v>
      </c>
      <c r="J84" t="s">
        <v>262</v>
      </c>
      <c r="K84" s="9">
        <v>300</v>
      </c>
      <c r="L84" s="9">
        <v>215</v>
      </c>
      <c r="M84" s="20">
        <v>46203</v>
      </c>
      <c r="N84" t="s">
        <v>394</v>
      </c>
      <c r="O84" t="s">
        <v>394</v>
      </c>
      <c r="P84">
        <v>1</v>
      </c>
      <c r="Q84" s="7">
        <v>300</v>
      </c>
    </row>
    <row r="85" spans="1:17" x14ac:dyDescent="0.25">
      <c r="A85" t="s">
        <v>801</v>
      </c>
      <c r="B85" t="s">
        <v>240</v>
      </c>
      <c r="C85" s="19">
        <v>46190</v>
      </c>
      <c r="D85" t="s">
        <v>384</v>
      </c>
      <c r="E85" t="s">
        <v>385</v>
      </c>
      <c r="F85" s="8">
        <v>1</v>
      </c>
      <c r="G85" t="s">
        <v>386</v>
      </c>
      <c r="H85" s="7">
        <v>55660</v>
      </c>
      <c r="I85" t="s">
        <v>275</v>
      </c>
      <c r="J85" t="s">
        <v>275</v>
      </c>
      <c r="K85" s="9">
        <v>506</v>
      </c>
      <c r="L85" s="9">
        <v>110</v>
      </c>
      <c r="M85" s="20">
        <v>46203</v>
      </c>
      <c r="N85" t="s">
        <v>388</v>
      </c>
      <c r="O85" t="s">
        <v>209</v>
      </c>
      <c r="P85">
        <v>10</v>
      </c>
      <c r="Q85" s="7">
        <v>230</v>
      </c>
    </row>
    <row r="86" spans="1:17" x14ac:dyDescent="0.25">
      <c r="A86" t="s">
        <v>412</v>
      </c>
      <c r="B86" t="s">
        <v>413</v>
      </c>
      <c r="C86" s="19">
        <v>46195</v>
      </c>
      <c r="D86" t="s">
        <v>384</v>
      </c>
      <c r="E86" t="s">
        <v>385</v>
      </c>
      <c r="F86" s="8">
        <v>1</v>
      </c>
      <c r="G86" t="s">
        <v>386</v>
      </c>
      <c r="H86" s="7">
        <v>9</v>
      </c>
      <c r="I86" t="s">
        <v>414</v>
      </c>
      <c r="J86" t="s">
        <v>414</v>
      </c>
      <c r="K86" s="9">
        <v>1</v>
      </c>
      <c r="L86" s="9">
        <v>9</v>
      </c>
      <c r="M86" s="20">
        <v>46203</v>
      </c>
      <c r="N86" t="s">
        <v>388</v>
      </c>
      <c r="O86" t="s">
        <v>388</v>
      </c>
      <c r="P86">
        <v>1</v>
      </c>
      <c r="Q86" s="7">
        <v>0</v>
      </c>
    </row>
    <row r="87" spans="1:17" x14ac:dyDescent="0.25">
      <c r="A87" t="s">
        <v>850</v>
      </c>
      <c r="B87" t="s">
        <v>86</v>
      </c>
      <c r="C87" s="19">
        <v>46197</v>
      </c>
      <c r="D87" t="s">
        <v>384</v>
      </c>
      <c r="E87" t="s">
        <v>385</v>
      </c>
      <c r="F87" s="8">
        <v>1</v>
      </c>
      <c r="G87" t="s">
        <v>386</v>
      </c>
      <c r="H87" s="7">
        <v>7800</v>
      </c>
      <c r="I87" t="s">
        <v>87</v>
      </c>
      <c r="J87" t="s">
        <v>88</v>
      </c>
      <c r="K87" s="9">
        <v>6</v>
      </c>
      <c r="L87" s="9">
        <v>1300</v>
      </c>
      <c r="M87" s="20">
        <v>46198</v>
      </c>
      <c r="N87" t="s">
        <v>441</v>
      </c>
      <c r="O87" t="s">
        <v>441</v>
      </c>
      <c r="P87">
        <v>1</v>
      </c>
      <c r="Q87" s="7">
        <v>3</v>
      </c>
    </row>
    <row r="88" spans="1:17" x14ac:dyDescent="0.25">
      <c r="A88" t="s">
        <v>813</v>
      </c>
      <c r="B88" t="s">
        <v>285</v>
      </c>
      <c r="C88" s="19">
        <v>46198</v>
      </c>
      <c r="D88" t="s">
        <v>384</v>
      </c>
      <c r="E88" t="s">
        <v>385</v>
      </c>
      <c r="F88" s="8">
        <v>1</v>
      </c>
      <c r="G88" t="s">
        <v>386</v>
      </c>
      <c r="H88" s="7">
        <v>43200</v>
      </c>
      <c r="I88" t="s">
        <v>295</v>
      </c>
      <c r="J88" t="s">
        <v>295</v>
      </c>
      <c r="K88" s="9">
        <v>3000</v>
      </c>
      <c r="L88" s="9">
        <v>14.4</v>
      </c>
      <c r="M88" s="20">
        <v>46203</v>
      </c>
      <c r="N88" t="s">
        <v>583</v>
      </c>
      <c r="O88" t="s">
        <v>467</v>
      </c>
      <c r="P88">
        <v>1</v>
      </c>
      <c r="Q88" s="7">
        <v>3000</v>
      </c>
    </row>
    <row r="89" spans="1:17" x14ac:dyDescent="0.25">
      <c r="A89" t="s">
        <v>875</v>
      </c>
      <c r="B89" t="s">
        <v>118</v>
      </c>
      <c r="C89" s="19">
        <v>46198</v>
      </c>
      <c r="D89" t="s">
        <v>384</v>
      </c>
      <c r="E89" t="s">
        <v>385</v>
      </c>
      <c r="F89" s="8">
        <v>1</v>
      </c>
      <c r="G89" t="s">
        <v>386</v>
      </c>
      <c r="H89" s="7">
        <v>21775</v>
      </c>
      <c r="I89" t="s">
        <v>119</v>
      </c>
      <c r="J89" t="s">
        <v>119</v>
      </c>
      <c r="K89" s="9">
        <v>65</v>
      </c>
      <c r="L89" s="9">
        <v>335</v>
      </c>
      <c r="M89" s="20">
        <v>46199</v>
      </c>
      <c r="N89" t="s">
        <v>388</v>
      </c>
      <c r="O89" t="s">
        <v>209</v>
      </c>
      <c r="P89">
        <v>300</v>
      </c>
      <c r="Q89" s="7">
        <v>55</v>
      </c>
    </row>
    <row r="90" spans="1:17" x14ac:dyDescent="0.25">
      <c r="A90" t="s">
        <v>415</v>
      </c>
      <c r="B90" t="s">
        <v>416</v>
      </c>
      <c r="C90" s="19">
        <v>46200</v>
      </c>
      <c r="D90" t="s">
        <v>384</v>
      </c>
      <c r="E90" t="s">
        <v>385</v>
      </c>
      <c r="F90" s="8">
        <v>1</v>
      </c>
      <c r="G90" t="s">
        <v>386</v>
      </c>
      <c r="H90" s="7">
        <v>3.5</v>
      </c>
      <c r="I90" t="s">
        <v>417</v>
      </c>
      <c r="J90" t="s">
        <v>418</v>
      </c>
      <c r="K90" s="9">
        <v>1</v>
      </c>
      <c r="L90" s="9">
        <v>3.5</v>
      </c>
      <c r="M90" s="20">
        <v>46203</v>
      </c>
      <c r="N90" t="s">
        <v>18</v>
      </c>
      <c r="O90" t="s">
        <v>18</v>
      </c>
      <c r="P90">
        <v>1</v>
      </c>
      <c r="Q90" s="7">
        <v>0</v>
      </c>
    </row>
    <row r="91" spans="1:17" x14ac:dyDescent="0.25">
      <c r="A91" t="s">
        <v>870</v>
      </c>
      <c r="B91" t="s">
        <v>200</v>
      </c>
      <c r="C91" s="19">
        <v>46200</v>
      </c>
      <c r="D91" t="s">
        <v>384</v>
      </c>
      <c r="E91" t="s">
        <v>385</v>
      </c>
      <c r="F91" s="8">
        <v>1</v>
      </c>
      <c r="G91" t="s">
        <v>386</v>
      </c>
      <c r="H91" s="7">
        <v>10000</v>
      </c>
      <c r="I91" t="s">
        <v>201</v>
      </c>
      <c r="J91" t="s">
        <v>201</v>
      </c>
      <c r="K91" s="9">
        <v>25</v>
      </c>
      <c r="L91" s="9">
        <v>400</v>
      </c>
      <c r="M91" s="20">
        <v>46234</v>
      </c>
      <c r="N91" t="s">
        <v>388</v>
      </c>
      <c r="O91" t="s">
        <v>564</v>
      </c>
      <c r="P91">
        <v>1</v>
      </c>
      <c r="Q91" s="7">
        <v>22</v>
      </c>
    </row>
    <row r="92" spans="1:17" x14ac:dyDescent="0.25">
      <c r="A92" t="s">
        <v>827</v>
      </c>
      <c r="B92" t="s">
        <v>553</v>
      </c>
      <c r="C92" s="19">
        <v>46203</v>
      </c>
      <c r="D92" t="s">
        <v>384</v>
      </c>
      <c r="E92" t="s">
        <v>385</v>
      </c>
      <c r="F92" s="8">
        <v>1</v>
      </c>
      <c r="G92" t="s">
        <v>386</v>
      </c>
      <c r="H92" s="7">
        <v>360</v>
      </c>
      <c r="I92" t="s">
        <v>37</v>
      </c>
      <c r="J92" t="s">
        <v>37</v>
      </c>
      <c r="K92" s="9">
        <v>6</v>
      </c>
      <c r="L92" s="9">
        <v>60</v>
      </c>
      <c r="M92" s="20">
        <v>46265</v>
      </c>
      <c r="N92" t="s">
        <v>38</v>
      </c>
      <c r="O92" t="s">
        <v>38</v>
      </c>
      <c r="P92">
        <v>1</v>
      </c>
      <c r="Q92" s="7">
        <v>6</v>
      </c>
    </row>
    <row r="93" spans="1:17" x14ac:dyDescent="0.25">
      <c r="A93" t="s">
        <v>829</v>
      </c>
      <c r="B93" t="s">
        <v>470</v>
      </c>
      <c r="C93" s="19">
        <v>46203</v>
      </c>
      <c r="D93" t="s">
        <v>384</v>
      </c>
      <c r="E93" t="s">
        <v>385</v>
      </c>
      <c r="F93" s="8">
        <v>1</v>
      </c>
      <c r="G93" t="s">
        <v>386</v>
      </c>
      <c r="H93" s="7">
        <v>49495</v>
      </c>
      <c r="I93" t="s">
        <v>830</v>
      </c>
      <c r="J93" t="s">
        <v>831</v>
      </c>
      <c r="K93" s="9">
        <v>521</v>
      </c>
      <c r="L93" s="9">
        <v>95</v>
      </c>
      <c r="M93" s="20">
        <v>46203</v>
      </c>
      <c r="N93" t="s">
        <v>388</v>
      </c>
      <c r="O93" t="s">
        <v>388</v>
      </c>
      <c r="P93">
        <v>1</v>
      </c>
      <c r="Q93" s="7">
        <v>364.70600000000002</v>
      </c>
    </row>
    <row r="94" spans="1:17" x14ac:dyDescent="0.25">
      <c r="A94" t="s">
        <v>931</v>
      </c>
      <c r="B94" t="s">
        <v>470</v>
      </c>
      <c r="C94" s="19">
        <v>46203</v>
      </c>
      <c r="D94" t="s">
        <v>384</v>
      </c>
      <c r="E94" t="s">
        <v>385</v>
      </c>
      <c r="F94" s="8">
        <v>1</v>
      </c>
      <c r="G94" t="s">
        <v>919</v>
      </c>
      <c r="H94" s="7">
        <v>13192.65</v>
      </c>
      <c r="I94" t="s">
        <v>410</v>
      </c>
      <c r="J94" t="s">
        <v>410</v>
      </c>
      <c r="K94" s="9">
        <v>138.87</v>
      </c>
      <c r="L94" s="9">
        <v>95</v>
      </c>
      <c r="M94" s="20">
        <v>46326</v>
      </c>
      <c r="N94" t="s">
        <v>18</v>
      </c>
      <c r="O94" t="s">
        <v>388</v>
      </c>
      <c r="P94">
        <v>1</v>
      </c>
      <c r="Q94" s="7">
        <v>138.87</v>
      </c>
    </row>
    <row r="95" spans="1:17" x14ac:dyDescent="0.25">
      <c r="A95" t="s">
        <v>859</v>
      </c>
      <c r="B95" t="s">
        <v>420</v>
      </c>
      <c r="C95" s="19">
        <v>46204</v>
      </c>
      <c r="D95" t="s">
        <v>384</v>
      </c>
      <c r="E95" t="s">
        <v>385</v>
      </c>
      <c r="F95" s="8">
        <v>1</v>
      </c>
      <c r="G95" t="s">
        <v>386</v>
      </c>
      <c r="H95" s="7">
        <v>120</v>
      </c>
      <c r="I95" t="s">
        <v>860</v>
      </c>
      <c r="J95" t="s">
        <v>860</v>
      </c>
      <c r="K95" s="9">
        <v>2</v>
      </c>
      <c r="L95" s="9">
        <v>60</v>
      </c>
      <c r="M95" s="20">
        <v>46235</v>
      </c>
      <c r="N95" t="s">
        <v>18</v>
      </c>
      <c r="O95" t="s">
        <v>18</v>
      </c>
      <c r="P95">
        <v>1</v>
      </c>
      <c r="Q95" s="7">
        <v>2</v>
      </c>
    </row>
    <row r="96" spans="1:17" x14ac:dyDescent="0.25">
      <c r="A96" t="s">
        <v>917</v>
      </c>
      <c r="B96" t="s">
        <v>504</v>
      </c>
      <c r="C96" s="19">
        <v>46206</v>
      </c>
      <c r="D96" t="s">
        <v>384</v>
      </c>
      <c r="E96" t="s">
        <v>385</v>
      </c>
      <c r="F96" s="8">
        <v>1</v>
      </c>
      <c r="G96" t="s">
        <v>386</v>
      </c>
      <c r="H96" s="7">
        <v>43989</v>
      </c>
      <c r="I96" t="s">
        <v>505</v>
      </c>
      <c r="J96" t="s">
        <v>505</v>
      </c>
      <c r="K96" s="9">
        <v>2666</v>
      </c>
      <c r="L96" s="9">
        <v>16.5</v>
      </c>
      <c r="M96" s="20">
        <v>46207</v>
      </c>
      <c r="N96" t="s">
        <v>18</v>
      </c>
      <c r="O96" t="s">
        <v>18</v>
      </c>
      <c r="P96">
        <v>1</v>
      </c>
      <c r="Q96" s="7">
        <v>2665.9940000000001</v>
      </c>
    </row>
    <row r="97" spans="1:17" x14ac:dyDescent="0.25">
      <c r="A97" t="s">
        <v>854</v>
      </c>
      <c r="B97" t="s">
        <v>118</v>
      </c>
      <c r="C97" s="19">
        <v>46210</v>
      </c>
      <c r="D97" t="s">
        <v>384</v>
      </c>
      <c r="E97" t="s">
        <v>385</v>
      </c>
      <c r="F97" s="8">
        <v>1</v>
      </c>
      <c r="G97" t="s">
        <v>386</v>
      </c>
      <c r="H97" s="7">
        <v>16750</v>
      </c>
      <c r="I97" t="s">
        <v>119</v>
      </c>
      <c r="J97" t="s">
        <v>119</v>
      </c>
      <c r="K97" s="9">
        <v>50</v>
      </c>
      <c r="L97" s="9">
        <v>335</v>
      </c>
      <c r="M97" s="20">
        <v>46265</v>
      </c>
      <c r="N97" t="s">
        <v>388</v>
      </c>
      <c r="O97" t="s">
        <v>209</v>
      </c>
      <c r="P97">
        <v>300</v>
      </c>
      <c r="Q97" s="7">
        <v>43</v>
      </c>
    </row>
    <row r="98" spans="1:17" x14ac:dyDescent="0.25">
      <c r="A98" t="s">
        <v>823</v>
      </c>
      <c r="B98" t="s">
        <v>74</v>
      </c>
      <c r="C98" s="19">
        <v>46212</v>
      </c>
      <c r="D98" t="s">
        <v>384</v>
      </c>
      <c r="E98" t="s">
        <v>385</v>
      </c>
      <c r="F98" s="8">
        <v>1</v>
      </c>
      <c r="G98" t="s">
        <v>386</v>
      </c>
      <c r="H98" s="7">
        <v>174570</v>
      </c>
      <c r="I98" t="s">
        <v>75</v>
      </c>
      <c r="J98" t="s">
        <v>75</v>
      </c>
      <c r="K98" s="9">
        <v>1518</v>
      </c>
      <c r="L98" s="9">
        <v>115</v>
      </c>
      <c r="M98" s="20">
        <v>46243</v>
      </c>
      <c r="N98" t="s">
        <v>209</v>
      </c>
      <c r="O98" t="s">
        <v>209</v>
      </c>
      <c r="P98">
        <v>1</v>
      </c>
      <c r="Q98" s="7">
        <v>1012</v>
      </c>
    </row>
    <row r="99" spans="1:17" x14ac:dyDescent="0.25">
      <c r="A99" t="s">
        <v>423</v>
      </c>
      <c r="B99" t="s">
        <v>424</v>
      </c>
      <c r="C99" s="19">
        <v>46213</v>
      </c>
      <c r="D99" t="s">
        <v>384</v>
      </c>
      <c r="E99" t="s">
        <v>385</v>
      </c>
      <c r="F99" s="8">
        <v>1</v>
      </c>
      <c r="G99" t="s">
        <v>386</v>
      </c>
      <c r="H99" s="7">
        <v>6</v>
      </c>
      <c r="I99" t="s">
        <v>414</v>
      </c>
      <c r="J99" t="s">
        <v>414</v>
      </c>
      <c r="K99" s="9">
        <v>1</v>
      </c>
      <c r="L99" s="9">
        <v>6</v>
      </c>
      <c r="M99" s="20">
        <v>46234</v>
      </c>
      <c r="N99" t="s">
        <v>388</v>
      </c>
      <c r="O99" t="s">
        <v>388</v>
      </c>
      <c r="P99">
        <v>1</v>
      </c>
      <c r="Q99" s="7">
        <v>0</v>
      </c>
    </row>
    <row r="100" spans="1:17" x14ac:dyDescent="0.25">
      <c r="A100" t="s">
        <v>773</v>
      </c>
      <c r="B100" t="s">
        <v>48</v>
      </c>
      <c r="C100" s="19">
        <v>46217</v>
      </c>
      <c r="D100" t="s">
        <v>384</v>
      </c>
      <c r="E100" t="s">
        <v>385</v>
      </c>
      <c r="F100" s="8">
        <v>1</v>
      </c>
      <c r="G100" t="s">
        <v>386</v>
      </c>
      <c r="H100" s="7">
        <v>890000</v>
      </c>
      <c r="I100" t="s">
        <v>774</v>
      </c>
      <c r="J100" t="s">
        <v>775</v>
      </c>
      <c r="K100" s="9">
        <v>20000</v>
      </c>
      <c r="L100" s="9">
        <v>44.5</v>
      </c>
      <c r="M100" s="20">
        <v>46218</v>
      </c>
      <c r="N100" t="s">
        <v>18</v>
      </c>
      <c r="O100" t="s">
        <v>388</v>
      </c>
      <c r="P100">
        <v>1</v>
      </c>
      <c r="Q100" s="7">
        <v>4680</v>
      </c>
    </row>
    <row r="101" spans="1:17" x14ac:dyDescent="0.25">
      <c r="A101" t="s">
        <v>805</v>
      </c>
      <c r="B101" t="s">
        <v>285</v>
      </c>
      <c r="C101" s="19">
        <v>46217</v>
      </c>
      <c r="D101" t="s">
        <v>384</v>
      </c>
      <c r="E101" t="s">
        <v>385</v>
      </c>
      <c r="F101" s="8">
        <v>1</v>
      </c>
      <c r="G101" t="s">
        <v>386</v>
      </c>
      <c r="H101" s="7">
        <v>63250</v>
      </c>
      <c r="I101" t="s">
        <v>289</v>
      </c>
      <c r="J101" t="s">
        <v>289</v>
      </c>
      <c r="K101" s="9">
        <v>506</v>
      </c>
      <c r="L101" s="9">
        <v>125</v>
      </c>
      <c r="M101" s="20">
        <v>46218</v>
      </c>
      <c r="N101" t="s">
        <v>388</v>
      </c>
      <c r="O101" t="s">
        <v>209</v>
      </c>
      <c r="P101">
        <v>10</v>
      </c>
      <c r="Q101" s="7">
        <v>253</v>
      </c>
    </row>
    <row r="102" spans="1:17" x14ac:dyDescent="0.25">
      <c r="A102" t="s">
        <v>425</v>
      </c>
      <c r="B102" t="s">
        <v>426</v>
      </c>
      <c r="C102" s="19">
        <v>46218</v>
      </c>
      <c r="D102" t="s">
        <v>384</v>
      </c>
      <c r="E102" t="s">
        <v>385</v>
      </c>
      <c r="F102" s="8">
        <v>1</v>
      </c>
      <c r="G102" t="s">
        <v>386</v>
      </c>
      <c r="H102" s="7">
        <v>3</v>
      </c>
      <c r="I102" t="s">
        <v>417</v>
      </c>
      <c r="J102" t="s">
        <v>418</v>
      </c>
      <c r="K102" s="9">
        <v>1</v>
      </c>
      <c r="L102" s="9">
        <v>3</v>
      </c>
      <c r="M102" s="20">
        <v>46234</v>
      </c>
      <c r="N102" t="s">
        <v>18</v>
      </c>
      <c r="O102" t="s">
        <v>388</v>
      </c>
      <c r="P102">
        <v>1</v>
      </c>
      <c r="Q102" s="7">
        <v>0</v>
      </c>
    </row>
    <row r="103" spans="1:17" x14ac:dyDescent="0.25">
      <c r="A103" t="s">
        <v>855</v>
      </c>
      <c r="B103" t="s">
        <v>218</v>
      </c>
      <c r="C103" s="19">
        <v>46218</v>
      </c>
      <c r="D103" t="s">
        <v>384</v>
      </c>
      <c r="E103" t="s">
        <v>385</v>
      </c>
      <c r="F103" s="8">
        <v>1</v>
      </c>
      <c r="G103" t="s">
        <v>386</v>
      </c>
      <c r="H103" s="7">
        <v>28520</v>
      </c>
      <c r="I103" t="s">
        <v>856</v>
      </c>
      <c r="J103" t="s">
        <v>856</v>
      </c>
      <c r="K103" s="9">
        <v>230</v>
      </c>
      <c r="L103" s="9">
        <v>124</v>
      </c>
      <c r="M103" s="20">
        <v>46219</v>
      </c>
      <c r="N103" t="s">
        <v>18</v>
      </c>
      <c r="O103" t="s">
        <v>18</v>
      </c>
      <c r="P103">
        <v>1</v>
      </c>
      <c r="Q103" s="7">
        <v>184</v>
      </c>
    </row>
    <row r="104" spans="1:17" x14ac:dyDescent="0.25">
      <c r="A104" t="s">
        <v>898</v>
      </c>
      <c r="B104" t="s">
        <v>181</v>
      </c>
      <c r="C104" s="19">
        <v>46218</v>
      </c>
      <c r="D104" t="s">
        <v>384</v>
      </c>
      <c r="E104" t="s">
        <v>385</v>
      </c>
      <c r="F104" s="8">
        <v>1</v>
      </c>
      <c r="G104" t="s">
        <v>386</v>
      </c>
      <c r="H104" s="7">
        <v>60</v>
      </c>
      <c r="I104" t="s">
        <v>899</v>
      </c>
      <c r="J104" t="s">
        <v>899</v>
      </c>
      <c r="K104" s="9">
        <v>50</v>
      </c>
      <c r="L104" s="9">
        <v>1.2</v>
      </c>
      <c r="M104" s="20">
        <v>46219</v>
      </c>
      <c r="N104" t="s">
        <v>18</v>
      </c>
      <c r="O104" t="s">
        <v>18</v>
      </c>
      <c r="P104">
        <v>1</v>
      </c>
      <c r="Q104" s="7">
        <v>50</v>
      </c>
    </row>
    <row r="105" spans="1:17" x14ac:dyDescent="0.25">
      <c r="A105" t="s">
        <v>832</v>
      </c>
      <c r="B105" t="s">
        <v>48</v>
      </c>
      <c r="C105" s="19">
        <v>46220</v>
      </c>
      <c r="D105" t="s">
        <v>384</v>
      </c>
      <c r="E105" t="s">
        <v>385</v>
      </c>
      <c r="F105" s="8">
        <v>1</v>
      </c>
      <c r="G105" t="s">
        <v>386</v>
      </c>
      <c r="H105" s="7">
        <v>47610</v>
      </c>
      <c r="I105" t="s">
        <v>58</v>
      </c>
      <c r="J105" t="s">
        <v>58</v>
      </c>
      <c r="K105" s="9">
        <v>345</v>
      </c>
      <c r="L105" s="9">
        <v>138</v>
      </c>
      <c r="M105" s="20">
        <v>46265</v>
      </c>
      <c r="N105" t="s">
        <v>388</v>
      </c>
      <c r="O105" t="s">
        <v>18</v>
      </c>
      <c r="P105">
        <v>1</v>
      </c>
      <c r="Q105" s="7">
        <v>230</v>
      </c>
    </row>
    <row r="106" spans="1:17" x14ac:dyDescent="0.25">
      <c r="A106" t="s">
        <v>531</v>
      </c>
      <c r="B106" t="s">
        <v>532</v>
      </c>
      <c r="C106" s="19">
        <v>46221</v>
      </c>
      <c r="D106" t="s">
        <v>384</v>
      </c>
      <c r="E106" t="s">
        <v>385</v>
      </c>
      <c r="F106" s="8">
        <v>1</v>
      </c>
      <c r="G106" t="s">
        <v>386</v>
      </c>
      <c r="H106" s="7">
        <v>3.5</v>
      </c>
      <c r="I106" t="s">
        <v>417</v>
      </c>
      <c r="J106" t="s">
        <v>418</v>
      </c>
      <c r="K106" s="9">
        <v>1</v>
      </c>
      <c r="L106" s="9">
        <v>3.5</v>
      </c>
      <c r="M106" s="20">
        <v>46234</v>
      </c>
      <c r="N106" t="s">
        <v>18</v>
      </c>
      <c r="O106" t="s">
        <v>388</v>
      </c>
      <c r="P106">
        <v>1</v>
      </c>
      <c r="Q106" s="7">
        <v>0</v>
      </c>
    </row>
    <row r="107" spans="1:17" x14ac:dyDescent="0.25">
      <c r="A107" t="s">
        <v>748</v>
      </c>
      <c r="B107" t="s">
        <v>308</v>
      </c>
      <c r="C107" s="19">
        <v>46221</v>
      </c>
      <c r="D107" t="s">
        <v>384</v>
      </c>
      <c r="E107" t="s">
        <v>385</v>
      </c>
      <c r="F107" s="8">
        <v>1</v>
      </c>
      <c r="G107" t="s">
        <v>386</v>
      </c>
      <c r="H107" s="7">
        <v>55300</v>
      </c>
      <c r="I107" t="s">
        <v>320</v>
      </c>
      <c r="J107" t="s">
        <v>320</v>
      </c>
      <c r="K107" s="9">
        <v>700</v>
      </c>
      <c r="L107" s="9">
        <v>79</v>
      </c>
      <c r="M107" s="20">
        <v>46223</v>
      </c>
      <c r="N107" t="s">
        <v>394</v>
      </c>
      <c r="O107" t="s">
        <v>18</v>
      </c>
      <c r="P107">
        <v>1</v>
      </c>
      <c r="Q107" s="7">
        <v>100</v>
      </c>
    </row>
    <row r="108" spans="1:17" x14ac:dyDescent="0.25">
      <c r="A108" t="s">
        <v>427</v>
      </c>
      <c r="B108" t="s">
        <v>428</v>
      </c>
      <c r="C108" s="19">
        <v>46224</v>
      </c>
      <c r="D108" t="s">
        <v>384</v>
      </c>
      <c r="E108" t="s">
        <v>385</v>
      </c>
      <c r="F108" s="8">
        <v>1</v>
      </c>
      <c r="G108" t="s">
        <v>386</v>
      </c>
      <c r="H108" s="7">
        <v>4.5</v>
      </c>
      <c r="I108" t="s">
        <v>410</v>
      </c>
      <c r="J108" t="s">
        <v>410</v>
      </c>
      <c r="K108" s="9">
        <v>1</v>
      </c>
      <c r="L108" s="9">
        <v>4.5</v>
      </c>
      <c r="M108" s="20">
        <v>46234</v>
      </c>
      <c r="N108" t="s">
        <v>18</v>
      </c>
      <c r="O108" t="s">
        <v>388</v>
      </c>
      <c r="P108">
        <v>1</v>
      </c>
      <c r="Q108" s="7">
        <v>0</v>
      </c>
    </row>
    <row r="109" spans="1:17" x14ac:dyDescent="0.25">
      <c r="A109" t="s">
        <v>776</v>
      </c>
      <c r="B109" t="s">
        <v>308</v>
      </c>
      <c r="C109" s="19">
        <v>46224</v>
      </c>
      <c r="D109" t="s">
        <v>384</v>
      </c>
      <c r="E109" t="s">
        <v>385</v>
      </c>
      <c r="F109" s="8">
        <v>1</v>
      </c>
      <c r="G109" t="s">
        <v>386</v>
      </c>
      <c r="H109" s="7">
        <v>16700</v>
      </c>
      <c r="I109" t="s">
        <v>777</v>
      </c>
      <c r="J109" t="s">
        <v>777</v>
      </c>
      <c r="K109" s="9">
        <v>1000</v>
      </c>
      <c r="L109" s="9">
        <v>16.7</v>
      </c>
      <c r="M109" s="20">
        <v>46228</v>
      </c>
      <c r="N109" t="s">
        <v>527</v>
      </c>
      <c r="O109" t="s">
        <v>18</v>
      </c>
      <c r="P109">
        <v>1</v>
      </c>
      <c r="Q109" s="7">
        <v>240</v>
      </c>
    </row>
    <row r="110" spans="1:17" x14ac:dyDescent="0.25">
      <c r="A110" t="s">
        <v>430</v>
      </c>
      <c r="B110" t="s">
        <v>431</v>
      </c>
      <c r="C110" s="19">
        <v>46225</v>
      </c>
      <c r="D110" t="s">
        <v>384</v>
      </c>
      <c r="E110" t="s">
        <v>385</v>
      </c>
      <c r="F110" s="8">
        <v>1</v>
      </c>
      <c r="G110" t="s">
        <v>386</v>
      </c>
      <c r="H110" s="7">
        <v>5.5</v>
      </c>
      <c r="I110" t="s">
        <v>414</v>
      </c>
      <c r="J110" t="s">
        <v>414</v>
      </c>
      <c r="K110" s="9">
        <v>1</v>
      </c>
      <c r="L110" s="9">
        <v>5.5</v>
      </c>
      <c r="M110" s="20">
        <v>46234</v>
      </c>
      <c r="N110" t="s">
        <v>388</v>
      </c>
      <c r="O110" t="s">
        <v>388</v>
      </c>
      <c r="P110">
        <v>1</v>
      </c>
      <c r="Q110" s="7">
        <v>0</v>
      </c>
    </row>
    <row r="111" spans="1:17" x14ac:dyDescent="0.25">
      <c r="A111" t="s">
        <v>934</v>
      </c>
      <c r="B111" t="s">
        <v>431</v>
      </c>
      <c r="C111" s="19">
        <v>46225</v>
      </c>
      <c r="D111" t="s">
        <v>384</v>
      </c>
      <c r="E111" t="s">
        <v>385</v>
      </c>
      <c r="F111" s="8">
        <v>1</v>
      </c>
      <c r="G111" t="s">
        <v>919</v>
      </c>
      <c r="H111" s="7">
        <v>19261.77</v>
      </c>
      <c r="I111" t="s">
        <v>410</v>
      </c>
      <c r="J111" t="s">
        <v>410</v>
      </c>
      <c r="K111" s="9">
        <v>3502.14</v>
      </c>
      <c r="L111" s="9">
        <v>5.5</v>
      </c>
      <c r="M111" s="20">
        <v>46326</v>
      </c>
      <c r="N111" t="s">
        <v>18</v>
      </c>
      <c r="O111" t="s">
        <v>388</v>
      </c>
      <c r="P111">
        <v>1</v>
      </c>
      <c r="Q111" s="7">
        <v>3502.14</v>
      </c>
    </row>
    <row r="112" spans="1:17" x14ac:dyDescent="0.25">
      <c r="A112" t="s">
        <v>432</v>
      </c>
      <c r="B112" t="s">
        <v>433</v>
      </c>
      <c r="C112" s="19">
        <v>46226</v>
      </c>
      <c r="D112" t="s">
        <v>384</v>
      </c>
      <c r="E112" t="s">
        <v>385</v>
      </c>
      <c r="F112" s="8">
        <v>1</v>
      </c>
      <c r="G112" t="s">
        <v>386</v>
      </c>
      <c r="H112" s="7">
        <v>4</v>
      </c>
      <c r="I112" t="s">
        <v>417</v>
      </c>
      <c r="J112" t="s">
        <v>418</v>
      </c>
      <c r="K112" s="9">
        <v>1</v>
      </c>
      <c r="L112" s="9">
        <v>4</v>
      </c>
      <c r="M112" s="20">
        <v>46234</v>
      </c>
      <c r="N112" t="s">
        <v>18</v>
      </c>
      <c r="O112" t="s">
        <v>388</v>
      </c>
      <c r="P112">
        <v>1</v>
      </c>
      <c r="Q112" s="7">
        <v>0</v>
      </c>
    </row>
    <row r="113" spans="1:17" x14ac:dyDescent="0.25">
      <c r="A113" t="s">
        <v>894</v>
      </c>
      <c r="B113" t="s">
        <v>48</v>
      </c>
      <c r="C113" s="19">
        <v>46227</v>
      </c>
      <c r="D113" t="s">
        <v>384</v>
      </c>
      <c r="E113" t="s">
        <v>385</v>
      </c>
      <c r="F113" s="8">
        <v>1</v>
      </c>
      <c r="G113" t="s">
        <v>386</v>
      </c>
      <c r="H113" s="7">
        <v>1930</v>
      </c>
      <c r="I113" t="s">
        <v>448</v>
      </c>
      <c r="J113" t="s">
        <v>448</v>
      </c>
      <c r="K113" s="9">
        <v>2</v>
      </c>
      <c r="L113" s="9">
        <v>965</v>
      </c>
      <c r="M113" s="20">
        <v>46228</v>
      </c>
      <c r="N113" t="s">
        <v>18</v>
      </c>
      <c r="O113" t="s">
        <v>18</v>
      </c>
      <c r="P113">
        <v>1</v>
      </c>
      <c r="Q113" s="7">
        <v>2</v>
      </c>
    </row>
    <row r="114" spans="1:17" x14ac:dyDescent="0.25">
      <c r="A114" t="s">
        <v>471</v>
      </c>
      <c r="B114" t="s">
        <v>472</v>
      </c>
      <c r="C114" s="19">
        <v>46228</v>
      </c>
      <c r="D114" t="s">
        <v>384</v>
      </c>
      <c r="E114" t="s">
        <v>385</v>
      </c>
      <c r="F114" s="8">
        <v>1</v>
      </c>
      <c r="G114" t="s">
        <v>453</v>
      </c>
      <c r="H114" s="7">
        <v>6730.5</v>
      </c>
      <c r="I114" t="s">
        <v>473</v>
      </c>
      <c r="J114" t="s">
        <v>474</v>
      </c>
      <c r="K114" s="9">
        <v>35</v>
      </c>
      <c r="L114" s="9">
        <v>192.3</v>
      </c>
      <c r="M114" s="20">
        <v>46265</v>
      </c>
      <c r="N114" t="s">
        <v>18</v>
      </c>
      <c r="O114" t="s">
        <v>38</v>
      </c>
      <c r="P114">
        <v>1</v>
      </c>
      <c r="Q114" s="7">
        <v>0</v>
      </c>
    </row>
    <row r="115" spans="1:17" x14ac:dyDescent="0.25">
      <c r="A115" t="s">
        <v>833</v>
      </c>
      <c r="B115" t="s">
        <v>48</v>
      </c>
      <c r="C115" s="19">
        <v>46228</v>
      </c>
      <c r="D115" t="s">
        <v>384</v>
      </c>
      <c r="E115" t="s">
        <v>385</v>
      </c>
      <c r="F115" s="8">
        <v>1</v>
      </c>
      <c r="G115" t="s">
        <v>386</v>
      </c>
      <c r="H115" s="7">
        <v>67045</v>
      </c>
      <c r="I115" t="s">
        <v>834</v>
      </c>
      <c r="J115" t="s">
        <v>834</v>
      </c>
      <c r="K115" s="9">
        <v>506</v>
      </c>
      <c r="L115" s="9">
        <v>132.5</v>
      </c>
      <c r="M115" s="20">
        <v>46230</v>
      </c>
      <c r="N115" t="s">
        <v>18</v>
      </c>
      <c r="O115" t="s">
        <v>18</v>
      </c>
      <c r="P115">
        <v>1</v>
      </c>
      <c r="Q115" s="7">
        <v>368</v>
      </c>
    </row>
    <row r="116" spans="1:17" x14ac:dyDescent="0.25">
      <c r="A116" t="s">
        <v>434</v>
      </c>
      <c r="B116" t="s">
        <v>435</v>
      </c>
      <c r="C116" s="19">
        <v>46232</v>
      </c>
      <c r="D116" t="s">
        <v>384</v>
      </c>
      <c r="E116" t="s">
        <v>385</v>
      </c>
      <c r="F116" s="8">
        <v>1</v>
      </c>
      <c r="G116" t="s">
        <v>386</v>
      </c>
      <c r="H116" s="7">
        <v>6400</v>
      </c>
      <c r="I116" t="s">
        <v>436</v>
      </c>
      <c r="J116" t="s">
        <v>437</v>
      </c>
      <c r="K116" s="9">
        <v>1</v>
      </c>
      <c r="L116" s="9">
        <v>6400</v>
      </c>
      <c r="M116" s="20">
        <v>46265</v>
      </c>
      <c r="N116" t="s">
        <v>18</v>
      </c>
      <c r="O116" t="s">
        <v>18</v>
      </c>
      <c r="P116">
        <v>1</v>
      </c>
      <c r="Q116" s="7">
        <v>0</v>
      </c>
    </row>
    <row r="117" spans="1:17" x14ac:dyDescent="0.25">
      <c r="A117" t="s">
        <v>445</v>
      </c>
      <c r="B117" t="s">
        <v>446</v>
      </c>
      <c r="C117" s="19">
        <v>46235</v>
      </c>
      <c r="D117" t="s">
        <v>384</v>
      </c>
      <c r="E117" t="s">
        <v>385</v>
      </c>
      <c r="F117" s="8">
        <v>1</v>
      </c>
      <c r="G117" t="s">
        <v>386</v>
      </c>
      <c r="H117" s="7">
        <v>4</v>
      </c>
      <c r="I117" t="s">
        <v>417</v>
      </c>
      <c r="J117" t="s">
        <v>418</v>
      </c>
      <c r="K117" s="9">
        <v>1</v>
      </c>
      <c r="L117" s="9">
        <v>4</v>
      </c>
      <c r="M117" s="20">
        <v>46265</v>
      </c>
      <c r="N117" t="s">
        <v>18</v>
      </c>
      <c r="O117" t="s">
        <v>388</v>
      </c>
      <c r="P117">
        <v>1</v>
      </c>
      <c r="Q117" s="7">
        <v>0</v>
      </c>
    </row>
    <row r="118" spans="1:17" x14ac:dyDescent="0.25">
      <c r="A118" t="s">
        <v>816</v>
      </c>
      <c r="B118" t="s">
        <v>553</v>
      </c>
      <c r="C118" s="19">
        <v>46235</v>
      </c>
      <c r="D118" t="s">
        <v>384</v>
      </c>
      <c r="E118" t="s">
        <v>385</v>
      </c>
      <c r="F118" s="8">
        <v>1</v>
      </c>
      <c r="G118" t="s">
        <v>386</v>
      </c>
      <c r="H118" s="7">
        <v>90</v>
      </c>
      <c r="I118" t="s">
        <v>817</v>
      </c>
      <c r="J118" t="s">
        <v>818</v>
      </c>
      <c r="K118" s="9">
        <v>6</v>
      </c>
      <c r="L118" s="9">
        <v>15</v>
      </c>
      <c r="M118" s="20">
        <v>46265</v>
      </c>
      <c r="N118" t="s">
        <v>18</v>
      </c>
      <c r="O118" t="s">
        <v>38</v>
      </c>
      <c r="P118">
        <v>1</v>
      </c>
      <c r="Q118" s="7">
        <v>6</v>
      </c>
    </row>
    <row r="119" spans="1:17" x14ac:dyDescent="0.25">
      <c r="A119" t="s">
        <v>734</v>
      </c>
      <c r="B119" t="s">
        <v>48</v>
      </c>
      <c r="C119" s="19">
        <v>46236</v>
      </c>
      <c r="D119" t="s">
        <v>384</v>
      </c>
      <c r="E119" t="s">
        <v>385</v>
      </c>
      <c r="F119" s="8">
        <v>1</v>
      </c>
      <c r="G119" t="s">
        <v>386</v>
      </c>
      <c r="H119" s="7">
        <v>4825</v>
      </c>
      <c r="I119" t="s">
        <v>448</v>
      </c>
      <c r="J119" t="s">
        <v>448</v>
      </c>
      <c r="K119" s="9">
        <v>5</v>
      </c>
      <c r="L119" s="9">
        <v>965</v>
      </c>
      <c r="M119" s="20">
        <v>46238</v>
      </c>
      <c r="N119" t="s">
        <v>18</v>
      </c>
      <c r="O119" t="s">
        <v>18</v>
      </c>
      <c r="P119">
        <v>1</v>
      </c>
      <c r="Q119" s="7">
        <v>2</v>
      </c>
    </row>
    <row r="120" spans="1:17" x14ac:dyDescent="0.25">
      <c r="A120" t="s">
        <v>39</v>
      </c>
      <c r="B120" t="s">
        <v>40</v>
      </c>
      <c r="C120" s="19">
        <v>46237</v>
      </c>
      <c r="D120" t="s">
        <v>384</v>
      </c>
      <c r="E120" t="s">
        <v>385</v>
      </c>
      <c r="F120" s="8">
        <v>1</v>
      </c>
      <c r="G120" t="s">
        <v>393</v>
      </c>
      <c r="H120" s="7">
        <v>60720</v>
      </c>
      <c r="I120" t="s">
        <v>41</v>
      </c>
      <c r="J120" t="s">
        <v>41</v>
      </c>
      <c r="K120" s="9">
        <v>24</v>
      </c>
      <c r="L120" s="9">
        <v>2530</v>
      </c>
      <c r="M120" s="20">
        <v>46238</v>
      </c>
      <c r="N120" t="s">
        <v>398</v>
      </c>
      <c r="O120" t="s">
        <v>441</v>
      </c>
      <c r="P120">
        <v>220</v>
      </c>
      <c r="Q120" s="7">
        <v>0</v>
      </c>
    </row>
    <row r="121" spans="1:17" x14ac:dyDescent="0.25">
      <c r="A121" t="s">
        <v>442</v>
      </c>
      <c r="B121" t="s">
        <v>443</v>
      </c>
      <c r="C121" s="19">
        <v>46238</v>
      </c>
      <c r="D121" t="s">
        <v>384</v>
      </c>
      <c r="E121" t="s">
        <v>385</v>
      </c>
      <c r="F121" s="8">
        <v>1</v>
      </c>
      <c r="G121" t="s">
        <v>386</v>
      </c>
      <c r="H121" s="7">
        <v>13</v>
      </c>
      <c r="I121" t="s">
        <v>410</v>
      </c>
      <c r="J121" t="s">
        <v>410</v>
      </c>
      <c r="K121" s="9">
        <v>1</v>
      </c>
      <c r="L121" s="9">
        <v>13</v>
      </c>
      <c r="M121" s="20">
        <v>46265</v>
      </c>
      <c r="N121" t="s">
        <v>18</v>
      </c>
      <c r="O121" t="s">
        <v>388</v>
      </c>
      <c r="P121">
        <v>1</v>
      </c>
      <c r="Q121" s="7">
        <v>0</v>
      </c>
    </row>
    <row r="122" spans="1:17" x14ac:dyDescent="0.25">
      <c r="A122" t="s">
        <v>533</v>
      </c>
      <c r="B122" t="s">
        <v>534</v>
      </c>
      <c r="C122" s="19">
        <v>46238</v>
      </c>
      <c r="D122" t="s">
        <v>384</v>
      </c>
      <c r="E122" t="s">
        <v>385</v>
      </c>
      <c r="F122" s="8">
        <v>1</v>
      </c>
      <c r="G122" t="s">
        <v>386</v>
      </c>
      <c r="H122" s="7">
        <v>7</v>
      </c>
      <c r="I122" t="s">
        <v>410</v>
      </c>
      <c r="J122" t="s">
        <v>410</v>
      </c>
      <c r="K122" s="9">
        <v>1</v>
      </c>
      <c r="L122" s="9">
        <v>7</v>
      </c>
      <c r="M122" s="20">
        <v>46265</v>
      </c>
      <c r="N122" t="s">
        <v>18</v>
      </c>
      <c r="O122" t="s">
        <v>388</v>
      </c>
      <c r="P122">
        <v>1</v>
      </c>
      <c r="Q122" s="7">
        <v>0</v>
      </c>
    </row>
    <row r="123" spans="1:17" x14ac:dyDescent="0.25">
      <c r="A123" t="s">
        <v>535</v>
      </c>
      <c r="B123" t="s">
        <v>308</v>
      </c>
      <c r="C123" s="19">
        <v>46239</v>
      </c>
      <c r="D123" t="s">
        <v>384</v>
      </c>
      <c r="E123" t="s">
        <v>385</v>
      </c>
      <c r="F123" s="8">
        <v>1</v>
      </c>
      <c r="G123" t="s">
        <v>386</v>
      </c>
      <c r="H123" s="7">
        <v>405</v>
      </c>
      <c r="I123" t="s">
        <v>536</v>
      </c>
      <c r="J123" t="s">
        <v>537</v>
      </c>
      <c r="K123" s="9">
        <v>3</v>
      </c>
      <c r="L123" s="9">
        <v>135</v>
      </c>
      <c r="M123" s="20">
        <v>46240</v>
      </c>
      <c r="N123" t="s">
        <v>18</v>
      </c>
      <c r="O123" t="s">
        <v>18</v>
      </c>
      <c r="P123">
        <v>1</v>
      </c>
      <c r="Q123" s="7">
        <v>0</v>
      </c>
    </row>
    <row r="124" spans="1:17" x14ac:dyDescent="0.25">
      <c r="A124" t="s">
        <v>447</v>
      </c>
      <c r="B124" t="s">
        <v>48</v>
      </c>
      <c r="C124" s="19">
        <v>46241</v>
      </c>
      <c r="D124" t="s">
        <v>384</v>
      </c>
      <c r="E124" t="s">
        <v>385</v>
      </c>
      <c r="F124" s="8">
        <v>1</v>
      </c>
      <c r="G124" t="s">
        <v>386</v>
      </c>
      <c r="H124" s="7">
        <v>4825</v>
      </c>
      <c r="I124" t="s">
        <v>448</v>
      </c>
      <c r="J124" t="s">
        <v>448</v>
      </c>
      <c r="K124" s="9">
        <v>5</v>
      </c>
      <c r="L124" s="9">
        <v>965</v>
      </c>
      <c r="M124" s="20">
        <v>46242</v>
      </c>
      <c r="N124" t="s">
        <v>18</v>
      </c>
      <c r="O124" t="s">
        <v>18</v>
      </c>
      <c r="P124">
        <v>1</v>
      </c>
      <c r="Q124" s="7">
        <v>0</v>
      </c>
    </row>
    <row r="125" spans="1:17" x14ac:dyDescent="0.25">
      <c r="A125" t="s">
        <v>449</v>
      </c>
      <c r="B125" t="s">
        <v>308</v>
      </c>
      <c r="C125" s="19">
        <v>46244</v>
      </c>
      <c r="D125" t="s">
        <v>384</v>
      </c>
      <c r="E125" t="s">
        <v>385</v>
      </c>
      <c r="F125" s="8">
        <v>1</v>
      </c>
      <c r="G125" t="s">
        <v>386</v>
      </c>
      <c r="H125" s="7">
        <v>11200</v>
      </c>
      <c r="I125" t="s">
        <v>327</v>
      </c>
      <c r="J125" t="s">
        <v>327</v>
      </c>
      <c r="K125" s="9">
        <v>200</v>
      </c>
      <c r="L125" s="9">
        <v>56</v>
      </c>
      <c r="M125" s="20">
        <v>46245</v>
      </c>
      <c r="N125" t="s">
        <v>394</v>
      </c>
      <c r="O125" t="s">
        <v>18</v>
      </c>
      <c r="P125">
        <v>1</v>
      </c>
      <c r="Q125" s="7">
        <v>0</v>
      </c>
    </row>
    <row r="126" spans="1:17" x14ac:dyDescent="0.25">
      <c r="A126" t="s">
        <v>450</v>
      </c>
      <c r="B126" t="s">
        <v>308</v>
      </c>
      <c r="C126" s="19">
        <v>46244</v>
      </c>
      <c r="D126" t="s">
        <v>384</v>
      </c>
      <c r="E126" t="s">
        <v>385</v>
      </c>
      <c r="F126" s="8">
        <v>1</v>
      </c>
      <c r="G126" t="s">
        <v>386</v>
      </c>
      <c r="H126" s="7">
        <v>96000</v>
      </c>
      <c r="I126" t="s">
        <v>331</v>
      </c>
      <c r="J126" t="s">
        <v>331</v>
      </c>
      <c r="K126" s="9">
        <v>2000</v>
      </c>
      <c r="L126" s="9">
        <v>48</v>
      </c>
      <c r="M126" s="20">
        <v>46249</v>
      </c>
      <c r="N126" t="s">
        <v>394</v>
      </c>
      <c r="O126" t="s">
        <v>18</v>
      </c>
      <c r="P126">
        <v>1</v>
      </c>
      <c r="Q126" s="7">
        <v>0</v>
      </c>
    </row>
    <row r="127" spans="1:17" x14ac:dyDescent="0.25">
      <c r="A127" t="s">
        <v>876</v>
      </c>
      <c r="B127" t="s">
        <v>218</v>
      </c>
      <c r="C127" s="19">
        <v>46244</v>
      </c>
      <c r="D127" t="s">
        <v>384</v>
      </c>
      <c r="E127" t="s">
        <v>385</v>
      </c>
      <c r="F127" s="8">
        <v>1</v>
      </c>
      <c r="G127" t="s">
        <v>386</v>
      </c>
      <c r="H127" s="7">
        <v>37674</v>
      </c>
      <c r="I127" t="s">
        <v>521</v>
      </c>
      <c r="J127" t="s">
        <v>222</v>
      </c>
      <c r="K127" s="9">
        <v>299</v>
      </c>
      <c r="L127" s="9">
        <v>126</v>
      </c>
      <c r="M127" s="20">
        <v>46245</v>
      </c>
      <c r="N127" t="s">
        <v>18</v>
      </c>
      <c r="O127" t="s">
        <v>18</v>
      </c>
      <c r="P127">
        <v>1</v>
      </c>
      <c r="Q127" s="7">
        <v>276</v>
      </c>
    </row>
    <row r="128" spans="1:17" x14ac:dyDescent="0.25">
      <c r="A128" t="s">
        <v>451</v>
      </c>
      <c r="B128" t="s">
        <v>452</v>
      </c>
      <c r="C128" s="19">
        <v>46245</v>
      </c>
      <c r="D128" t="s">
        <v>384</v>
      </c>
      <c r="E128" t="s">
        <v>385</v>
      </c>
      <c r="F128" s="8">
        <v>1</v>
      </c>
      <c r="G128" t="s">
        <v>453</v>
      </c>
      <c r="H128" s="7">
        <v>3000</v>
      </c>
      <c r="I128" t="s">
        <v>454</v>
      </c>
      <c r="J128" t="s">
        <v>454</v>
      </c>
      <c r="K128" s="9">
        <v>1</v>
      </c>
      <c r="L128" s="9">
        <v>3000</v>
      </c>
      <c r="M128" s="20">
        <v>46265</v>
      </c>
      <c r="N128" t="s">
        <v>18</v>
      </c>
      <c r="O128" t="s">
        <v>18</v>
      </c>
      <c r="P128">
        <v>1</v>
      </c>
      <c r="Q128" s="7">
        <v>0</v>
      </c>
    </row>
    <row r="129" spans="1:17" x14ac:dyDescent="0.25">
      <c r="A129" t="s">
        <v>538</v>
      </c>
      <c r="B129" t="s">
        <v>181</v>
      </c>
      <c r="C129" s="19">
        <v>46245</v>
      </c>
      <c r="D129" t="s">
        <v>384</v>
      </c>
      <c r="E129" t="s">
        <v>385</v>
      </c>
      <c r="F129" s="8">
        <v>1</v>
      </c>
      <c r="G129" t="s">
        <v>393</v>
      </c>
      <c r="H129" s="7">
        <v>400</v>
      </c>
      <c r="I129" t="s">
        <v>539</v>
      </c>
      <c r="J129" t="s">
        <v>539</v>
      </c>
      <c r="K129" s="9">
        <v>200</v>
      </c>
      <c r="L129" s="9">
        <v>2</v>
      </c>
      <c r="M129" s="20">
        <v>46246</v>
      </c>
      <c r="N129" t="s">
        <v>143</v>
      </c>
      <c r="O129" t="s">
        <v>18</v>
      </c>
      <c r="P129">
        <v>1</v>
      </c>
      <c r="Q129" s="7">
        <v>0</v>
      </c>
    </row>
    <row r="130" spans="1:17" x14ac:dyDescent="0.25">
      <c r="A130" t="s">
        <v>542</v>
      </c>
      <c r="B130" t="s">
        <v>339</v>
      </c>
      <c r="C130" s="19">
        <v>46246</v>
      </c>
      <c r="D130" t="s">
        <v>384</v>
      </c>
      <c r="E130" t="s">
        <v>385</v>
      </c>
      <c r="F130" s="8">
        <v>1</v>
      </c>
      <c r="G130" t="s">
        <v>386</v>
      </c>
      <c r="H130" s="7">
        <v>56695</v>
      </c>
      <c r="I130" t="s">
        <v>543</v>
      </c>
      <c r="J130" t="s">
        <v>543</v>
      </c>
      <c r="K130" s="9">
        <v>391</v>
      </c>
      <c r="L130" s="9">
        <v>145</v>
      </c>
      <c r="M130" s="20">
        <v>46247</v>
      </c>
      <c r="N130" t="s">
        <v>18</v>
      </c>
      <c r="O130" t="s">
        <v>18</v>
      </c>
      <c r="P130">
        <v>1</v>
      </c>
      <c r="Q130" s="7">
        <v>0</v>
      </c>
    </row>
    <row r="131" spans="1:17" x14ac:dyDescent="0.25">
      <c r="A131" t="s">
        <v>845</v>
      </c>
      <c r="B131" t="s">
        <v>218</v>
      </c>
      <c r="C131" s="19">
        <v>46246</v>
      </c>
      <c r="D131" t="s">
        <v>384</v>
      </c>
      <c r="E131" t="s">
        <v>385</v>
      </c>
      <c r="F131" s="8">
        <v>1</v>
      </c>
      <c r="G131" t="s">
        <v>386</v>
      </c>
      <c r="H131" s="7">
        <v>11776</v>
      </c>
      <c r="I131" t="s">
        <v>521</v>
      </c>
      <c r="J131" t="s">
        <v>222</v>
      </c>
      <c r="K131" s="9">
        <v>92</v>
      </c>
      <c r="L131" s="9">
        <v>128</v>
      </c>
      <c r="M131" s="20">
        <v>46247</v>
      </c>
      <c r="N131" t="s">
        <v>18</v>
      </c>
      <c r="O131" t="s">
        <v>18</v>
      </c>
      <c r="P131">
        <v>1</v>
      </c>
      <c r="Q131" s="7">
        <v>0</v>
      </c>
    </row>
    <row r="132" spans="1:17" x14ac:dyDescent="0.25">
      <c r="A132" t="s">
        <v>858</v>
      </c>
      <c r="B132" t="s">
        <v>339</v>
      </c>
      <c r="C132" s="19">
        <v>46248</v>
      </c>
      <c r="D132" t="s">
        <v>384</v>
      </c>
      <c r="E132" t="s">
        <v>385</v>
      </c>
      <c r="F132" s="8">
        <v>1</v>
      </c>
      <c r="G132" t="s">
        <v>386</v>
      </c>
      <c r="H132" s="7">
        <v>56695</v>
      </c>
      <c r="I132" t="s">
        <v>543</v>
      </c>
      <c r="J132" t="s">
        <v>543</v>
      </c>
      <c r="K132" s="9">
        <v>391</v>
      </c>
      <c r="L132" s="9">
        <v>145</v>
      </c>
      <c r="M132" s="20">
        <v>46295</v>
      </c>
      <c r="N132" t="s">
        <v>18</v>
      </c>
      <c r="O132" t="s">
        <v>18</v>
      </c>
      <c r="P132">
        <v>1</v>
      </c>
      <c r="Q132" s="7">
        <v>391</v>
      </c>
    </row>
    <row r="133" spans="1:17" x14ac:dyDescent="0.25">
      <c r="A133" t="s">
        <v>455</v>
      </c>
      <c r="B133" t="s">
        <v>456</v>
      </c>
      <c r="C133" s="19">
        <v>46252</v>
      </c>
      <c r="D133" t="s">
        <v>384</v>
      </c>
      <c r="E133" t="s">
        <v>385</v>
      </c>
      <c r="F133" s="8">
        <v>1</v>
      </c>
      <c r="G133" t="s">
        <v>386</v>
      </c>
      <c r="H133" s="7">
        <v>1.5</v>
      </c>
      <c r="I133" t="s">
        <v>410</v>
      </c>
      <c r="J133" t="s">
        <v>410</v>
      </c>
      <c r="K133" s="9">
        <v>1</v>
      </c>
      <c r="L133" s="9">
        <v>1.5</v>
      </c>
      <c r="M133" s="20">
        <v>46265</v>
      </c>
      <c r="N133" t="s">
        <v>18</v>
      </c>
      <c r="O133" t="s">
        <v>388</v>
      </c>
      <c r="P133">
        <v>1</v>
      </c>
      <c r="Q133" s="7">
        <v>0</v>
      </c>
    </row>
    <row r="134" spans="1:17" x14ac:dyDescent="0.25">
      <c r="A134" t="s">
        <v>457</v>
      </c>
      <c r="B134" t="s">
        <v>458</v>
      </c>
      <c r="C134" s="19">
        <v>46252</v>
      </c>
      <c r="D134" t="s">
        <v>384</v>
      </c>
      <c r="E134" t="s">
        <v>385</v>
      </c>
      <c r="F134" s="8">
        <v>1</v>
      </c>
      <c r="G134" t="s">
        <v>393</v>
      </c>
      <c r="H134" s="7">
        <v>1.4</v>
      </c>
      <c r="I134" t="s">
        <v>410</v>
      </c>
      <c r="J134" t="s">
        <v>410</v>
      </c>
      <c r="K134" s="9">
        <v>1</v>
      </c>
      <c r="L134" s="9">
        <v>1.4</v>
      </c>
      <c r="M134" s="20">
        <v>46265</v>
      </c>
      <c r="N134" t="s">
        <v>18</v>
      </c>
      <c r="O134" t="s">
        <v>388</v>
      </c>
      <c r="P134">
        <v>1</v>
      </c>
      <c r="Q134" s="7">
        <v>0</v>
      </c>
    </row>
    <row r="135" spans="1:17" x14ac:dyDescent="0.25">
      <c r="A135" t="s">
        <v>459</v>
      </c>
      <c r="B135" t="s">
        <v>240</v>
      </c>
      <c r="C135" s="19">
        <v>46253</v>
      </c>
      <c r="D135" t="s">
        <v>384</v>
      </c>
      <c r="E135" t="s">
        <v>385</v>
      </c>
      <c r="F135" s="8">
        <v>1</v>
      </c>
      <c r="G135" t="s">
        <v>386</v>
      </c>
      <c r="H135" s="7">
        <v>5500</v>
      </c>
      <c r="I135" t="s">
        <v>265</v>
      </c>
      <c r="J135" t="s">
        <v>265</v>
      </c>
      <c r="K135" s="9">
        <v>50</v>
      </c>
      <c r="L135" s="9">
        <v>110</v>
      </c>
      <c r="M135" s="20">
        <v>46254</v>
      </c>
      <c r="N135" t="s">
        <v>394</v>
      </c>
      <c r="O135" t="s">
        <v>18</v>
      </c>
      <c r="P135">
        <v>1</v>
      </c>
      <c r="Q135" s="7">
        <v>0</v>
      </c>
    </row>
    <row r="136" spans="1:17" x14ac:dyDescent="0.25">
      <c r="A136" t="s">
        <v>460</v>
      </c>
      <c r="B136" t="s">
        <v>231</v>
      </c>
      <c r="C136" s="19">
        <v>46254</v>
      </c>
      <c r="D136" t="s">
        <v>384</v>
      </c>
      <c r="E136" t="s">
        <v>385</v>
      </c>
      <c r="F136" s="8">
        <v>1</v>
      </c>
      <c r="G136" t="s">
        <v>386</v>
      </c>
      <c r="H136" s="7">
        <v>950</v>
      </c>
      <c r="I136" t="s">
        <v>461</v>
      </c>
      <c r="J136" t="s">
        <v>461</v>
      </c>
      <c r="K136" s="9">
        <v>5</v>
      </c>
      <c r="L136" s="9">
        <v>190</v>
      </c>
      <c r="M136" s="20">
        <v>46255</v>
      </c>
      <c r="N136" t="s">
        <v>18</v>
      </c>
      <c r="O136" t="s">
        <v>18</v>
      </c>
      <c r="P136">
        <v>1</v>
      </c>
      <c r="Q136" s="7">
        <v>0</v>
      </c>
    </row>
    <row r="137" spans="1:17" x14ac:dyDescent="0.25">
      <c r="A137" t="s">
        <v>466</v>
      </c>
      <c r="B137" t="s">
        <v>308</v>
      </c>
      <c r="C137" s="19">
        <v>46255</v>
      </c>
      <c r="D137" t="s">
        <v>384</v>
      </c>
      <c r="E137" t="s">
        <v>385</v>
      </c>
      <c r="F137" s="8">
        <v>1</v>
      </c>
      <c r="G137" t="s">
        <v>386</v>
      </c>
      <c r="H137" s="7">
        <v>2800</v>
      </c>
      <c r="I137" t="s">
        <v>335</v>
      </c>
      <c r="J137" t="s">
        <v>335</v>
      </c>
      <c r="K137" s="9">
        <v>200</v>
      </c>
      <c r="L137" s="9">
        <v>14</v>
      </c>
      <c r="M137" s="20">
        <v>46256</v>
      </c>
      <c r="N137" t="s">
        <v>467</v>
      </c>
      <c r="O137" t="s">
        <v>18</v>
      </c>
      <c r="P137">
        <v>1</v>
      </c>
      <c r="Q137" s="7">
        <v>0</v>
      </c>
    </row>
    <row r="138" spans="1:17" x14ac:dyDescent="0.25">
      <c r="A138" t="s">
        <v>793</v>
      </c>
      <c r="B138" t="s">
        <v>339</v>
      </c>
      <c r="C138" s="19">
        <v>46256</v>
      </c>
      <c r="D138" t="s">
        <v>384</v>
      </c>
      <c r="E138" t="s">
        <v>385</v>
      </c>
      <c r="F138" s="8">
        <v>1</v>
      </c>
      <c r="G138" t="s">
        <v>386</v>
      </c>
      <c r="H138" s="7">
        <v>33350</v>
      </c>
      <c r="I138" t="s">
        <v>543</v>
      </c>
      <c r="J138" t="s">
        <v>543</v>
      </c>
      <c r="K138" s="9">
        <v>230</v>
      </c>
      <c r="L138" s="9">
        <v>145</v>
      </c>
      <c r="M138" s="20">
        <v>46257</v>
      </c>
      <c r="N138" t="s">
        <v>18</v>
      </c>
      <c r="O138" t="s">
        <v>18</v>
      </c>
      <c r="P138">
        <v>1</v>
      </c>
      <c r="Q138" s="7">
        <v>9</v>
      </c>
    </row>
    <row r="139" spans="1:17" x14ac:dyDescent="0.25">
      <c r="A139" t="s">
        <v>824</v>
      </c>
      <c r="B139" t="s">
        <v>285</v>
      </c>
      <c r="C139" s="19">
        <v>46261</v>
      </c>
      <c r="D139" t="s">
        <v>384</v>
      </c>
      <c r="E139" t="s">
        <v>385</v>
      </c>
      <c r="F139" s="8">
        <v>1</v>
      </c>
      <c r="G139" t="s">
        <v>386</v>
      </c>
      <c r="H139" s="7">
        <v>3570</v>
      </c>
      <c r="I139" t="s">
        <v>301</v>
      </c>
      <c r="J139" t="s">
        <v>301</v>
      </c>
      <c r="K139" s="9">
        <v>15</v>
      </c>
      <c r="L139" s="9">
        <v>238</v>
      </c>
      <c r="M139" s="20">
        <v>46263</v>
      </c>
      <c r="N139" t="s">
        <v>825</v>
      </c>
      <c r="O139" t="s">
        <v>18</v>
      </c>
      <c r="P139">
        <v>1</v>
      </c>
      <c r="Q139" s="7">
        <v>10</v>
      </c>
    </row>
    <row r="140" spans="1:17" x14ac:dyDescent="0.25">
      <c r="A140" t="s">
        <v>837</v>
      </c>
      <c r="B140" t="s">
        <v>807</v>
      </c>
      <c r="C140" s="19">
        <v>46261</v>
      </c>
      <c r="D140" t="s">
        <v>384</v>
      </c>
      <c r="E140" t="s">
        <v>385</v>
      </c>
      <c r="F140" s="8">
        <v>1</v>
      </c>
      <c r="G140" t="s">
        <v>386</v>
      </c>
      <c r="H140" s="7">
        <v>1845</v>
      </c>
      <c r="I140" t="s">
        <v>809</v>
      </c>
      <c r="J140" t="s">
        <v>810</v>
      </c>
      <c r="K140" s="9">
        <v>15</v>
      </c>
      <c r="L140" s="9">
        <v>123</v>
      </c>
      <c r="M140" s="20">
        <v>46262</v>
      </c>
      <c r="N140" t="s">
        <v>18</v>
      </c>
      <c r="O140" t="s">
        <v>18</v>
      </c>
      <c r="P140">
        <v>1</v>
      </c>
      <c r="Q140" s="7">
        <v>11</v>
      </c>
    </row>
    <row r="141" spans="1:17" x14ac:dyDescent="0.25">
      <c r="A141" t="s">
        <v>925</v>
      </c>
      <c r="B141" t="s">
        <v>240</v>
      </c>
      <c r="C141" s="19">
        <v>46262</v>
      </c>
      <c r="D141" t="s">
        <v>384</v>
      </c>
      <c r="E141" t="s">
        <v>385</v>
      </c>
      <c r="F141" s="8">
        <v>1</v>
      </c>
      <c r="G141" t="s">
        <v>919</v>
      </c>
      <c r="H141" s="7">
        <v>42750</v>
      </c>
      <c r="I141" t="s">
        <v>245</v>
      </c>
      <c r="J141" t="s">
        <v>245</v>
      </c>
      <c r="K141" s="9">
        <v>15</v>
      </c>
      <c r="L141" s="9">
        <v>2850</v>
      </c>
      <c r="M141" s="20">
        <v>46265</v>
      </c>
      <c r="N141" t="s">
        <v>398</v>
      </c>
      <c r="O141" t="s">
        <v>18</v>
      </c>
      <c r="P141">
        <v>250</v>
      </c>
      <c r="Q141" s="7">
        <v>15</v>
      </c>
    </row>
    <row r="142" spans="1:17" x14ac:dyDescent="0.25">
      <c r="A142" t="s">
        <v>468</v>
      </c>
      <c r="B142" t="s">
        <v>48</v>
      </c>
      <c r="C142" s="19">
        <v>46266</v>
      </c>
      <c r="D142" t="s">
        <v>384</v>
      </c>
      <c r="E142" t="s">
        <v>385</v>
      </c>
      <c r="F142" s="8">
        <v>1</v>
      </c>
      <c r="G142" t="s">
        <v>386</v>
      </c>
      <c r="H142" s="7">
        <v>8625</v>
      </c>
      <c r="I142" t="s">
        <v>67</v>
      </c>
      <c r="J142" t="s">
        <v>67</v>
      </c>
      <c r="K142" s="9">
        <v>69</v>
      </c>
      <c r="L142" s="9">
        <v>125</v>
      </c>
      <c r="M142" s="20">
        <v>46266</v>
      </c>
      <c r="N142" t="s">
        <v>388</v>
      </c>
      <c r="O142" t="s">
        <v>18</v>
      </c>
      <c r="P142">
        <v>1</v>
      </c>
      <c r="Q142" s="7">
        <v>0</v>
      </c>
    </row>
    <row r="143" spans="1:17" x14ac:dyDescent="0.25">
      <c r="A143" t="s">
        <v>469</v>
      </c>
      <c r="B143" t="s">
        <v>470</v>
      </c>
      <c r="C143" s="19">
        <v>46266</v>
      </c>
      <c r="D143" t="s">
        <v>384</v>
      </c>
      <c r="E143" t="s">
        <v>385</v>
      </c>
      <c r="F143" s="8">
        <v>1</v>
      </c>
      <c r="G143" t="s">
        <v>386</v>
      </c>
      <c r="H143" s="7">
        <v>3375</v>
      </c>
      <c r="I143" t="s">
        <v>410</v>
      </c>
      <c r="J143" t="s">
        <v>410</v>
      </c>
      <c r="K143" s="9">
        <v>4.5</v>
      </c>
      <c r="L143" s="9">
        <v>750</v>
      </c>
      <c r="M143" s="20">
        <v>46295</v>
      </c>
      <c r="N143" t="s">
        <v>18</v>
      </c>
      <c r="O143" t="s">
        <v>18</v>
      </c>
      <c r="P143">
        <v>1</v>
      </c>
      <c r="Q143" s="7">
        <v>0</v>
      </c>
    </row>
    <row r="144" spans="1:17" x14ac:dyDescent="0.25">
      <c r="A144" t="s">
        <v>806</v>
      </c>
      <c r="B144" t="s">
        <v>807</v>
      </c>
      <c r="C144" s="19">
        <v>46267</v>
      </c>
      <c r="D144" t="s">
        <v>384</v>
      </c>
      <c r="E144" t="s">
        <v>385</v>
      </c>
      <c r="F144" s="8">
        <v>1</v>
      </c>
      <c r="G144" t="s">
        <v>386</v>
      </c>
      <c r="H144" s="7">
        <v>4800</v>
      </c>
      <c r="I144" t="s">
        <v>808</v>
      </c>
      <c r="J144" t="s">
        <v>808</v>
      </c>
      <c r="K144" s="9">
        <v>15</v>
      </c>
      <c r="L144" s="9">
        <v>320</v>
      </c>
      <c r="M144" s="20">
        <v>46268</v>
      </c>
      <c r="N144" t="s">
        <v>18</v>
      </c>
      <c r="O144" t="s">
        <v>18</v>
      </c>
      <c r="P144">
        <v>1</v>
      </c>
      <c r="Q144" s="7">
        <v>15</v>
      </c>
    </row>
    <row r="145" spans="1:17" x14ac:dyDescent="0.25">
      <c r="A145" t="s">
        <v>800</v>
      </c>
      <c r="B145" t="s">
        <v>240</v>
      </c>
      <c r="C145" s="19">
        <v>46272</v>
      </c>
      <c r="D145" t="s">
        <v>384</v>
      </c>
      <c r="E145" t="s">
        <v>385</v>
      </c>
      <c r="F145" s="8">
        <v>1</v>
      </c>
      <c r="G145" t="s">
        <v>386</v>
      </c>
      <c r="H145" s="7">
        <v>23500</v>
      </c>
      <c r="I145" t="s">
        <v>242</v>
      </c>
      <c r="J145" t="s">
        <v>242</v>
      </c>
      <c r="K145" s="9">
        <v>500</v>
      </c>
      <c r="L145" s="9">
        <v>47</v>
      </c>
      <c r="M145" s="20">
        <v>46273</v>
      </c>
      <c r="N145" t="s">
        <v>394</v>
      </c>
      <c r="O145" t="s">
        <v>18</v>
      </c>
      <c r="P145">
        <v>1</v>
      </c>
      <c r="Q145" s="7">
        <v>300</v>
      </c>
    </row>
    <row r="146" spans="1:17" x14ac:dyDescent="0.25">
      <c r="A146" t="s">
        <v>738</v>
      </c>
      <c r="B146" t="s">
        <v>682</v>
      </c>
      <c r="C146" s="19">
        <v>46274</v>
      </c>
      <c r="D146" t="s">
        <v>384</v>
      </c>
      <c r="E146" t="s">
        <v>385</v>
      </c>
      <c r="F146" s="8">
        <v>1</v>
      </c>
      <c r="G146" t="s">
        <v>386</v>
      </c>
      <c r="H146" s="7">
        <v>712500</v>
      </c>
      <c r="I146" t="s">
        <v>739</v>
      </c>
      <c r="J146" t="s">
        <v>739</v>
      </c>
      <c r="K146" s="9">
        <v>5000</v>
      </c>
      <c r="L146" s="9">
        <v>142.5</v>
      </c>
      <c r="M146" s="20">
        <v>46278</v>
      </c>
      <c r="N146" t="s">
        <v>18</v>
      </c>
      <c r="O146" t="s">
        <v>18</v>
      </c>
      <c r="P146">
        <v>1</v>
      </c>
      <c r="Q146" s="7">
        <v>391</v>
      </c>
    </row>
    <row r="147" spans="1:17" x14ac:dyDescent="0.25">
      <c r="A147" t="s">
        <v>779</v>
      </c>
      <c r="B147" t="s">
        <v>48</v>
      </c>
      <c r="C147" s="19">
        <v>46274</v>
      </c>
      <c r="D147" t="s">
        <v>384</v>
      </c>
      <c r="E147" t="s">
        <v>385</v>
      </c>
      <c r="F147" s="8">
        <v>1</v>
      </c>
      <c r="G147" t="s">
        <v>386</v>
      </c>
      <c r="H147" s="7">
        <v>127992</v>
      </c>
      <c r="I147" t="s">
        <v>735</v>
      </c>
      <c r="J147" t="s">
        <v>736</v>
      </c>
      <c r="K147" s="9">
        <v>5333</v>
      </c>
      <c r="L147" s="9">
        <v>24</v>
      </c>
      <c r="M147" s="20">
        <v>46275</v>
      </c>
      <c r="N147" t="s">
        <v>18</v>
      </c>
      <c r="O147" t="s">
        <v>18</v>
      </c>
      <c r="P147">
        <v>1</v>
      </c>
      <c r="Q147" s="7">
        <v>0</v>
      </c>
    </row>
    <row r="148" spans="1:17" x14ac:dyDescent="0.25">
      <c r="A148" t="s">
        <v>815</v>
      </c>
      <c r="B148" t="s">
        <v>118</v>
      </c>
      <c r="C148" s="19">
        <v>46274</v>
      </c>
      <c r="D148" t="s">
        <v>384</v>
      </c>
      <c r="E148" t="s">
        <v>385</v>
      </c>
      <c r="F148" s="8">
        <v>1</v>
      </c>
      <c r="G148" t="s">
        <v>386</v>
      </c>
      <c r="H148" s="7">
        <v>19175</v>
      </c>
      <c r="I148" t="s">
        <v>523</v>
      </c>
      <c r="J148" t="s">
        <v>523</v>
      </c>
      <c r="K148" s="9">
        <v>65</v>
      </c>
      <c r="L148" s="9">
        <v>295</v>
      </c>
      <c r="M148" s="20">
        <v>46280</v>
      </c>
      <c r="N148" t="s">
        <v>18</v>
      </c>
      <c r="O148" t="s">
        <v>18</v>
      </c>
      <c r="P148">
        <v>1</v>
      </c>
      <c r="Q148" s="7">
        <v>65</v>
      </c>
    </row>
    <row r="149" spans="1:17" x14ac:dyDescent="0.25">
      <c r="A149" t="s">
        <v>786</v>
      </c>
      <c r="B149" t="s">
        <v>74</v>
      </c>
      <c r="C149" s="19">
        <v>46275</v>
      </c>
      <c r="D149" t="s">
        <v>384</v>
      </c>
      <c r="E149" t="s">
        <v>385</v>
      </c>
      <c r="F149" s="8">
        <v>1</v>
      </c>
      <c r="G149" t="s">
        <v>386</v>
      </c>
      <c r="H149" s="7">
        <v>170016</v>
      </c>
      <c r="I149" t="s">
        <v>75</v>
      </c>
      <c r="J149" t="s">
        <v>75</v>
      </c>
      <c r="K149" s="9">
        <v>1518</v>
      </c>
      <c r="L149" s="9">
        <v>112</v>
      </c>
      <c r="M149" s="20">
        <v>46279</v>
      </c>
      <c r="N149" t="s">
        <v>209</v>
      </c>
      <c r="O149" t="s">
        <v>18</v>
      </c>
      <c r="P149">
        <v>1</v>
      </c>
      <c r="Q149" s="7">
        <v>506</v>
      </c>
    </row>
    <row r="150" spans="1:17" x14ac:dyDescent="0.25">
      <c r="A150" t="s">
        <v>926</v>
      </c>
      <c r="B150" t="s">
        <v>48</v>
      </c>
      <c r="C150" s="19">
        <v>46275</v>
      </c>
      <c r="D150" t="s">
        <v>384</v>
      </c>
      <c r="E150" t="s">
        <v>385</v>
      </c>
      <c r="F150" s="8">
        <v>1</v>
      </c>
      <c r="G150" t="s">
        <v>919</v>
      </c>
      <c r="H150" s="7">
        <v>9280</v>
      </c>
      <c r="I150" t="s">
        <v>799</v>
      </c>
      <c r="J150" t="s">
        <v>799</v>
      </c>
      <c r="K150" s="9">
        <v>20</v>
      </c>
      <c r="L150" s="9">
        <v>464</v>
      </c>
      <c r="M150" s="20">
        <v>46276</v>
      </c>
      <c r="N150" t="s">
        <v>388</v>
      </c>
      <c r="O150" t="s">
        <v>18</v>
      </c>
      <c r="P150">
        <v>1</v>
      </c>
      <c r="Q150" s="7">
        <v>2906</v>
      </c>
    </row>
    <row r="151" spans="1:17" x14ac:dyDescent="0.25">
      <c r="A151" t="s">
        <v>840</v>
      </c>
      <c r="B151" t="s">
        <v>240</v>
      </c>
      <c r="C151" s="19">
        <v>46281</v>
      </c>
      <c r="D151" t="s">
        <v>384</v>
      </c>
      <c r="E151" t="s">
        <v>385</v>
      </c>
      <c r="F151" s="8">
        <v>1</v>
      </c>
      <c r="G151" t="s">
        <v>386</v>
      </c>
      <c r="H151" s="7">
        <v>47000</v>
      </c>
      <c r="I151" t="s">
        <v>242</v>
      </c>
      <c r="J151" t="s">
        <v>242</v>
      </c>
      <c r="K151" s="9">
        <v>1000</v>
      </c>
      <c r="L151" s="9">
        <v>47</v>
      </c>
      <c r="M151" s="20">
        <v>46283</v>
      </c>
      <c r="N151" t="s">
        <v>394</v>
      </c>
      <c r="O151" t="s">
        <v>18</v>
      </c>
      <c r="P151">
        <v>1</v>
      </c>
      <c r="Q151" s="7">
        <v>675</v>
      </c>
    </row>
    <row r="152" spans="1:17" x14ac:dyDescent="0.25">
      <c r="A152" t="s">
        <v>757</v>
      </c>
      <c r="B152" t="s">
        <v>504</v>
      </c>
      <c r="C152" s="19">
        <v>46282</v>
      </c>
      <c r="D152" t="s">
        <v>384</v>
      </c>
      <c r="E152" t="s">
        <v>385</v>
      </c>
      <c r="F152" s="8">
        <v>1</v>
      </c>
      <c r="G152" t="s">
        <v>386</v>
      </c>
      <c r="H152" s="7">
        <v>216000</v>
      </c>
      <c r="I152" t="s">
        <v>735</v>
      </c>
      <c r="J152" t="s">
        <v>736</v>
      </c>
      <c r="K152" s="9">
        <v>12000</v>
      </c>
      <c r="L152" s="9">
        <v>18</v>
      </c>
      <c r="M152" s="20">
        <v>46284</v>
      </c>
      <c r="N152" t="s">
        <v>18</v>
      </c>
      <c r="O152" t="s">
        <v>18</v>
      </c>
      <c r="P152">
        <v>1</v>
      </c>
      <c r="Q152" s="7">
        <v>2412</v>
      </c>
    </row>
    <row r="153" spans="1:17" x14ac:dyDescent="0.25">
      <c r="A153" t="s">
        <v>772</v>
      </c>
      <c r="B153" t="s">
        <v>240</v>
      </c>
      <c r="C153" s="19">
        <v>46283</v>
      </c>
      <c r="D153" t="s">
        <v>384</v>
      </c>
      <c r="E153" t="s">
        <v>385</v>
      </c>
      <c r="F153" s="8">
        <v>1</v>
      </c>
      <c r="G153" t="s">
        <v>386</v>
      </c>
      <c r="H153" s="7">
        <v>59000</v>
      </c>
      <c r="I153" t="s">
        <v>245</v>
      </c>
      <c r="J153" t="s">
        <v>245</v>
      </c>
      <c r="K153" s="9">
        <v>20</v>
      </c>
      <c r="L153" s="9">
        <v>2950</v>
      </c>
      <c r="M153" s="20">
        <v>46285</v>
      </c>
      <c r="N153" t="s">
        <v>398</v>
      </c>
      <c r="O153" t="s">
        <v>18</v>
      </c>
      <c r="P153">
        <v>250</v>
      </c>
      <c r="Q153" s="7">
        <v>20</v>
      </c>
    </row>
    <row r="154" spans="1:17" x14ac:dyDescent="0.25">
      <c r="A154" t="s">
        <v>792</v>
      </c>
      <c r="B154" t="s">
        <v>240</v>
      </c>
      <c r="C154" s="19">
        <v>46283</v>
      </c>
      <c r="D154" t="s">
        <v>384</v>
      </c>
      <c r="E154" t="s">
        <v>385</v>
      </c>
      <c r="F154" s="8">
        <v>1</v>
      </c>
      <c r="G154" t="s">
        <v>386</v>
      </c>
      <c r="H154" s="7">
        <v>55154</v>
      </c>
      <c r="I154" t="s">
        <v>275</v>
      </c>
      <c r="J154" t="s">
        <v>275</v>
      </c>
      <c r="K154" s="9">
        <v>506</v>
      </c>
      <c r="L154" s="9">
        <v>109</v>
      </c>
      <c r="M154" s="20">
        <v>46285</v>
      </c>
      <c r="N154" t="s">
        <v>388</v>
      </c>
      <c r="O154" t="s">
        <v>18</v>
      </c>
      <c r="P154">
        <v>1</v>
      </c>
      <c r="Q154" s="7">
        <v>184</v>
      </c>
    </row>
    <row r="155" spans="1:17" x14ac:dyDescent="0.25">
      <c r="A155" t="s">
        <v>811</v>
      </c>
      <c r="B155" t="s">
        <v>48</v>
      </c>
      <c r="C155" s="19">
        <v>46283</v>
      </c>
      <c r="D155" t="s">
        <v>384</v>
      </c>
      <c r="E155" t="s">
        <v>385</v>
      </c>
      <c r="F155" s="8">
        <v>1</v>
      </c>
      <c r="G155" t="s">
        <v>386</v>
      </c>
      <c r="H155" s="7">
        <v>15000</v>
      </c>
      <c r="I155" t="s">
        <v>812</v>
      </c>
      <c r="J155" t="s">
        <v>70</v>
      </c>
      <c r="K155" s="9">
        <v>100</v>
      </c>
      <c r="L155" s="9">
        <v>150</v>
      </c>
      <c r="M155" s="20">
        <v>46285</v>
      </c>
      <c r="N155" t="s">
        <v>209</v>
      </c>
      <c r="O155" t="s">
        <v>18</v>
      </c>
      <c r="P155">
        <v>1</v>
      </c>
      <c r="Q155" s="7">
        <v>50</v>
      </c>
    </row>
    <row r="156" spans="1:17" x14ac:dyDescent="0.25">
      <c r="A156" t="s">
        <v>927</v>
      </c>
      <c r="B156" t="s">
        <v>240</v>
      </c>
      <c r="C156" s="19">
        <v>46283</v>
      </c>
      <c r="D156" t="s">
        <v>384</v>
      </c>
      <c r="E156" t="s">
        <v>385</v>
      </c>
      <c r="F156" s="8">
        <v>1</v>
      </c>
      <c r="G156" t="s">
        <v>919</v>
      </c>
      <c r="H156" s="7">
        <v>21500</v>
      </c>
      <c r="I156" t="s">
        <v>262</v>
      </c>
      <c r="J156" t="s">
        <v>262</v>
      </c>
      <c r="K156" s="9">
        <v>100</v>
      </c>
      <c r="L156" s="9">
        <v>215</v>
      </c>
      <c r="M156" s="20">
        <v>46285</v>
      </c>
      <c r="N156" t="s">
        <v>394</v>
      </c>
      <c r="O156" t="s">
        <v>18</v>
      </c>
      <c r="P156">
        <v>1</v>
      </c>
      <c r="Q156" s="7">
        <v>100</v>
      </c>
    </row>
    <row r="157" spans="1:17" x14ac:dyDescent="0.25">
      <c r="A157" t="s">
        <v>475</v>
      </c>
      <c r="B157" t="s">
        <v>285</v>
      </c>
      <c r="C157" s="19">
        <v>46286</v>
      </c>
      <c r="D157" t="s">
        <v>384</v>
      </c>
      <c r="E157" t="s">
        <v>385</v>
      </c>
      <c r="F157" s="8">
        <v>1</v>
      </c>
      <c r="G157" t="s">
        <v>386</v>
      </c>
      <c r="H157" s="7">
        <v>23552</v>
      </c>
      <c r="I157" t="s">
        <v>304</v>
      </c>
      <c r="J157" t="s">
        <v>304</v>
      </c>
      <c r="K157" s="9">
        <v>184</v>
      </c>
      <c r="L157" s="9">
        <v>128</v>
      </c>
      <c r="M157" s="20">
        <v>46288</v>
      </c>
      <c r="N157" t="s">
        <v>388</v>
      </c>
      <c r="O157" t="s">
        <v>18</v>
      </c>
      <c r="P157">
        <v>1</v>
      </c>
      <c r="Q157" s="7">
        <v>0</v>
      </c>
    </row>
    <row r="158" spans="1:17" x14ac:dyDescent="0.25">
      <c r="A158" t="s">
        <v>540</v>
      </c>
      <c r="B158" t="s">
        <v>48</v>
      </c>
      <c r="C158" s="19">
        <v>46286</v>
      </c>
      <c r="D158" t="s">
        <v>384</v>
      </c>
      <c r="E158" t="s">
        <v>385</v>
      </c>
      <c r="F158" s="8">
        <v>1</v>
      </c>
      <c r="G158" t="s">
        <v>386</v>
      </c>
      <c r="H158" s="7">
        <v>7200</v>
      </c>
      <c r="I158" t="s">
        <v>541</v>
      </c>
      <c r="J158" t="s">
        <v>541</v>
      </c>
      <c r="K158" s="9">
        <v>400</v>
      </c>
      <c r="L158" s="9">
        <v>18</v>
      </c>
      <c r="M158" s="20">
        <v>46288</v>
      </c>
      <c r="N158" t="s">
        <v>18</v>
      </c>
      <c r="O158" t="s">
        <v>18</v>
      </c>
      <c r="P158">
        <v>1</v>
      </c>
      <c r="Q158" s="7">
        <v>0</v>
      </c>
    </row>
    <row r="159" spans="1:17" x14ac:dyDescent="0.25">
      <c r="A159" t="s">
        <v>820</v>
      </c>
      <c r="B159" t="s">
        <v>48</v>
      </c>
      <c r="C159" s="19">
        <v>46287</v>
      </c>
      <c r="D159" t="s">
        <v>384</v>
      </c>
      <c r="E159" t="s">
        <v>385</v>
      </c>
      <c r="F159" s="8">
        <v>1</v>
      </c>
      <c r="G159" t="s">
        <v>386</v>
      </c>
      <c r="H159" s="7">
        <v>52500</v>
      </c>
      <c r="I159" t="s">
        <v>780</v>
      </c>
      <c r="J159" t="s">
        <v>781</v>
      </c>
      <c r="K159" s="9">
        <v>150</v>
      </c>
      <c r="L159" s="9">
        <v>350</v>
      </c>
      <c r="M159" s="20">
        <v>46288</v>
      </c>
      <c r="N159" t="s">
        <v>18</v>
      </c>
      <c r="O159" t="s">
        <v>18</v>
      </c>
      <c r="P159">
        <v>1</v>
      </c>
      <c r="Q159" s="7">
        <v>108</v>
      </c>
    </row>
    <row r="160" spans="1:17" x14ac:dyDescent="0.25">
      <c r="A160" t="s">
        <v>476</v>
      </c>
      <c r="B160" t="s">
        <v>477</v>
      </c>
      <c r="C160" s="19">
        <v>46288</v>
      </c>
      <c r="D160" t="s">
        <v>384</v>
      </c>
      <c r="E160" t="s">
        <v>385</v>
      </c>
      <c r="F160" s="8">
        <v>1</v>
      </c>
      <c r="G160" t="s">
        <v>386</v>
      </c>
      <c r="H160" s="7">
        <v>100</v>
      </c>
      <c r="I160" t="s">
        <v>478</v>
      </c>
      <c r="J160" t="s">
        <v>478</v>
      </c>
      <c r="K160" s="9">
        <v>1</v>
      </c>
      <c r="L160" s="9">
        <v>100</v>
      </c>
      <c r="M160" s="20">
        <v>46295</v>
      </c>
      <c r="N160" t="s">
        <v>18</v>
      </c>
      <c r="O160" t="s">
        <v>18</v>
      </c>
      <c r="P160">
        <v>1</v>
      </c>
      <c r="Q160" s="7">
        <v>0</v>
      </c>
    </row>
    <row r="161" spans="1:17" x14ac:dyDescent="0.25">
      <c r="A161" t="s">
        <v>479</v>
      </c>
      <c r="B161" t="s">
        <v>480</v>
      </c>
      <c r="C161" s="19">
        <v>46288</v>
      </c>
      <c r="D161" t="s">
        <v>384</v>
      </c>
      <c r="E161" t="s">
        <v>385</v>
      </c>
      <c r="F161" s="8">
        <v>1</v>
      </c>
      <c r="G161" t="s">
        <v>393</v>
      </c>
      <c r="H161" s="7">
        <v>1560</v>
      </c>
      <c r="I161" t="s">
        <v>481</v>
      </c>
      <c r="J161" t="s">
        <v>482</v>
      </c>
      <c r="K161" s="9">
        <v>13</v>
      </c>
      <c r="L161" s="9">
        <v>120</v>
      </c>
      <c r="M161" s="20">
        <v>46291</v>
      </c>
      <c r="N161" t="s">
        <v>18</v>
      </c>
      <c r="O161" t="s">
        <v>18</v>
      </c>
      <c r="P161">
        <v>1</v>
      </c>
      <c r="Q161" s="7">
        <v>0</v>
      </c>
    </row>
    <row r="162" spans="1:17" x14ac:dyDescent="0.25">
      <c r="A162" t="s">
        <v>484</v>
      </c>
      <c r="B162" t="s">
        <v>485</v>
      </c>
      <c r="C162" s="19">
        <v>46288</v>
      </c>
      <c r="D162" t="s">
        <v>384</v>
      </c>
      <c r="E162" t="s">
        <v>385</v>
      </c>
      <c r="F162" s="8">
        <v>1</v>
      </c>
      <c r="G162" t="s">
        <v>453</v>
      </c>
      <c r="H162" s="7">
        <v>1560</v>
      </c>
      <c r="I162" t="s">
        <v>481</v>
      </c>
      <c r="J162" t="s">
        <v>482</v>
      </c>
      <c r="K162" s="9">
        <v>13</v>
      </c>
      <c r="L162" s="9">
        <v>120</v>
      </c>
      <c r="M162" s="20">
        <v>46291</v>
      </c>
      <c r="N162" t="s">
        <v>18</v>
      </c>
      <c r="O162" t="s">
        <v>18</v>
      </c>
      <c r="P162">
        <v>1</v>
      </c>
      <c r="Q162" s="7">
        <v>0</v>
      </c>
    </row>
    <row r="163" spans="1:17" x14ac:dyDescent="0.25">
      <c r="A163" t="s">
        <v>486</v>
      </c>
      <c r="B163" t="s">
        <v>485</v>
      </c>
      <c r="C163" s="19">
        <v>46288</v>
      </c>
      <c r="D163" t="s">
        <v>384</v>
      </c>
      <c r="E163" t="s">
        <v>385</v>
      </c>
      <c r="F163" s="8">
        <v>1</v>
      </c>
      <c r="G163" t="s">
        <v>386</v>
      </c>
      <c r="H163" s="7">
        <v>250</v>
      </c>
      <c r="I163" t="s">
        <v>487</v>
      </c>
      <c r="J163" t="s">
        <v>487</v>
      </c>
      <c r="K163" s="9">
        <v>1</v>
      </c>
      <c r="L163" s="9">
        <v>250</v>
      </c>
      <c r="M163" s="20">
        <v>46291</v>
      </c>
      <c r="N163" t="s">
        <v>18</v>
      </c>
      <c r="O163" t="s">
        <v>18</v>
      </c>
      <c r="P163">
        <v>1</v>
      </c>
      <c r="Q163" s="7">
        <v>0</v>
      </c>
    </row>
    <row r="164" spans="1:17" x14ac:dyDescent="0.25">
      <c r="A164" t="s">
        <v>928</v>
      </c>
      <c r="B164" t="s">
        <v>118</v>
      </c>
      <c r="C164" s="19">
        <v>46288</v>
      </c>
      <c r="D164" t="s">
        <v>384</v>
      </c>
      <c r="E164" t="s">
        <v>385</v>
      </c>
      <c r="F164" s="8">
        <v>1</v>
      </c>
      <c r="G164" t="s">
        <v>919</v>
      </c>
      <c r="H164" s="7">
        <v>12600</v>
      </c>
      <c r="I164" t="s">
        <v>119</v>
      </c>
      <c r="J164" t="s">
        <v>119</v>
      </c>
      <c r="K164" s="9">
        <v>35</v>
      </c>
      <c r="L164" s="9">
        <v>360</v>
      </c>
      <c r="M164" s="20">
        <v>46290</v>
      </c>
      <c r="N164" t="s">
        <v>388</v>
      </c>
      <c r="O164" t="s">
        <v>18</v>
      </c>
      <c r="P164">
        <v>300</v>
      </c>
      <c r="Q164" s="7">
        <v>35</v>
      </c>
    </row>
    <row r="165" spans="1:17" x14ac:dyDescent="0.25">
      <c r="A165" t="s">
        <v>838</v>
      </c>
      <c r="B165" t="s">
        <v>240</v>
      </c>
      <c r="C165" s="19">
        <v>46290</v>
      </c>
      <c r="D165" t="s">
        <v>384</v>
      </c>
      <c r="E165" t="s">
        <v>385</v>
      </c>
      <c r="F165" s="8">
        <v>1</v>
      </c>
      <c r="G165" t="s">
        <v>386</v>
      </c>
      <c r="H165" s="7">
        <v>70800</v>
      </c>
      <c r="I165" t="s">
        <v>245</v>
      </c>
      <c r="J165" t="s">
        <v>245</v>
      </c>
      <c r="K165" s="9">
        <v>24</v>
      </c>
      <c r="L165" s="9">
        <v>2950</v>
      </c>
      <c r="M165" s="20">
        <v>46292</v>
      </c>
      <c r="N165" t="s">
        <v>398</v>
      </c>
      <c r="O165" t="s">
        <v>18</v>
      </c>
      <c r="P165">
        <v>250</v>
      </c>
      <c r="Q165" s="7">
        <v>10</v>
      </c>
    </row>
    <row r="166" spans="1:17" x14ac:dyDescent="0.25">
      <c r="A166" t="s">
        <v>929</v>
      </c>
      <c r="B166" t="s">
        <v>285</v>
      </c>
      <c r="C166" s="19">
        <v>46290</v>
      </c>
      <c r="D166" t="s">
        <v>384</v>
      </c>
      <c r="E166" t="s">
        <v>385</v>
      </c>
      <c r="F166" s="8">
        <v>1</v>
      </c>
      <c r="G166" t="s">
        <v>919</v>
      </c>
      <c r="H166" s="7">
        <v>22200</v>
      </c>
      <c r="I166" t="s">
        <v>569</v>
      </c>
      <c r="J166" t="s">
        <v>814</v>
      </c>
      <c r="K166" s="9">
        <v>300</v>
      </c>
      <c r="L166" s="9">
        <v>74</v>
      </c>
      <c r="M166" s="20">
        <v>46292</v>
      </c>
      <c r="N166" t="s">
        <v>394</v>
      </c>
      <c r="O166" t="s">
        <v>18</v>
      </c>
      <c r="P166">
        <v>1</v>
      </c>
      <c r="Q166" s="7">
        <v>300</v>
      </c>
    </row>
    <row r="167" spans="1:17" x14ac:dyDescent="0.25">
      <c r="A167" t="s">
        <v>490</v>
      </c>
      <c r="B167" t="s">
        <v>86</v>
      </c>
      <c r="C167" s="19">
        <v>46295</v>
      </c>
      <c r="D167" t="s">
        <v>384</v>
      </c>
      <c r="E167" t="s">
        <v>385</v>
      </c>
      <c r="F167" s="8">
        <v>1</v>
      </c>
      <c r="G167" t="s">
        <v>386</v>
      </c>
      <c r="H167" s="7">
        <v>6808</v>
      </c>
      <c r="I167" t="s">
        <v>91</v>
      </c>
      <c r="J167" t="s">
        <v>91</v>
      </c>
      <c r="K167" s="9">
        <v>46</v>
      </c>
      <c r="L167" s="9">
        <v>148</v>
      </c>
      <c r="M167" s="20">
        <v>46296</v>
      </c>
      <c r="N167" t="s">
        <v>209</v>
      </c>
      <c r="O167" t="s">
        <v>18</v>
      </c>
      <c r="P167">
        <v>1</v>
      </c>
      <c r="Q167" s="7">
        <v>0</v>
      </c>
    </row>
    <row r="168" spans="1:17" x14ac:dyDescent="0.25">
      <c r="A168" t="s">
        <v>492</v>
      </c>
      <c r="B168" t="s">
        <v>285</v>
      </c>
      <c r="C168" s="19">
        <v>46295</v>
      </c>
      <c r="D168" t="s">
        <v>384</v>
      </c>
      <c r="E168" t="s">
        <v>385</v>
      </c>
      <c r="F168" s="8">
        <v>1</v>
      </c>
      <c r="G168" t="s">
        <v>386</v>
      </c>
      <c r="H168" s="7">
        <v>7000</v>
      </c>
      <c r="I168" t="s">
        <v>493</v>
      </c>
      <c r="J168" t="s">
        <v>493</v>
      </c>
      <c r="K168" s="9">
        <v>25</v>
      </c>
      <c r="L168" s="9">
        <v>280</v>
      </c>
      <c r="M168" s="20">
        <v>46296</v>
      </c>
      <c r="N168" t="s">
        <v>394</v>
      </c>
      <c r="O168" t="s">
        <v>18</v>
      </c>
      <c r="P168">
        <v>1</v>
      </c>
      <c r="Q168" s="7">
        <v>0</v>
      </c>
    </row>
    <row r="169" spans="1:17" x14ac:dyDescent="0.25">
      <c r="A169" t="s">
        <v>871</v>
      </c>
      <c r="B169" t="s">
        <v>218</v>
      </c>
      <c r="C169" s="19">
        <v>46295</v>
      </c>
      <c r="D169" t="s">
        <v>384</v>
      </c>
      <c r="E169" t="s">
        <v>385</v>
      </c>
      <c r="F169" s="8">
        <v>1</v>
      </c>
      <c r="G169" t="s">
        <v>386</v>
      </c>
      <c r="H169" s="7">
        <v>2760</v>
      </c>
      <c r="I169" t="s">
        <v>856</v>
      </c>
      <c r="J169" t="s">
        <v>856</v>
      </c>
      <c r="K169" s="9">
        <v>23</v>
      </c>
      <c r="L169" s="9">
        <v>120</v>
      </c>
      <c r="M169" s="20">
        <v>46296</v>
      </c>
      <c r="N169" t="s">
        <v>18</v>
      </c>
      <c r="O169" t="s">
        <v>18</v>
      </c>
      <c r="P169">
        <v>1</v>
      </c>
      <c r="Q169" s="7">
        <v>23</v>
      </c>
    </row>
    <row r="170" spans="1:17" x14ac:dyDescent="0.25">
      <c r="A170" t="s">
        <v>930</v>
      </c>
      <c r="B170" t="s">
        <v>48</v>
      </c>
      <c r="C170" s="19">
        <v>46295</v>
      </c>
      <c r="D170" t="s">
        <v>384</v>
      </c>
      <c r="E170" t="s">
        <v>385</v>
      </c>
      <c r="F170" s="8">
        <v>1</v>
      </c>
      <c r="G170" t="s">
        <v>919</v>
      </c>
      <c r="H170" s="7">
        <v>11400</v>
      </c>
      <c r="I170" t="s">
        <v>61</v>
      </c>
      <c r="J170" t="s">
        <v>61</v>
      </c>
      <c r="K170" s="9">
        <v>300</v>
      </c>
      <c r="L170" s="9">
        <v>38</v>
      </c>
      <c r="M170" s="20">
        <v>46295</v>
      </c>
      <c r="N170" t="s">
        <v>402</v>
      </c>
      <c r="O170" t="s">
        <v>18</v>
      </c>
      <c r="P170">
        <v>1</v>
      </c>
      <c r="Q170" s="7">
        <v>300</v>
      </c>
    </row>
    <row r="171" spans="1:17" x14ac:dyDescent="0.25">
      <c r="A171" t="s">
        <v>133</v>
      </c>
      <c r="B171" t="s">
        <v>134</v>
      </c>
      <c r="C171" s="19">
        <v>46296</v>
      </c>
      <c r="D171" t="s">
        <v>384</v>
      </c>
      <c r="E171" t="s">
        <v>385</v>
      </c>
      <c r="F171" s="8">
        <v>1</v>
      </c>
      <c r="G171" t="s">
        <v>393</v>
      </c>
      <c r="H171" s="7">
        <v>235</v>
      </c>
      <c r="I171" t="s">
        <v>135</v>
      </c>
      <c r="J171" t="s">
        <v>135</v>
      </c>
      <c r="K171" s="9">
        <v>1</v>
      </c>
      <c r="L171" s="9">
        <v>235</v>
      </c>
      <c r="M171" s="20">
        <v>46297</v>
      </c>
      <c r="N171" t="s">
        <v>138</v>
      </c>
      <c r="O171" t="s">
        <v>138</v>
      </c>
      <c r="P171">
        <v>1</v>
      </c>
      <c r="Q171" s="7">
        <v>0</v>
      </c>
    </row>
    <row r="172" spans="1:17" x14ac:dyDescent="0.25">
      <c r="A172" t="s">
        <v>601</v>
      </c>
      <c r="B172" t="s">
        <v>240</v>
      </c>
      <c r="C172" s="19">
        <v>46300</v>
      </c>
      <c r="D172" t="s">
        <v>384</v>
      </c>
      <c r="E172" t="s">
        <v>385</v>
      </c>
      <c r="F172" s="8">
        <v>1</v>
      </c>
      <c r="G172" t="s">
        <v>393</v>
      </c>
      <c r="H172" s="7">
        <v>47000</v>
      </c>
      <c r="I172" t="s">
        <v>243</v>
      </c>
      <c r="J172" t="s">
        <v>602</v>
      </c>
      <c r="K172" s="9">
        <v>1000</v>
      </c>
      <c r="L172" s="9">
        <v>47</v>
      </c>
      <c r="M172" s="20">
        <v>46300</v>
      </c>
      <c r="N172" t="s">
        <v>18</v>
      </c>
      <c r="O172" t="s">
        <v>18</v>
      </c>
      <c r="P172">
        <v>1</v>
      </c>
      <c r="Q172" s="7">
        <v>0</v>
      </c>
    </row>
    <row r="173" spans="1:17" x14ac:dyDescent="0.25">
      <c r="A173" t="s">
        <v>22</v>
      </c>
      <c r="B173" t="s">
        <v>23</v>
      </c>
      <c r="C173" s="19">
        <v>46301</v>
      </c>
      <c r="D173" t="s">
        <v>384</v>
      </c>
      <c r="E173" t="s">
        <v>385</v>
      </c>
      <c r="F173" s="8">
        <v>1</v>
      </c>
      <c r="G173" t="s">
        <v>386</v>
      </c>
      <c r="H173" s="7">
        <v>9900</v>
      </c>
      <c r="I173" t="s">
        <v>495</v>
      </c>
      <c r="J173" t="s">
        <v>24</v>
      </c>
      <c r="K173" s="9">
        <v>150</v>
      </c>
      <c r="L173" s="9">
        <v>66</v>
      </c>
      <c r="M173" s="20">
        <v>46303</v>
      </c>
      <c r="N173" t="s">
        <v>394</v>
      </c>
      <c r="O173" t="s">
        <v>18</v>
      </c>
      <c r="P173">
        <v>1</v>
      </c>
      <c r="Q173" s="7">
        <v>0</v>
      </c>
    </row>
    <row r="174" spans="1:17" x14ac:dyDescent="0.25">
      <c r="A174" t="s">
        <v>496</v>
      </c>
      <c r="B174" t="s">
        <v>339</v>
      </c>
      <c r="C174" s="19">
        <v>46301</v>
      </c>
      <c r="D174" t="s">
        <v>384</v>
      </c>
      <c r="E174" t="s">
        <v>385</v>
      </c>
      <c r="F174" s="8">
        <v>1</v>
      </c>
      <c r="G174" t="s">
        <v>393</v>
      </c>
      <c r="H174" s="7">
        <v>8000</v>
      </c>
      <c r="I174" t="s">
        <v>497</v>
      </c>
      <c r="J174" t="s">
        <v>353</v>
      </c>
      <c r="K174" s="9">
        <v>8</v>
      </c>
      <c r="L174" s="9">
        <v>1000</v>
      </c>
      <c r="M174" s="20">
        <v>46305</v>
      </c>
      <c r="N174" t="s">
        <v>18</v>
      </c>
      <c r="O174" t="s">
        <v>18</v>
      </c>
      <c r="P174">
        <v>1</v>
      </c>
      <c r="Q174" s="7">
        <v>0</v>
      </c>
    </row>
    <row r="175" spans="1:17" x14ac:dyDescent="0.25">
      <c r="A175" t="s">
        <v>612</v>
      </c>
      <c r="B175" t="s">
        <v>285</v>
      </c>
      <c r="C175" s="19">
        <v>46301</v>
      </c>
      <c r="D175" t="s">
        <v>384</v>
      </c>
      <c r="E175" t="s">
        <v>385</v>
      </c>
      <c r="F175" s="8">
        <v>1</v>
      </c>
      <c r="G175" t="s">
        <v>386</v>
      </c>
      <c r="H175" s="7">
        <v>2000</v>
      </c>
      <c r="I175" t="s">
        <v>613</v>
      </c>
      <c r="J175" t="s">
        <v>614</v>
      </c>
      <c r="K175" s="9">
        <v>80</v>
      </c>
      <c r="L175" s="9">
        <v>25</v>
      </c>
      <c r="M175" s="20">
        <v>46301</v>
      </c>
      <c r="N175" t="s">
        <v>18</v>
      </c>
      <c r="O175" t="s">
        <v>18</v>
      </c>
      <c r="P175">
        <v>1</v>
      </c>
      <c r="Q175" s="7">
        <v>0</v>
      </c>
    </row>
    <row r="176" spans="1:17" x14ac:dyDescent="0.25">
      <c r="A176" t="s">
        <v>615</v>
      </c>
      <c r="B176" t="s">
        <v>285</v>
      </c>
      <c r="C176" s="19">
        <v>46301</v>
      </c>
      <c r="D176" t="s">
        <v>384</v>
      </c>
      <c r="E176" t="s">
        <v>385</v>
      </c>
      <c r="F176" s="8">
        <v>1</v>
      </c>
      <c r="G176" t="s">
        <v>386</v>
      </c>
      <c r="H176" s="7">
        <v>575000</v>
      </c>
      <c r="I176" t="s">
        <v>293</v>
      </c>
      <c r="J176" t="s">
        <v>294</v>
      </c>
      <c r="K176" s="9">
        <v>5000</v>
      </c>
      <c r="L176" s="9">
        <v>115</v>
      </c>
      <c r="M176" s="20">
        <v>46301</v>
      </c>
      <c r="N176" t="s">
        <v>18</v>
      </c>
      <c r="O176" t="s">
        <v>18</v>
      </c>
      <c r="P176">
        <v>1</v>
      </c>
      <c r="Q176" s="7">
        <v>0</v>
      </c>
    </row>
    <row r="177" spans="1:17" x14ac:dyDescent="0.25">
      <c r="A177" t="s">
        <v>618</v>
      </c>
      <c r="B177" t="s">
        <v>218</v>
      </c>
      <c r="C177" s="19">
        <v>46301</v>
      </c>
      <c r="D177" t="s">
        <v>384</v>
      </c>
      <c r="E177" t="s">
        <v>385</v>
      </c>
      <c r="F177" s="8">
        <v>1</v>
      </c>
      <c r="G177" t="s">
        <v>386</v>
      </c>
      <c r="H177" s="7">
        <v>1600</v>
      </c>
      <c r="I177" t="s">
        <v>619</v>
      </c>
      <c r="J177" t="s">
        <v>620</v>
      </c>
      <c r="K177" s="9">
        <v>50</v>
      </c>
      <c r="L177" s="9">
        <v>32</v>
      </c>
      <c r="M177" s="20">
        <v>46301</v>
      </c>
      <c r="N177" t="s">
        <v>18</v>
      </c>
      <c r="O177" t="s">
        <v>18</v>
      </c>
      <c r="P177">
        <v>1</v>
      </c>
      <c r="Q177" s="7">
        <v>0</v>
      </c>
    </row>
    <row r="178" spans="1:17" x14ac:dyDescent="0.25">
      <c r="A178" t="s">
        <v>499</v>
      </c>
      <c r="B178" t="s">
        <v>500</v>
      </c>
      <c r="C178" s="19">
        <v>46302</v>
      </c>
      <c r="D178" t="s">
        <v>384</v>
      </c>
      <c r="E178" t="s">
        <v>385</v>
      </c>
      <c r="F178" s="8">
        <v>1</v>
      </c>
      <c r="G178" t="s">
        <v>386</v>
      </c>
      <c r="H178" s="7">
        <v>840</v>
      </c>
      <c r="I178" t="s">
        <v>501</v>
      </c>
      <c r="J178" t="s">
        <v>502</v>
      </c>
      <c r="K178" s="9">
        <v>20</v>
      </c>
      <c r="L178" s="9">
        <v>42</v>
      </c>
      <c r="M178" s="20">
        <v>46303</v>
      </c>
      <c r="N178" t="s">
        <v>18</v>
      </c>
      <c r="O178" t="s">
        <v>18</v>
      </c>
      <c r="P178">
        <v>1</v>
      </c>
      <c r="Q178" s="7">
        <v>0</v>
      </c>
    </row>
    <row r="179" spans="1:17" x14ac:dyDescent="0.25">
      <c r="A179" t="s">
        <v>503</v>
      </c>
      <c r="B179" t="s">
        <v>504</v>
      </c>
      <c r="C179" s="19">
        <v>46302</v>
      </c>
      <c r="D179" t="s">
        <v>384</v>
      </c>
      <c r="E179" t="s">
        <v>385</v>
      </c>
      <c r="F179" s="8">
        <v>1</v>
      </c>
      <c r="G179" t="s">
        <v>386</v>
      </c>
      <c r="H179" s="7">
        <v>15411</v>
      </c>
      <c r="I179" t="s">
        <v>505</v>
      </c>
      <c r="J179" t="s">
        <v>505</v>
      </c>
      <c r="K179" s="9">
        <v>934</v>
      </c>
      <c r="L179" s="9">
        <v>16.5</v>
      </c>
      <c r="M179" s="20">
        <v>46304</v>
      </c>
      <c r="N179" t="s">
        <v>18</v>
      </c>
      <c r="O179" t="s">
        <v>18</v>
      </c>
      <c r="P179">
        <v>1</v>
      </c>
      <c r="Q179" s="7">
        <v>0</v>
      </c>
    </row>
    <row r="180" spans="1:17" x14ac:dyDescent="0.25">
      <c r="A180" t="s">
        <v>506</v>
      </c>
      <c r="B180" t="s">
        <v>218</v>
      </c>
      <c r="C180" s="19">
        <v>46303</v>
      </c>
      <c r="D180" t="s">
        <v>384</v>
      </c>
      <c r="E180" t="s">
        <v>385</v>
      </c>
      <c r="F180" s="8">
        <v>1</v>
      </c>
      <c r="G180" t="s">
        <v>386</v>
      </c>
      <c r="H180" s="7">
        <v>1920</v>
      </c>
      <c r="I180" t="s">
        <v>507</v>
      </c>
      <c r="J180" t="s">
        <v>507</v>
      </c>
      <c r="K180" s="9">
        <v>80</v>
      </c>
      <c r="L180" s="9">
        <v>24</v>
      </c>
      <c r="M180" s="20">
        <v>46303</v>
      </c>
      <c r="N180" t="s">
        <v>18</v>
      </c>
      <c r="O180" t="s">
        <v>18</v>
      </c>
      <c r="P180">
        <v>1</v>
      </c>
      <c r="Q180" s="7">
        <v>0</v>
      </c>
    </row>
    <row r="181" spans="1:17" x14ac:dyDescent="0.25">
      <c r="A181" t="s">
        <v>508</v>
      </c>
      <c r="B181" t="s">
        <v>48</v>
      </c>
      <c r="C181" s="19">
        <v>46303</v>
      </c>
      <c r="D181" t="s">
        <v>384</v>
      </c>
      <c r="E181" t="s">
        <v>385</v>
      </c>
      <c r="F181" s="8">
        <v>1</v>
      </c>
      <c r="G181" t="s">
        <v>386</v>
      </c>
      <c r="H181" s="7">
        <v>4140</v>
      </c>
      <c r="I181" t="s">
        <v>58</v>
      </c>
      <c r="J181" t="s">
        <v>58</v>
      </c>
      <c r="K181" s="9">
        <v>30</v>
      </c>
      <c r="L181" s="9">
        <v>138</v>
      </c>
      <c r="M181" s="20">
        <v>46305</v>
      </c>
      <c r="N181" t="s">
        <v>388</v>
      </c>
      <c r="O181" t="s">
        <v>18</v>
      </c>
      <c r="P181">
        <v>1</v>
      </c>
      <c r="Q181" s="7">
        <v>0</v>
      </c>
    </row>
    <row r="182" spans="1:17" x14ac:dyDescent="0.25">
      <c r="A182" t="s">
        <v>510</v>
      </c>
      <c r="B182" t="s">
        <v>511</v>
      </c>
      <c r="C182" s="19">
        <v>46303</v>
      </c>
      <c r="D182" t="s">
        <v>384</v>
      </c>
      <c r="E182" t="s">
        <v>385</v>
      </c>
      <c r="F182" s="8">
        <v>1</v>
      </c>
      <c r="G182" t="s">
        <v>386</v>
      </c>
      <c r="H182" s="7">
        <v>960</v>
      </c>
      <c r="I182" t="s">
        <v>512</v>
      </c>
      <c r="J182" t="s">
        <v>513</v>
      </c>
      <c r="K182" s="9">
        <v>8</v>
      </c>
      <c r="L182" s="9">
        <v>120</v>
      </c>
      <c r="M182" s="20">
        <v>46303</v>
      </c>
      <c r="N182" t="s">
        <v>18</v>
      </c>
      <c r="O182" t="s">
        <v>18</v>
      </c>
      <c r="P182">
        <v>1</v>
      </c>
      <c r="Q182" s="7">
        <v>0</v>
      </c>
    </row>
    <row r="183" spans="1:17" x14ac:dyDescent="0.25">
      <c r="A183" t="s">
        <v>199</v>
      </c>
      <c r="B183" t="s">
        <v>200</v>
      </c>
      <c r="C183" s="19">
        <v>46304</v>
      </c>
      <c r="D183" t="s">
        <v>384</v>
      </c>
      <c r="E183" t="s">
        <v>385</v>
      </c>
      <c r="F183" s="8">
        <v>1</v>
      </c>
      <c r="G183" t="s">
        <v>393</v>
      </c>
      <c r="H183" s="7">
        <v>3800</v>
      </c>
      <c r="I183" t="s">
        <v>204</v>
      </c>
      <c r="J183" t="s">
        <v>204</v>
      </c>
      <c r="K183" s="9">
        <v>100</v>
      </c>
      <c r="L183" s="9">
        <v>38</v>
      </c>
      <c r="M183" s="20">
        <v>46305</v>
      </c>
      <c r="N183" t="s">
        <v>147</v>
      </c>
      <c r="O183" t="s">
        <v>18</v>
      </c>
      <c r="P183">
        <v>1</v>
      </c>
      <c r="Q183" s="7">
        <v>0</v>
      </c>
    </row>
    <row r="184" spans="1:17" x14ac:dyDescent="0.25">
      <c r="A184" t="s">
        <v>517</v>
      </c>
      <c r="B184" t="s">
        <v>240</v>
      </c>
      <c r="C184" s="19">
        <v>46304</v>
      </c>
      <c r="D184" t="s">
        <v>384</v>
      </c>
      <c r="E184" t="s">
        <v>385</v>
      </c>
      <c r="F184" s="8">
        <v>1</v>
      </c>
      <c r="G184" t="s">
        <v>393</v>
      </c>
      <c r="H184" s="7">
        <v>21600</v>
      </c>
      <c r="I184" t="s">
        <v>262</v>
      </c>
      <c r="J184" t="s">
        <v>262</v>
      </c>
      <c r="K184" s="9">
        <v>100</v>
      </c>
      <c r="L184" s="9">
        <v>216</v>
      </c>
      <c r="M184" s="20">
        <v>46306</v>
      </c>
      <c r="N184" t="s">
        <v>394</v>
      </c>
      <c r="O184" t="s">
        <v>18</v>
      </c>
      <c r="P184">
        <v>1</v>
      </c>
      <c r="Q184" s="7">
        <v>0</v>
      </c>
    </row>
    <row r="185" spans="1:17" x14ac:dyDescent="0.25">
      <c r="A185" t="s">
        <v>518</v>
      </c>
      <c r="B185" t="s">
        <v>240</v>
      </c>
      <c r="C185" s="19">
        <v>46304</v>
      </c>
      <c r="D185" t="s">
        <v>384</v>
      </c>
      <c r="E185" t="s">
        <v>385</v>
      </c>
      <c r="F185" s="8">
        <v>1</v>
      </c>
      <c r="G185" t="s">
        <v>393</v>
      </c>
      <c r="H185" s="7">
        <v>21600</v>
      </c>
      <c r="I185" t="s">
        <v>262</v>
      </c>
      <c r="J185" t="s">
        <v>262</v>
      </c>
      <c r="K185" s="9">
        <v>100</v>
      </c>
      <c r="L185" s="9">
        <v>216</v>
      </c>
      <c r="M185" s="20">
        <v>46306</v>
      </c>
      <c r="N185" t="s">
        <v>394</v>
      </c>
      <c r="O185" t="s">
        <v>18</v>
      </c>
      <c r="P185">
        <v>1</v>
      </c>
      <c r="Q185" s="7">
        <v>0</v>
      </c>
    </row>
    <row r="186" spans="1:17" x14ac:dyDescent="0.25">
      <c r="A186" t="s">
        <v>519</v>
      </c>
      <c r="B186" t="s">
        <v>240</v>
      </c>
      <c r="C186" s="19">
        <v>46305</v>
      </c>
      <c r="D186" t="s">
        <v>384</v>
      </c>
      <c r="E186" t="s">
        <v>385</v>
      </c>
      <c r="F186" s="8">
        <v>1</v>
      </c>
      <c r="G186" t="s">
        <v>393</v>
      </c>
      <c r="H186" s="7">
        <v>15120</v>
      </c>
      <c r="I186" t="s">
        <v>262</v>
      </c>
      <c r="J186" t="s">
        <v>262</v>
      </c>
      <c r="K186" s="9">
        <v>70</v>
      </c>
      <c r="L186" s="9">
        <v>216</v>
      </c>
      <c r="M186" s="20">
        <v>46307</v>
      </c>
      <c r="N186" t="s">
        <v>394</v>
      </c>
      <c r="O186" t="s">
        <v>18</v>
      </c>
      <c r="P186">
        <v>1</v>
      </c>
      <c r="Q186" s="7">
        <v>0</v>
      </c>
    </row>
    <row r="187" spans="1:17" x14ac:dyDescent="0.25">
      <c r="A187" t="s">
        <v>520</v>
      </c>
      <c r="B187" t="s">
        <v>218</v>
      </c>
      <c r="C187" s="19">
        <v>46307</v>
      </c>
      <c r="D187" t="s">
        <v>384</v>
      </c>
      <c r="E187" t="s">
        <v>385</v>
      </c>
      <c r="F187" s="8">
        <v>1</v>
      </c>
      <c r="G187" t="s">
        <v>393</v>
      </c>
      <c r="H187" s="7">
        <v>14490</v>
      </c>
      <c r="I187" t="s">
        <v>521</v>
      </c>
      <c r="J187" t="s">
        <v>222</v>
      </c>
      <c r="K187" s="9">
        <v>115</v>
      </c>
      <c r="L187" s="9">
        <v>126</v>
      </c>
      <c r="M187" s="20">
        <v>46308</v>
      </c>
      <c r="N187" t="s">
        <v>18</v>
      </c>
      <c r="O187" t="s">
        <v>18</v>
      </c>
      <c r="P187">
        <v>1</v>
      </c>
      <c r="Q187" s="7">
        <v>0</v>
      </c>
    </row>
    <row r="188" spans="1:17" x14ac:dyDescent="0.25">
      <c r="A188" t="s">
        <v>522</v>
      </c>
      <c r="B188" t="s">
        <v>118</v>
      </c>
      <c r="C188" s="19">
        <v>46307</v>
      </c>
      <c r="D188" t="s">
        <v>384</v>
      </c>
      <c r="E188" t="s">
        <v>385</v>
      </c>
      <c r="F188" s="8">
        <v>1</v>
      </c>
      <c r="G188" t="s">
        <v>386</v>
      </c>
      <c r="H188" s="7">
        <v>17700</v>
      </c>
      <c r="I188" t="s">
        <v>523</v>
      </c>
      <c r="J188" t="s">
        <v>523</v>
      </c>
      <c r="K188" s="9">
        <v>60</v>
      </c>
      <c r="L188" s="9">
        <v>295</v>
      </c>
      <c r="M188" s="20">
        <v>46310</v>
      </c>
      <c r="N188" t="s">
        <v>18</v>
      </c>
      <c r="O188" t="s">
        <v>18</v>
      </c>
      <c r="P188">
        <v>1</v>
      </c>
      <c r="Q188" s="7">
        <v>0</v>
      </c>
    </row>
    <row r="189" spans="1:17" x14ac:dyDescent="0.25">
      <c r="A189" t="s">
        <v>524</v>
      </c>
      <c r="B189" t="s">
        <v>308</v>
      </c>
      <c r="C189" s="19">
        <v>46308</v>
      </c>
      <c r="D189" t="s">
        <v>384</v>
      </c>
      <c r="E189" t="s">
        <v>385</v>
      </c>
      <c r="F189" s="8">
        <v>1</v>
      </c>
      <c r="G189" t="s">
        <v>386</v>
      </c>
      <c r="H189" s="7">
        <v>16700</v>
      </c>
      <c r="I189" t="s">
        <v>525</v>
      </c>
      <c r="J189" t="s">
        <v>526</v>
      </c>
      <c r="K189" s="9">
        <v>1000</v>
      </c>
      <c r="L189" s="9">
        <v>16.7</v>
      </c>
      <c r="M189" s="20">
        <v>46310</v>
      </c>
      <c r="N189" t="s">
        <v>527</v>
      </c>
      <c r="O189" t="s">
        <v>18</v>
      </c>
      <c r="P189">
        <v>1</v>
      </c>
      <c r="Q189" s="7">
        <v>0</v>
      </c>
    </row>
    <row r="190" spans="1:17" x14ac:dyDescent="0.25">
      <c r="A190" t="s">
        <v>621</v>
      </c>
      <c r="B190" t="s">
        <v>308</v>
      </c>
      <c r="C190" s="19">
        <v>46308</v>
      </c>
      <c r="D190" t="s">
        <v>384</v>
      </c>
      <c r="E190" t="s">
        <v>385</v>
      </c>
      <c r="F190" s="8">
        <v>1</v>
      </c>
      <c r="G190" t="s">
        <v>386</v>
      </c>
      <c r="H190" s="7">
        <v>300</v>
      </c>
      <c r="I190" t="s">
        <v>622</v>
      </c>
      <c r="J190" t="s">
        <v>623</v>
      </c>
      <c r="K190" s="9">
        <v>25</v>
      </c>
      <c r="L190" s="9">
        <v>12</v>
      </c>
      <c r="M190" s="20">
        <v>46308</v>
      </c>
      <c r="N190" t="s">
        <v>527</v>
      </c>
      <c r="O190" t="s">
        <v>527</v>
      </c>
      <c r="P190">
        <v>1</v>
      </c>
      <c r="Q190" s="7">
        <v>0</v>
      </c>
    </row>
    <row r="191" spans="1:17" x14ac:dyDescent="0.25">
      <c r="A191" t="s">
        <v>626</v>
      </c>
      <c r="B191" t="s">
        <v>627</v>
      </c>
      <c r="C191" s="19">
        <v>46308</v>
      </c>
      <c r="D191" t="s">
        <v>384</v>
      </c>
      <c r="E191" t="s">
        <v>385</v>
      </c>
      <c r="F191" s="8">
        <v>1</v>
      </c>
      <c r="G191" t="s">
        <v>386</v>
      </c>
      <c r="H191" s="7">
        <v>1250</v>
      </c>
      <c r="I191" t="s">
        <v>628</v>
      </c>
      <c r="J191" t="s">
        <v>629</v>
      </c>
      <c r="K191" s="9">
        <v>5</v>
      </c>
      <c r="L191" s="9">
        <v>250</v>
      </c>
      <c r="M191" s="20">
        <v>46308</v>
      </c>
      <c r="N191" t="s">
        <v>18</v>
      </c>
      <c r="O191" t="s">
        <v>18</v>
      </c>
      <c r="P191">
        <v>1</v>
      </c>
      <c r="Q191" s="7">
        <v>0</v>
      </c>
    </row>
    <row r="192" spans="1:17" x14ac:dyDescent="0.25">
      <c r="A192" t="s">
        <v>667</v>
      </c>
      <c r="B192" t="s">
        <v>184</v>
      </c>
      <c r="C192" s="19">
        <v>46309</v>
      </c>
      <c r="D192" t="s">
        <v>384</v>
      </c>
      <c r="E192" t="s">
        <v>385</v>
      </c>
      <c r="F192" s="8">
        <v>1</v>
      </c>
      <c r="G192" t="s">
        <v>386</v>
      </c>
      <c r="H192" s="7">
        <v>57500</v>
      </c>
      <c r="I192" t="s">
        <v>192</v>
      </c>
      <c r="J192" t="s">
        <v>193</v>
      </c>
      <c r="K192" s="9">
        <v>20</v>
      </c>
      <c r="L192" s="9">
        <v>2875</v>
      </c>
      <c r="M192" s="20">
        <v>46309</v>
      </c>
      <c r="N192" t="s">
        <v>18</v>
      </c>
      <c r="O192" t="s">
        <v>18</v>
      </c>
      <c r="P192">
        <v>1</v>
      </c>
      <c r="Q192" s="7">
        <v>0</v>
      </c>
    </row>
    <row r="193" spans="1:17" x14ac:dyDescent="0.25">
      <c r="A193" t="s">
        <v>668</v>
      </c>
      <c r="B193" t="s">
        <v>285</v>
      </c>
      <c r="C193" s="19">
        <v>46309</v>
      </c>
      <c r="D193" t="s">
        <v>384</v>
      </c>
      <c r="E193" t="s">
        <v>385</v>
      </c>
      <c r="F193" s="8">
        <v>1</v>
      </c>
      <c r="G193" t="s">
        <v>386</v>
      </c>
      <c r="H193" s="7">
        <v>37500</v>
      </c>
      <c r="I193" t="s">
        <v>290</v>
      </c>
      <c r="J193" t="s">
        <v>669</v>
      </c>
      <c r="K193" s="9">
        <v>300</v>
      </c>
      <c r="L193" s="9">
        <v>125</v>
      </c>
      <c r="M193" s="20">
        <v>46309</v>
      </c>
      <c r="N193" t="s">
        <v>18</v>
      </c>
      <c r="O193" t="s">
        <v>18</v>
      </c>
      <c r="P193">
        <v>1</v>
      </c>
      <c r="Q193" s="7">
        <v>0</v>
      </c>
    </row>
    <row r="194" spans="1:17" x14ac:dyDescent="0.25">
      <c r="A194" t="s">
        <v>670</v>
      </c>
      <c r="B194" t="s">
        <v>240</v>
      </c>
      <c r="C194" s="19">
        <v>46309</v>
      </c>
      <c r="D194" t="s">
        <v>384</v>
      </c>
      <c r="E194" t="s">
        <v>385</v>
      </c>
      <c r="F194" s="8">
        <v>1</v>
      </c>
      <c r="G194" t="s">
        <v>386</v>
      </c>
      <c r="H194" s="7">
        <v>32700</v>
      </c>
      <c r="I194" t="s">
        <v>276</v>
      </c>
      <c r="J194" t="s">
        <v>277</v>
      </c>
      <c r="K194" s="9">
        <v>300</v>
      </c>
      <c r="L194" s="9">
        <v>109</v>
      </c>
      <c r="M194" s="20">
        <v>46309</v>
      </c>
      <c r="N194" t="s">
        <v>18</v>
      </c>
      <c r="O194" t="s">
        <v>18</v>
      </c>
      <c r="P194">
        <v>1</v>
      </c>
      <c r="Q194" s="7">
        <v>0</v>
      </c>
    </row>
    <row r="195" spans="1:17" x14ac:dyDescent="0.25">
      <c r="A195" t="s">
        <v>671</v>
      </c>
      <c r="B195" t="s">
        <v>218</v>
      </c>
      <c r="C195" s="19">
        <v>46310</v>
      </c>
      <c r="D195" t="s">
        <v>384</v>
      </c>
      <c r="E195" t="s">
        <v>385</v>
      </c>
      <c r="F195" s="8">
        <v>1</v>
      </c>
      <c r="G195" t="s">
        <v>386</v>
      </c>
      <c r="H195" s="7">
        <v>3105</v>
      </c>
      <c r="I195" t="s">
        <v>672</v>
      </c>
      <c r="J195" t="s">
        <v>672</v>
      </c>
      <c r="K195" s="9">
        <v>23</v>
      </c>
      <c r="L195" s="9">
        <v>135</v>
      </c>
      <c r="M195" s="20">
        <v>46310</v>
      </c>
      <c r="N195" t="s">
        <v>18</v>
      </c>
      <c r="O195" t="s">
        <v>18</v>
      </c>
      <c r="P195">
        <v>1</v>
      </c>
      <c r="Q195" s="7">
        <v>0</v>
      </c>
    </row>
    <row r="196" spans="1:17" x14ac:dyDescent="0.25">
      <c r="A196" t="s">
        <v>673</v>
      </c>
      <c r="B196" t="s">
        <v>574</v>
      </c>
      <c r="C196" s="19">
        <v>46310</v>
      </c>
      <c r="D196" t="s">
        <v>384</v>
      </c>
      <c r="E196" t="s">
        <v>385</v>
      </c>
      <c r="F196" s="8">
        <v>1</v>
      </c>
      <c r="G196" t="s">
        <v>386</v>
      </c>
      <c r="H196" s="7">
        <v>4300</v>
      </c>
      <c r="I196" t="s">
        <v>575</v>
      </c>
      <c r="J196" t="s">
        <v>576</v>
      </c>
      <c r="K196" s="9">
        <v>100</v>
      </c>
      <c r="L196" s="9">
        <v>43</v>
      </c>
      <c r="M196" s="20">
        <v>46310</v>
      </c>
      <c r="N196" t="s">
        <v>18</v>
      </c>
      <c r="O196" t="s">
        <v>18</v>
      </c>
      <c r="P196">
        <v>1</v>
      </c>
      <c r="Q196" s="7">
        <v>0</v>
      </c>
    </row>
    <row r="197" spans="1:17" x14ac:dyDescent="0.25">
      <c r="A197" t="s">
        <v>674</v>
      </c>
      <c r="B197" t="s">
        <v>285</v>
      </c>
      <c r="C197" s="19">
        <v>46311</v>
      </c>
      <c r="D197" t="s">
        <v>384</v>
      </c>
      <c r="E197" t="s">
        <v>385</v>
      </c>
      <c r="F197" s="8">
        <v>1</v>
      </c>
      <c r="G197" t="s">
        <v>386</v>
      </c>
      <c r="H197" s="7">
        <v>12995</v>
      </c>
      <c r="I197" t="s">
        <v>287</v>
      </c>
      <c r="J197" t="s">
        <v>675</v>
      </c>
      <c r="K197" s="9">
        <v>115</v>
      </c>
      <c r="L197" s="9">
        <v>113</v>
      </c>
      <c r="M197" s="20">
        <v>46311</v>
      </c>
      <c r="N197" t="s">
        <v>18</v>
      </c>
      <c r="O197" t="s">
        <v>18</v>
      </c>
      <c r="P197">
        <v>1</v>
      </c>
      <c r="Q197" s="7">
        <v>0</v>
      </c>
    </row>
    <row r="198" spans="1:17" x14ac:dyDescent="0.25">
      <c r="A198" t="s">
        <v>676</v>
      </c>
      <c r="B198" t="s">
        <v>470</v>
      </c>
      <c r="C198" s="19">
        <v>46311</v>
      </c>
      <c r="D198" t="s">
        <v>384</v>
      </c>
      <c r="E198" t="s">
        <v>385</v>
      </c>
      <c r="F198" s="8">
        <v>1</v>
      </c>
      <c r="G198" t="s">
        <v>393</v>
      </c>
      <c r="H198" s="7">
        <v>0</v>
      </c>
      <c r="I198" t="s">
        <v>677</v>
      </c>
      <c r="J198" t="s">
        <v>677</v>
      </c>
      <c r="K198" s="9">
        <v>4</v>
      </c>
      <c r="L198" s="9">
        <v>0</v>
      </c>
      <c r="M198" s="20">
        <v>46311</v>
      </c>
      <c r="N198" t="s">
        <v>18</v>
      </c>
      <c r="O198" t="s">
        <v>18</v>
      </c>
      <c r="P198">
        <v>1</v>
      </c>
      <c r="Q198" s="7">
        <v>0</v>
      </c>
    </row>
    <row r="199" spans="1:17" x14ac:dyDescent="0.25">
      <c r="A199" t="s">
        <v>678</v>
      </c>
      <c r="B199" t="s">
        <v>240</v>
      </c>
      <c r="C199" s="19">
        <v>46311</v>
      </c>
      <c r="D199" t="s">
        <v>384</v>
      </c>
      <c r="E199" t="s">
        <v>385</v>
      </c>
      <c r="F199" s="8">
        <v>1</v>
      </c>
      <c r="G199" t="s">
        <v>393</v>
      </c>
      <c r="H199" s="7">
        <v>18300</v>
      </c>
      <c r="I199" t="s">
        <v>679</v>
      </c>
      <c r="J199" t="s">
        <v>680</v>
      </c>
      <c r="K199" s="9">
        <v>600</v>
      </c>
      <c r="L199" s="9">
        <v>30.5</v>
      </c>
      <c r="M199" s="20">
        <v>46313</v>
      </c>
      <c r="N199" t="s">
        <v>18</v>
      </c>
      <c r="O199" t="s">
        <v>18</v>
      </c>
      <c r="P199">
        <v>1</v>
      </c>
      <c r="Q199" s="7">
        <v>0</v>
      </c>
    </row>
    <row r="200" spans="1:17" x14ac:dyDescent="0.25">
      <c r="A200" t="s">
        <v>681</v>
      </c>
      <c r="B200" t="s">
        <v>682</v>
      </c>
      <c r="C200" s="19">
        <v>46311</v>
      </c>
      <c r="D200" t="s">
        <v>384</v>
      </c>
      <c r="E200" t="s">
        <v>385</v>
      </c>
      <c r="F200" s="8">
        <v>1</v>
      </c>
      <c r="G200" t="s">
        <v>386</v>
      </c>
      <c r="H200" s="7">
        <v>40572</v>
      </c>
      <c r="I200" t="s">
        <v>683</v>
      </c>
      <c r="J200" t="s">
        <v>684</v>
      </c>
      <c r="K200" s="9">
        <v>1176</v>
      </c>
      <c r="L200" s="9">
        <v>34.5</v>
      </c>
      <c r="M200" s="20">
        <v>46311</v>
      </c>
      <c r="N200" t="s">
        <v>18</v>
      </c>
      <c r="O200" t="s">
        <v>18</v>
      </c>
      <c r="P200">
        <v>1</v>
      </c>
      <c r="Q200" s="7">
        <v>0</v>
      </c>
    </row>
    <row r="201" spans="1:17" x14ac:dyDescent="0.25">
      <c r="A201" t="s">
        <v>685</v>
      </c>
      <c r="B201" t="s">
        <v>48</v>
      </c>
      <c r="C201" s="19">
        <v>46311</v>
      </c>
      <c r="D201" t="s">
        <v>384</v>
      </c>
      <c r="E201" t="s">
        <v>385</v>
      </c>
      <c r="F201" s="8">
        <v>1</v>
      </c>
      <c r="G201" t="s">
        <v>393</v>
      </c>
      <c r="H201" s="7">
        <v>500700</v>
      </c>
      <c r="I201" t="s">
        <v>686</v>
      </c>
      <c r="J201" t="s">
        <v>687</v>
      </c>
      <c r="K201" s="9">
        <v>15000</v>
      </c>
      <c r="L201" s="9">
        <v>33.380000000000003</v>
      </c>
      <c r="M201" s="20">
        <v>46312</v>
      </c>
      <c r="N201" t="s">
        <v>18</v>
      </c>
      <c r="O201" t="s">
        <v>18</v>
      </c>
      <c r="P201">
        <v>1</v>
      </c>
      <c r="Q201" s="7">
        <v>0</v>
      </c>
    </row>
    <row r="202" spans="1:17" x14ac:dyDescent="0.25">
      <c r="A202" t="s">
        <v>688</v>
      </c>
      <c r="B202" t="s">
        <v>581</v>
      </c>
      <c r="C202" s="19">
        <v>46311</v>
      </c>
      <c r="D202" t="s">
        <v>384</v>
      </c>
      <c r="E202" t="s">
        <v>385</v>
      </c>
      <c r="F202" s="8">
        <v>1</v>
      </c>
      <c r="G202" t="s">
        <v>386</v>
      </c>
      <c r="H202" s="7">
        <v>2100</v>
      </c>
      <c r="I202" t="s">
        <v>233</v>
      </c>
      <c r="J202" t="s">
        <v>234</v>
      </c>
      <c r="K202" s="9">
        <v>400</v>
      </c>
      <c r="L202" s="9">
        <v>5.25</v>
      </c>
      <c r="M202" s="20">
        <v>46311</v>
      </c>
      <c r="N202" t="s">
        <v>18</v>
      </c>
      <c r="O202" t="s">
        <v>18</v>
      </c>
      <c r="P202">
        <v>1</v>
      </c>
      <c r="Q202" s="7">
        <v>0</v>
      </c>
    </row>
    <row r="203" spans="1:17" x14ac:dyDescent="0.25">
      <c r="A203" t="s">
        <v>721</v>
      </c>
      <c r="B203" t="s">
        <v>240</v>
      </c>
      <c r="C203" s="19">
        <v>46312</v>
      </c>
      <c r="D203" t="s">
        <v>384</v>
      </c>
      <c r="E203" t="s">
        <v>385</v>
      </c>
      <c r="F203" s="8">
        <v>1</v>
      </c>
      <c r="G203" t="s">
        <v>386</v>
      </c>
      <c r="H203" s="7">
        <v>1940</v>
      </c>
      <c r="I203" t="s">
        <v>260</v>
      </c>
      <c r="J203" t="s">
        <v>261</v>
      </c>
      <c r="K203" s="9">
        <v>20</v>
      </c>
      <c r="L203" s="9">
        <v>97</v>
      </c>
      <c r="M203" s="20">
        <v>46312</v>
      </c>
      <c r="N203" t="s">
        <v>18</v>
      </c>
      <c r="O203" t="s">
        <v>18</v>
      </c>
      <c r="P203">
        <v>1</v>
      </c>
      <c r="Q203" s="7">
        <v>0</v>
      </c>
    </row>
    <row r="204" spans="1:17" x14ac:dyDescent="0.25">
      <c r="A204" t="s">
        <v>690</v>
      </c>
      <c r="B204" t="s">
        <v>184</v>
      </c>
      <c r="C204" s="19">
        <v>46314</v>
      </c>
      <c r="D204" t="s">
        <v>384</v>
      </c>
      <c r="E204" t="s">
        <v>385</v>
      </c>
      <c r="F204" s="8">
        <v>1</v>
      </c>
      <c r="G204" t="s">
        <v>386</v>
      </c>
      <c r="H204" s="7">
        <v>57500</v>
      </c>
      <c r="I204" t="s">
        <v>192</v>
      </c>
      <c r="J204" t="s">
        <v>193</v>
      </c>
      <c r="K204" s="9">
        <v>20</v>
      </c>
      <c r="L204" s="9">
        <v>2875</v>
      </c>
      <c r="M204" s="20">
        <v>46314</v>
      </c>
      <c r="N204" t="s">
        <v>18</v>
      </c>
      <c r="O204" t="s">
        <v>18</v>
      </c>
      <c r="P204">
        <v>1</v>
      </c>
      <c r="Q204" s="7">
        <v>0</v>
      </c>
    </row>
    <row r="205" spans="1:17" x14ac:dyDescent="0.25">
      <c r="A205" t="s">
        <v>691</v>
      </c>
      <c r="B205" t="s">
        <v>692</v>
      </c>
      <c r="C205" s="19">
        <v>46314</v>
      </c>
      <c r="D205" t="s">
        <v>384</v>
      </c>
      <c r="E205" t="s">
        <v>385</v>
      </c>
      <c r="F205" s="8">
        <v>1</v>
      </c>
      <c r="G205" t="s">
        <v>386</v>
      </c>
      <c r="H205" s="7">
        <v>450</v>
      </c>
      <c r="I205" t="s">
        <v>693</v>
      </c>
      <c r="J205" t="s">
        <v>694</v>
      </c>
      <c r="K205" s="9">
        <v>1</v>
      </c>
      <c r="L205" s="9">
        <v>450</v>
      </c>
      <c r="M205" s="20">
        <v>46314</v>
      </c>
      <c r="N205" t="s">
        <v>18</v>
      </c>
      <c r="O205" t="s">
        <v>18</v>
      </c>
      <c r="P205">
        <v>1</v>
      </c>
      <c r="Q205" s="7">
        <v>0</v>
      </c>
    </row>
    <row r="206" spans="1:17" x14ac:dyDescent="0.25">
      <c r="A206" t="s">
        <v>703</v>
      </c>
      <c r="B206" t="s">
        <v>48</v>
      </c>
      <c r="C206" s="19">
        <v>46314</v>
      </c>
      <c r="D206" t="s">
        <v>384</v>
      </c>
      <c r="E206" t="s">
        <v>385</v>
      </c>
      <c r="F206" s="8">
        <v>1</v>
      </c>
      <c r="G206" t="s">
        <v>386</v>
      </c>
      <c r="H206" s="7">
        <v>17500</v>
      </c>
      <c r="I206" t="s">
        <v>704</v>
      </c>
      <c r="J206" t="s">
        <v>705</v>
      </c>
      <c r="K206" s="9">
        <v>50</v>
      </c>
      <c r="L206" s="9">
        <v>350</v>
      </c>
      <c r="M206" s="20">
        <v>46314</v>
      </c>
      <c r="N206" t="s">
        <v>18</v>
      </c>
      <c r="O206" t="s">
        <v>18</v>
      </c>
      <c r="P206">
        <v>1</v>
      </c>
      <c r="Q206" s="7">
        <v>0</v>
      </c>
    </row>
    <row r="207" spans="1:17" x14ac:dyDescent="0.25">
      <c r="A207" t="s">
        <v>708</v>
      </c>
      <c r="B207" t="s">
        <v>48</v>
      </c>
      <c r="C207" s="19">
        <v>46314</v>
      </c>
      <c r="D207" t="s">
        <v>384</v>
      </c>
      <c r="E207" t="s">
        <v>385</v>
      </c>
      <c r="F207" s="8">
        <v>1</v>
      </c>
      <c r="G207" t="s">
        <v>386</v>
      </c>
      <c r="H207" s="7">
        <v>8556</v>
      </c>
      <c r="I207" t="s">
        <v>68</v>
      </c>
      <c r="J207" t="s">
        <v>709</v>
      </c>
      <c r="K207" s="9">
        <v>69</v>
      </c>
      <c r="L207" s="9">
        <v>124</v>
      </c>
      <c r="M207" s="20">
        <v>46314</v>
      </c>
      <c r="N207" t="s">
        <v>18</v>
      </c>
      <c r="O207" t="s">
        <v>18</v>
      </c>
      <c r="P207">
        <v>1</v>
      </c>
      <c r="Q207" s="7">
        <v>0</v>
      </c>
    </row>
    <row r="208" spans="1:17" x14ac:dyDescent="0.25">
      <c r="A208" t="s">
        <v>723</v>
      </c>
      <c r="B208" t="s">
        <v>595</v>
      </c>
      <c r="C208" s="19">
        <v>46315</v>
      </c>
      <c r="D208" t="s">
        <v>384</v>
      </c>
      <c r="E208" t="s">
        <v>385</v>
      </c>
      <c r="F208" s="8">
        <v>1</v>
      </c>
      <c r="G208" t="s">
        <v>386</v>
      </c>
      <c r="H208" s="7">
        <v>3000</v>
      </c>
      <c r="I208" t="s">
        <v>724</v>
      </c>
      <c r="J208" t="s">
        <v>725</v>
      </c>
      <c r="K208" s="9">
        <v>10</v>
      </c>
      <c r="L208" s="9">
        <v>300</v>
      </c>
      <c r="M208" s="20">
        <v>46315</v>
      </c>
      <c r="N208" t="s">
        <v>18</v>
      </c>
      <c r="O208" t="s">
        <v>18</v>
      </c>
      <c r="P208">
        <v>1</v>
      </c>
      <c r="Q208" s="7">
        <v>0</v>
      </c>
    </row>
    <row r="209" spans="1:17" x14ac:dyDescent="0.25">
      <c r="A209" t="s">
        <v>710</v>
      </c>
      <c r="B209" t="s">
        <v>285</v>
      </c>
      <c r="C209" s="19">
        <v>46317</v>
      </c>
      <c r="D209" t="s">
        <v>384</v>
      </c>
      <c r="E209" t="s">
        <v>385</v>
      </c>
      <c r="F209" s="8">
        <v>1</v>
      </c>
      <c r="G209" t="s">
        <v>386</v>
      </c>
      <c r="H209" s="7">
        <v>57178</v>
      </c>
      <c r="I209" t="s">
        <v>287</v>
      </c>
      <c r="J209" t="s">
        <v>675</v>
      </c>
      <c r="K209" s="9">
        <v>506</v>
      </c>
      <c r="L209" s="9">
        <v>113</v>
      </c>
      <c r="M209" s="20">
        <v>46317</v>
      </c>
      <c r="N209" t="s">
        <v>18</v>
      </c>
      <c r="O209" t="s">
        <v>18</v>
      </c>
      <c r="P209">
        <v>1</v>
      </c>
      <c r="Q209" s="7">
        <v>0</v>
      </c>
    </row>
    <row r="210" spans="1:17" x14ac:dyDescent="0.25">
      <c r="A210" t="s">
        <v>711</v>
      </c>
      <c r="B210" t="s">
        <v>426</v>
      </c>
      <c r="C210" s="19">
        <v>46317</v>
      </c>
      <c r="D210" t="s">
        <v>384</v>
      </c>
      <c r="E210" t="s">
        <v>385</v>
      </c>
      <c r="F210" s="8">
        <v>1</v>
      </c>
      <c r="G210" t="s">
        <v>386</v>
      </c>
      <c r="H210" s="7">
        <v>3</v>
      </c>
      <c r="I210" t="s">
        <v>712</v>
      </c>
      <c r="J210" t="s">
        <v>713</v>
      </c>
      <c r="K210" s="9">
        <v>1</v>
      </c>
      <c r="L210" s="9">
        <v>3</v>
      </c>
      <c r="M210" s="20">
        <v>46317</v>
      </c>
      <c r="N210" t="s">
        <v>388</v>
      </c>
      <c r="O210" t="s">
        <v>388</v>
      </c>
      <c r="P210">
        <v>1</v>
      </c>
      <c r="Q210" s="7">
        <v>0</v>
      </c>
    </row>
    <row r="211" spans="1:17" x14ac:dyDescent="0.25">
      <c r="A211" s="21" t="str" cm="1">
        <f t="array" ref="A211">UPPER(LOOKUP(2,1/(A$1:INDEX(A:A,ROW()-1)&lt;&gt;""),A$1:INDEX(A:A,ROW()-1)))</f>
        <v>PUR-ORD-2026-00049</v>
      </c>
      <c r="B211" s="21" t="str" cm="1">
        <f t="array" ref="B211">LOOKUP(2,1/(B$1:INDEX(B:B,ROW()-1)&lt;&gt;""),B$1:INDEX(B:B,ROW()-1))</f>
        <v>MR MD For Project Management Services EST</v>
      </c>
      <c r="H211" s="7">
        <v>31500</v>
      </c>
      <c r="I211" t="s">
        <v>399</v>
      </c>
      <c r="J211" t="s">
        <v>130</v>
      </c>
      <c r="K211" s="9">
        <v>3000</v>
      </c>
      <c r="L211" s="9">
        <v>10.5</v>
      </c>
      <c r="M211" s="20">
        <v>46142</v>
      </c>
      <c r="N211" t="s">
        <v>398</v>
      </c>
      <c r="O211" t="s">
        <v>398</v>
      </c>
      <c r="P211">
        <v>1</v>
      </c>
      <c r="Q211" s="7">
        <v>0</v>
      </c>
    </row>
    <row r="212" spans="1:17" x14ac:dyDescent="0.25">
      <c r="A212" s="21" t="str" cm="1">
        <f t="array" ref="A212">UPPER(LOOKUP(2,1/(A$1:INDEX(A:A,ROW()-1)&lt;&gt;""),A$1:INDEX(A:A,ROW()-1)))</f>
        <v>PUR-ORD-2026-00049</v>
      </c>
      <c r="B212" s="21" t="str" cm="1">
        <f t="array" ref="B212">LOOKUP(2,1/(B$1:INDEX(B:B,ROW()-1)&lt;&gt;""),B$1:INDEX(B:B,ROW()-1))</f>
        <v>MR MD For Project Management Services EST</v>
      </c>
      <c r="H212" s="7">
        <v>360</v>
      </c>
      <c r="I212" t="s">
        <v>405</v>
      </c>
      <c r="J212" t="s">
        <v>406</v>
      </c>
      <c r="K212" s="9">
        <v>90</v>
      </c>
      <c r="L212" s="9">
        <v>4</v>
      </c>
      <c r="M212" s="20">
        <v>46134</v>
      </c>
      <c r="N212" t="s">
        <v>18</v>
      </c>
      <c r="O212" t="s">
        <v>18</v>
      </c>
      <c r="P212">
        <v>1</v>
      </c>
      <c r="Q212" s="7">
        <v>0</v>
      </c>
    </row>
    <row r="213" spans="1:17" x14ac:dyDescent="0.25">
      <c r="A213" s="21" t="str" cm="1">
        <f t="array" ref="A213">UPPER(LOOKUP(2,1/(A$1:INDEX(A:A,ROW()-1)&lt;&gt;""),A$1:INDEX(A:A,ROW()-1)))</f>
        <v>PUR-ORD-2026-00049</v>
      </c>
      <c r="B213" s="21" t="str" cm="1">
        <f t="array" ref="B213">LOOKUP(2,1/(B$1:INDEX(B:B,ROW()-1)&lt;&gt;""),B$1:INDEX(B:B,ROW()-1))</f>
        <v>MR MD For Project Management Services EST</v>
      </c>
      <c r="H213" s="7">
        <v>30</v>
      </c>
      <c r="I213" t="s">
        <v>29</v>
      </c>
      <c r="J213" t="s">
        <v>30</v>
      </c>
      <c r="K213" s="9">
        <v>20</v>
      </c>
      <c r="L213" s="9">
        <v>1.5</v>
      </c>
      <c r="M213" s="20">
        <v>46134</v>
      </c>
      <c r="N213" t="s">
        <v>18</v>
      </c>
      <c r="O213" t="s">
        <v>18</v>
      </c>
      <c r="P213">
        <v>1</v>
      </c>
      <c r="Q213" s="7">
        <v>0</v>
      </c>
    </row>
    <row r="214" spans="1:17" x14ac:dyDescent="0.25">
      <c r="A214" s="21" t="str" cm="1">
        <f t="array" ref="A214">UPPER(LOOKUP(2,1/(A$1:INDEX(A:A,ROW()-1)&lt;&gt;""),A$1:INDEX(A:A,ROW()-1)))</f>
        <v>PUR-ORD-2026-00049</v>
      </c>
      <c r="B214" s="21" t="str" cm="1">
        <f t="array" ref="B214">LOOKUP(2,1/(B$1:INDEX(B:B,ROW()-1)&lt;&gt;""),B$1:INDEX(B:B,ROW()-1))</f>
        <v>MR MD For Project Management Services EST</v>
      </c>
      <c r="H214" s="7">
        <v>30</v>
      </c>
      <c r="I214" t="s">
        <v>31</v>
      </c>
      <c r="J214" t="s">
        <v>32</v>
      </c>
      <c r="K214" s="9">
        <v>60</v>
      </c>
      <c r="L214" s="9">
        <v>0.5</v>
      </c>
      <c r="M214" s="20">
        <v>46134</v>
      </c>
      <c r="N214" t="s">
        <v>18</v>
      </c>
      <c r="O214" t="s">
        <v>18</v>
      </c>
      <c r="P214">
        <v>1</v>
      </c>
      <c r="Q214" s="7">
        <v>0</v>
      </c>
    </row>
    <row r="215" spans="1:17" x14ac:dyDescent="0.25">
      <c r="A215" s="21" t="str" cm="1">
        <f t="array" ref="A215">UPPER(LOOKUP(2,1/(A$1:INDEX(A:A,ROW()-1)&lt;&gt;""),A$1:INDEX(A:A,ROW()-1)))</f>
        <v>PUR-ORD-2026-00049</v>
      </c>
      <c r="B215" s="21" t="str" cm="1">
        <f t="array" ref="B215">LOOKUP(2,1/(B$1:INDEX(B:B,ROW()-1)&lt;&gt;""),B$1:INDEX(B:B,ROW()-1))</f>
        <v>MR MD For Project Management Services EST</v>
      </c>
      <c r="H215" s="7">
        <v>10000</v>
      </c>
      <c r="I215" t="s">
        <v>312</v>
      </c>
      <c r="J215" t="s">
        <v>312</v>
      </c>
      <c r="K215" s="9">
        <v>100</v>
      </c>
      <c r="L215" s="9">
        <v>100</v>
      </c>
      <c r="M215" s="20">
        <v>46173</v>
      </c>
      <c r="N215" t="s">
        <v>394</v>
      </c>
      <c r="O215" t="s">
        <v>394</v>
      </c>
      <c r="P215">
        <v>1</v>
      </c>
      <c r="Q215" s="7">
        <v>0</v>
      </c>
    </row>
    <row r="216" spans="1:17" x14ac:dyDescent="0.25">
      <c r="A216" s="21" t="str" cm="1">
        <f t="array" ref="A216">UPPER(LOOKUP(2,1/(A$1:INDEX(A:A,ROW()-1)&lt;&gt;""),A$1:INDEX(A:A,ROW()-1)))</f>
        <v>PUR-ORD-2026-00049</v>
      </c>
      <c r="B216" s="21" t="str" cm="1">
        <f t="array" ref="B216">LOOKUP(2,1/(B$1:INDEX(B:B,ROW()-1)&lt;&gt;""),B$1:INDEX(B:B,ROW()-1))</f>
        <v>MR MD For Project Management Services EST</v>
      </c>
      <c r="H216" s="7">
        <v>5</v>
      </c>
      <c r="I216" t="s">
        <v>410</v>
      </c>
      <c r="J216" t="s">
        <v>410</v>
      </c>
      <c r="K216" s="9">
        <v>1</v>
      </c>
      <c r="L216" s="9">
        <v>5</v>
      </c>
      <c r="M216" s="20">
        <v>46176</v>
      </c>
      <c r="N216" t="s">
        <v>18</v>
      </c>
      <c r="O216" t="s">
        <v>388</v>
      </c>
      <c r="P216">
        <v>1</v>
      </c>
      <c r="Q216" s="7">
        <v>0</v>
      </c>
    </row>
    <row r="217" spans="1:17" x14ac:dyDescent="0.25">
      <c r="A217" s="21" t="str" cm="1">
        <f t="array" ref="A217">UPPER(LOOKUP(2,1/(A$1:INDEX(A:A,ROW()-1)&lt;&gt;""),A$1:INDEX(A:A,ROW()-1)))</f>
        <v>PUR-ORD-2026-00049</v>
      </c>
      <c r="B217" s="21" t="str" cm="1">
        <f t="array" ref="B217">LOOKUP(2,1/(B$1:INDEX(B:B,ROW()-1)&lt;&gt;""),B$1:INDEX(B:B,ROW()-1))</f>
        <v>MR MD For Project Management Services EST</v>
      </c>
      <c r="H217" s="7">
        <v>350</v>
      </c>
      <c r="I217" t="s">
        <v>411</v>
      </c>
      <c r="J217" t="s">
        <v>114</v>
      </c>
      <c r="K217" s="9">
        <v>1</v>
      </c>
      <c r="L217" s="9">
        <v>350</v>
      </c>
      <c r="M217" s="20">
        <v>46203</v>
      </c>
      <c r="N217" t="s">
        <v>283</v>
      </c>
      <c r="O217" t="s">
        <v>283</v>
      </c>
      <c r="P217">
        <v>1</v>
      </c>
      <c r="Q217" s="7">
        <v>0</v>
      </c>
    </row>
    <row r="218" spans="1:17" x14ac:dyDescent="0.25">
      <c r="A218" s="21" t="str" cm="1">
        <f t="array" ref="A218">UPPER(LOOKUP(2,1/(A$1:INDEX(A:A,ROW()-1)&lt;&gt;""),A$1:INDEX(A:A,ROW()-1)))</f>
        <v>PUR-ORD-2026-00049</v>
      </c>
      <c r="B218" s="21" t="str" cm="1">
        <f t="array" ref="B218">LOOKUP(2,1/(B$1:INDEX(B:B,ROW()-1)&lt;&gt;""),B$1:INDEX(B:B,ROW()-1))</f>
        <v>MR MD For Project Management Services EST</v>
      </c>
      <c r="H218" s="7">
        <v>3.5</v>
      </c>
      <c r="I218" t="s">
        <v>417</v>
      </c>
      <c r="J218" t="s">
        <v>418</v>
      </c>
      <c r="K218" s="9">
        <v>1</v>
      </c>
      <c r="L218" s="9">
        <v>3.5</v>
      </c>
      <c r="M218" s="20">
        <v>46203</v>
      </c>
      <c r="N218" t="s">
        <v>18</v>
      </c>
      <c r="O218" t="s">
        <v>18</v>
      </c>
      <c r="P218">
        <v>1</v>
      </c>
      <c r="Q218" s="7">
        <v>0</v>
      </c>
    </row>
    <row r="219" spans="1:17" x14ac:dyDescent="0.25">
      <c r="A219" s="21" t="str" cm="1">
        <f t="array" ref="A219">UPPER(LOOKUP(2,1/(A$1:INDEX(A:A,ROW()-1)&lt;&gt;""),A$1:INDEX(A:A,ROW()-1)))</f>
        <v>PUR-ORD-2026-00049</v>
      </c>
      <c r="B219" s="21" t="str" cm="1">
        <f t="array" ref="B219">LOOKUP(2,1/(B$1:INDEX(B:B,ROW()-1)&lt;&gt;""),B$1:INDEX(B:B,ROW()-1))</f>
        <v>MR MD For Project Management Services EST</v>
      </c>
      <c r="H219" s="7">
        <v>2</v>
      </c>
      <c r="I219" t="s">
        <v>417</v>
      </c>
      <c r="J219" t="s">
        <v>418</v>
      </c>
      <c r="K219" s="9">
        <v>1</v>
      </c>
      <c r="L219" s="9">
        <v>2</v>
      </c>
      <c r="M219" s="20">
        <v>46203</v>
      </c>
      <c r="N219" t="s">
        <v>18</v>
      </c>
      <c r="O219" t="s">
        <v>18</v>
      </c>
      <c r="P219">
        <v>1</v>
      </c>
      <c r="Q219" s="7">
        <v>0</v>
      </c>
    </row>
    <row r="220" spans="1:17" x14ac:dyDescent="0.25">
      <c r="A220" s="21" t="str" cm="1">
        <f t="array" ref="A220">UPPER(LOOKUP(2,1/(A$1:INDEX(A:A,ROW()-1)&lt;&gt;""),A$1:INDEX(A:A,ROW()-1)))</f>
        <v>PUR-ORD-2026-00049</v>
      </c>
      <c r="B220" s="21" t="str" cm="1">
        <f t="array" ref="B220">LOOKUP(2,1/(B$1:INDEX(B:B,ROW()-1)&lt;&gt;""),B$1:INDEX(B:B,ROW()-1))</f>
        <v>MR MD For Project Management Services EST</v>
      </c>
      <c r="H220" s="7">
        <v>2</v>
      </c>
      <c r="I220" t="s">
        <v>417</v>
      </c>
      <c r="J220" t="s">
        <v>418</v>
      </c>
      <c r="K220" s="9">
        <v>1</v>
      </c>
      <c r="L220" s="9">
        <v>2</v>
      </c>
      <c r="M220" s="20">
        <v>46203</v>
      </c>
      <c r="N220" t="s">
        <v>18</v>
      </c>
      <c r="O220" t="s">
        <v>18</v>
      </c>
      <c r="P220">
        <v>1</v>
      </c>
      <c r="Q220" s="7">
        <v>0</v>
      </c>
    </row>
    <row r="221" spans="1:17" x14ac:dyDescent="0.25">
      <c r="A221" s="21" t="str" cm="1">
        <f t="array" ref="A221">UPPER(LOOKUP(2,1/(A$1:INDEX(A:A,ROW()-1)&lt;&gt;""),A$1:INDEX(A:A,ROW()-1)))</f>
        <v>PUR-ORD-2026-00049</v>
      </c>
      <c r="B221" s="21" t="str" cm="1">
        <f t="array" ref="B221">LOOKUP(2,1/(B$1:INDEX(B:B,ROW()-1)&lt;&gt;""),B$1:INDEX(B:B,ROW()-1))</f>
        <v>MR MD For Project Management Services EST</v>
      </c>
      <c r="H221" s="7">
        <v>3</v>
      </c>
      <c r="I221" t="s">
        <v>417</v>
      </c>
      <c r="J221" t="s">
        <v>418</v>
      </c>
      <c r="K221" s="9">
        <v>1</v>
      </c>
      <c r="L221" s="9">
        <v>3</v>
      </c>
      <c r="M221" s="20">
        <v>46234</v>
      </c>
      <c r="N221" t="s">
        <v>18</v>
      </c>
      <c r="O221" t="s">
        <v>388</v>
      </c>
      <c r="P221">
        <v>1</v>
      </c>
      <c r="Q221" s="7">
        <v>0</v>
      </c>
    </row>
    <row r="222" spans="1:17" x14ac:dyDescent="0.25">
      <c r="A222" s="21" t="str" cm="1">
        <f t="array" ref="A222">UPPER(LOOKUP(2,1/(A$1:INDEX(A:A,ROW()-1)&lt;&gt;""),A$1:INDEX(A:A,ROW()-1)))</f>
        <v>PUR-ORD-2026-00049</v>
      </c>
      <c r="B222" s="21" t="str" cm="1">
        <f t="array" ref="B222">LOOKUP(2,1/(B$1:INDEX(B:B,ROW()-1)&lt;&gt;""),B$1:INDEX(B:B,ROW()-1))</f>
        <v>MR MD For Project Management Services EST</v>
      </c>
      <c r="H222" s="7">
        <v>2</v>
      </c>
      <c r="I222" t="s">
        <v>417</v>
      </c>
      <c r="J222" t="s">
        <v>418</v>
      </c>
      <c r="K222" s="9">
        <v>1</v>
      </c>
      <c r="L222" s="9">
        <v>2</v>
      </c>
      <c r="M222" s="20">
        <v>46234</v>
      </c>
      <c r="N222" t="s">
        <v>18</v>
      </c>
      <c r="O222" t="s">
        <v>388</v>
      </c>
      <c r="P222">
        <v>1</v>
      </c>
      <c r="Q222" s="7">
        <v>0</v>
      </c>
    </row>
    <row r="223" spans="1:17" x14ac:dyDescent="0.25">
      <c r="A223" s="21" t="str" cm="1">
        <f t="array" ref="A223">UPPER(LOOKUP(2,1/(A$1:INDEX(A:A,ROW()-1)&lt;&gt;""),A$1:INDEX(A:A,ROW()-1)))</f>
        <v>PUR-ORD-2026-00049</v>
      </c>
      <c r="B223" s="21" t="str" cm="1">
        <f t="array" ref="B223">LOOKUP(2,1/(B$1:INDEX(B:B,ROW()-1)&lt;&gt;""),B$1:INDEX(B:B,ROW()-1))</f>
        <v>MR MD For Project Management Services EST</v>
      </c>
      <c r="H223" s="7">
        <v>4</v>
      </c>
      <c r="I223" t="s">
        <v>417</v>
      </c>
      <c r="J223" t="s">
        <v>418</v>
      </c>
      <c r="K223" s="9">
        <v>1</v>
      </c>
      <c r="L223" s="9">
        <v>4</v>
      </c>
      <c r="M223" s="20">
        <v>46234</v>
      </c>
      <c r="N223" t="s">
        <v>18</v>
      </c>
      <c r="O223" t="s">
        <v>388</v>
      </c>
      <c r="P223">
        <v>1</v>
      </c>
      <c r="Q223" s="7">
        <v>0</v>
      </c>
    </row>
    <row r="224" spans="1:17" x14ac:dyDescent="0.25">
      <c r="A224" s="21" t="str" cm="1">
        <f t="array" ref="A224">UPPER(LOOKUP(2,1/(A$1:INDEX(A:A,ROW()-1)&lt;&gt;""),A$1:INDEX(A:A,ROW()-1)))</f>
        <v>PUR-ORD-2026-00049</v>
      </c>
      <c r="B224" s="21" t="str" cm="1">
        <f t="array" ref="B224">LOOKUP(2,1/(B$1:INDEX(B:B,ROW()-1)&lt;&gt;""),B$1:INDEX(B:B,ROW()-1))</f>
        <v>MR MD For Project Management Services EST</v>
      </c>
      <c r="H224" s="7">
        <v>4</v>
      </c>
      <c r="I224" t="s">
        <v>417</v>
      </c>
      <c r="J224" t="s">
        <v>418</v>
      </c>
      <c r="K224" s="9">
        <v>1</v>
      </c>
      <c r="L224" s="9">
        <v>4</v>
      </c>
      <c r="M224" s="20">
        <v>46234</v>
      </c>
      <c r="N224" t="s">
        <v>18</v>
      </c>
      <c r="O224" t="s">
        <v>388</v>
      </c>
      <c r="P224">
        <v>1</v>
      </c>
      <c r="Q224" s="7">
        <v>0</v>
      </c>
    </row>
    <row r="225" spans="1:17" x14ac:dyDescent="0.25">
      <c r="A225" s="21" t="str" cm="1">
        <f t="array" ref="A225">UPPER(LOOKUP(2,1/(A$1:INDEX(A:A,ROW()-1)&lt;&gt;""),A$1:INDEX(A:A,ROW()-1)))</f>
        <v>PUR-ORD-2026-00049</v>
      </c>
      <c r="B225" s="21" t="str" cm="1">
        <f t="array" ref="B225">LOOKUP(2,1/(B$1:INDEX(B:B,ROW()-1)&lt;&gt;""),B$1:INDEX(B:B,ROW()-1))</f>
        <v>MR MD For Project Management Services EST</v>
      </c>
      <c r="H225" s="7">
        <v>9</v>
      </c>
      <c r="I225" t="s">
        <v>410</v>
      </c>
      <c r="J225" t="s">
        <v>410</v>
      </c>
      <c r="K225" s="9">
        <v>1</v>
      </c>
      <c r="L225" s="9">
        <v>9</v>
      </c>
      <c r="M225" s="20">
        <v>46234</v>
      </c>
      <c r="N225" t="s">
        <v>18</v>
      </c>
      <c r="O225" t="s">
        <v>388</v>
      </c>
      <c r="P225">
        <v>1</v>
      </c>
      <c r="Q225" s="7">
        <v>0</v>
      </c>
    </row>
    <row r="226" spans="1:17" x14ac:dyDescent="0.25">
      <c r="A226" s="21" t="str" cm="1">
        <f t="array" ref="A226">UPPER(LOOKUP(2,1/(A$1:INDEX(A:A,ROW()-1)&lt;&gt;""),A$1:INDEX(A:A,ROW()-1)))</f>
        <v>PUR-ORD-2026-00049</v>
      </c>
      <c r="B226" s="21" t="str" cm="1">
        <f t="array" ref="B226">LOOKUP(2,1/(B$1:INDEX(B:B,ROW()-1)&lt;&gt;""),B$1:INDEX(B:B,ROW()-1))</f>
        <v>MR MD For Project Management Services EST</v>
      </c>
      <c r="H226" s="7">
        <v>2</v>
      </c>
      <c r="I226" t="s">
        <v>410</v>
      </c>
      <c r="J226" t="s">
        <v>410</v>
      </c>
      <c r="K226" s="9">
        <v>1</v>
      </c>
      <c r="L226" s="9">
        <v>2</v>
      </c>
      <c r="M226" s="20">
        <v>46234</v>
      </c>
      <c r="N226" t="s">
        <v>18</v>
      </c>
      <c r="O226" t="s">
        <v>388</v>
      </c>
      <c r="P226">
        <v>1</v>
      </c>
      <c r="Q226" s="7">
        <v>0</v>
      </c>
    </row>
    <row r="227" spans="1:17" x14ac:dyDescent="0.25">
      <c r="A227" s="21" t="str" cm="1">
        <f t="array" ref="A227">UPPER(LOOKUP(2,1/(A$1:INDEX(A:A,ROW()-1)&lt;&gt;""),A$1:INDEX(A:A,ROW()-1)))</f>
        <v>PUR-ORD-2026-00049</v>
      </c>
      <c r="B227" s="21" t="str" cm="1">
        <f t="array" ref="B227">LOOKUP(2,1/(B$1:INDEX(B:B,ROW()-1)&lt;&gt;""),B$1:INDEX(B:B,ROW()-1))</f>
        <v>MR MD For Project Management Services EST</v>
      </c>
      <c r="H227" s="7">
        <v>4.5</v>
      </c>
      <c r="I227" t="s">
        <v>429</v>
      </c>
      <c r="J227" t="s">
        <v>429</v>
      </c>
      <c r="K227" s="9">
        <v>1</v>
      </c>
      <c r="L227" s="9">
        <v>4.5</v>
      </c>
      <c r="M227" s="20">
        <v>46234</v>
      </c>
      <c r="N227" t="s">
        <v>18</v>
      </c>
      <c r="O227" t="s">
        <v>388</v>
      </c>
      <c r="P227">
        <v>1</v>
      </c>
      <c r="Q227" s="7">
        <v>0</v>
      </c>
    </row>
    <row r="228" spans="1:17" x14ac:dyDescent="0.25">
      <c r="A228" s="21" t="str" cm="1">
        <f t="array" ref="A228">UPPER(LOOKUP(2,1/(A$1:INDEX(A:A,ROW()-1)&lt;&gt;""),A$1:INDEX(A:A,ROW()-1)))</f>
        <v>PUR-ORD-2026-00049</v>
      </c>
      <c r="B228" s="21" t="str" cm="1">
        <f t="array" ref="B228">LOOKUP(2,1/(B$1:INDEX(B:B,ROW()-1)&lt;&gt;""),B$1:INDEX(B:B,ROW()-1))</f>
        <v>MR MD For Project Management Services EST</v>
      </c>
      <c r="H228" s="7">
        <v>9</v>
      </c>
      <c r="I228" t="s">
        <v>429</v>
      </c>
      <c r="J228" t="s">
        <v>429</v>
      </c>
      <c r="K228" s="9">
        <v>1</v>
      </c>
      <c r="L228" s="9">
        <v>9</v>
      </c>
      <c r="M228" s="20">
        <v>46234</v>
      </c>
      <c r="N228" t="s">
        <v>18</v>
      </c>
      <c r="O228" t="s">
        <v>388</v>
      </c>
      <c r="P228">
        <v>1</v>
      </c>
      <c r="Q228" s="7">
        <v>0</v>
      </c>
    </row>
    <row r="229" spans="1:17" x14ac:dyDescent="0.25">
      <c r="A229" s="21" t="str" cm="1">
        <f t="array" ref="A229">UPPER(LOOKUP(2,1/(A$1:INDEX(A:A,ROW()-1)&lt;&gt;""),A$1:INDEX(A:A,ROW()-1)))</f>
        <v>PUR-ORD-2026-00049</v>
      </c>
      <c r="B229" s="21" t="str" cm="1">
        <f t="array" ref="B229">LOOKUP(2,1/(B$1:INDEX(B:B,ROW()-1)&lt;&gt;""),B$1:INDEX(B:B,ROW()-1))</f>
        <v>MR MD For Project Management Services EST</v>
      </c>
      <c r="H229" s="7">
        <v>3.5</v>
      </c>
      <c r="I229" t="s">
        <v>429</v>
      </c>
      <c r="J229" t="s">
        <v>429</v>
      </c>
      <c r="K229" s="9">
        <v>1</v>
      </c>
      <c r="L229" s="9">
        <v>3.5</v>
      </c>
      <c r="M229" s="20">
        <v>46234</v>
      </c>
      <c r="N229" t="s">
        <v>18</v>
      </c>
      <c r="O229" t="s">
        <v>388</v>
      </c>
      <c r="P229">
        <v>1</v>
      </c>
      <c r="Q229" s="7">
        <v>0</v>
      </c>
    </row>
    <row r="230" spans="1:17" x14ac:dyDescent="0.25">
      <c r="A230" s="21" t="str" cm="1">
        <f t="array" ref="A230">UPPER(LOOKUP(2,1/(A$1:INDEX(A:A,ROW()-1)&lt;&gt;""),A$1:INDEX(A:A,ROW()-1)))</f>
        <v>PUR-ORD-2026-00049</v>
      </c>
      <c r="B230" s="21" t="str" cm="1">
        <f t="array" ref="B230">LOOKUP(2,1/(B$1:INDEX(B:B,ROW()-1)&lt;&gt;""),B$1:INDEX(B:B,ROW()-1))</f>
        <v>MR MD For Project Management Services EST</v>
      </c>
      <c r="H230" s="7">
        <v>1</v>
      </c>
      <c r="I230" t="s">
        <v>417</v>
      </c>
      <c r="J230" t="s">
        <v>418</v>
      </c>
      <c r="K230" s="9">
        <v>1</v>
      </c>
      <c r="L230" s="9">
        <v>1</v>
      </c>
      <c r="M230" s="20">
        <v>46234</v>
      </c>
      <c r="N230" t="s">
        <v>18</v>
      </c>
      <c r="O230" t="s">
        <v>388</v>
      </c>
      <c r="P230">
        <v>1</v>
      </c>
      <c r="Q230" s="7">
        <v>0</v>
      </c>
    </row>
    <row r="231" spans="1:17" x14ac:dyDescent="0.25">
      <c r="A231" s="21" t="str" cm="1">
        <f t="array" ref="A231">UPPER(LOOKUP(2,1/(A$1:INDEX(A:A,ROW()-1)&lt;&gt;""),A$1:INDEX(A:A,ROW()-1)))</f>
        <v>PUR-ORD-2026-00049</v>
      </c>
      <c r="B231" s="21" t="str" cm="1">
        <f t="array" ref="B231">LOOKUP(2,1/(B$1:INDEX(B:B,ROW()-1)&lt;&gt;""),B$1:INDEX(B:B,ROW()-1))</f>
        <v>MR MD For Project Management Services EST</v>
      </c>
      <c r="H231" s="7">
        <v>3.5</v>
      </c>
      <c r="I231" t="s">
        <v>417</v>
      </c>
      <c r="J231" t="s">
        <v>418</v>
      </c>
      <c r="K231" s="9">
        <v>1</v>
      </c>
      <c r="L231" s="9">
        <v>3.5</v>
      </c>
      <c r="M231" s="20">
        <v>46234</v>
      </c>
      <c r="N231" t="s">
        <v>18</v>
      </c>
      <c r="O231" t="s">
        <v>388</v>
      </c>
      <c r="P231">
        <v>1</v>
      </c>
      <c r="Q231" s="7">
        <v>0</v>
      </c>
    </row>
    <row r="232" spans="1:17" x14ac:dyDescent="0.25">
      <c r="A232" s="21" t="str" cm="1">
        <f t="array" ref="A232">UPPER(LOOKUP(2,1/(A$1:INDEX(A:A,ROW()-1)&lt;&gt;""),A$1:INDEX(A:A,ROW()-1)))</f>
        <v>PUR-ORD-2026-00049</v>
      </c>
      <c r="B232" s="21" t="str" cm="1">
        <f t="array" ref="B232">LOOKUP(2,1/(B$1:INDEX(B:B,ROW()-1)&lt;&gt;""),B$1:INDEX(B:B,ROW()-1))</f>
        <v>MR MD For Project Management Services EST</v>
      </c>
      <c r="H232" s="7">
        <v>4</v>
      </c>
      <c r="I232" t="s">
        <v>417</v>
      </c>
      <c r="J232" t="s">
        <v>418</v>
      </c>
      <c r="K232" s="9">
        <v>1</v>
      </c>
      <c r="L232" s="9">
        <v>4</v>
      </c>
      <c r="M232" s="20">
        <v>46234</v>
      </c>
      <c r="N232" t="s">
        <v>18</v>
      </c>
      <c r="O232" t="s">
        <v>388</v>
      </c>
      <c r="P232">
        <v>1</v>
      </c>
      <c r="Q232" s="7">
        <v>0</v>
      </c>
    </row>
    <row r="233" spans="1:17" x14ac:dyDescent="0.25">
      <c r="A233" s="21" t="str" cm="1">
        <f t="array" ref="A233">UPPER(LOOKUP(2,1/(A$1:INDEX(A:A,ROW()-1)&lt;&gt;""),A$1:INDEX(A:A,ROW()-1)))</f>
        <v>PUR-ORD-2026-00049</v>
      </c>
      <c r="B233" s="21" t="str" cm="1">
        <f t="array" ref="B233">LOOKUP(2,1/(B$1:INDEX(B:B,ROW()-1)&lt;&gt;""),B$1:INDEX(B:B,ROW()-1))</f>
        <v>MR MD For Project Management Services EST</v>
      </c>
      <c r="H233" s="7">
        <v>2</v>
      </c>
      <c r="I233" t="s">
        <v>417</v>
      </c>
      <c r="J233" t="s">
        <v>418</v>
      </c>
      <c r="K233" s="9">
        <v>1</v>
      </c>
      <c r="L233" s="9">
        <v>2</v>
      </c>
      <c r="M233" s="20">
        <v>46234</v>
      </c>
      <c r="N233" t="s">
        <v>18</v>
      </c>
      <c r="O233" t="s">
        <v>388</v>
      </c>
      <c r="P233">
        <v>1</v>
      </c>
      <c r="Q233" s="7">
        <v>0</v>
      </c>
    </row>
    <row r="234" spans="1:17" x14ac:dyDescent="0.25">
      <c r="A234" s="21" t="str" cm="1">
        <f t="array" ref="A234">UPPER(LOOKUP(2,1/(A$1:INDEX(A:A,ROW()-1)&lt;&gt;""),A$1:INDEX(A:A,ROW()-1)))</f>
        <v>PUR-ORD-2026-00049</v>
      </c>
      <c r="B234" s="21" t="str" cm="1">
        <f t="array" ref="B234">LOOKUP(2,1/(B$1:INDEX(B:B,ROW()-1)&lt;&gt;""),B$1:INDEX(B:B,ROW()-1))</f>
        <v>MR MD For Project Management Services EST</v>
      </c>
      <c r="H234" s="7">
        <v>2</v>
      </c>
      <c r="I234" t="s">
        <v>417</v>
      </c>
      <c r="J234" t="s">
        <v>418</v>
      </c>
      <c r="K234" s="9">
        <v>1</v>
      </c>
      <c r="L234" s="9">
        <v>2</v>
      </c>
      <c r="M234" s="20">
        <v>46234</v>
      </c>
      <c r="N234" t="s">
        <v>18</v>
      </c>
      <c r="O234" t="s">
        <v>388</v>
      </c>
      <c r="P234">
        <v>1</v>
      </c>
      <c r="Q234" s="7">
        <v>0</v>
      </c>
    </row>
    <row r="235" spans="1:17" x14ac:dyDescent="0.25">
      <c r="A235" s="21" t="str" cm="1">
        <f t="array" ref="A235">UPPER(LOOKUP(2,1/(A$1:INDEX(A:A,ROW()-1)&lt;&gt;""),A$1:INDEX(A:A,ROW()-1)))</f>
        <v>PUR-ORD-2026-00049</v>
      </c>
      <c r="B235" s="21" t="str" cm="1">
        <f t="array" ref="B235">LOOKUP(2,1/(B$1:INDEX(B:B,ROW()-1)&lt;&gt;""),B$1:INDEX(B:B,ROW()-1))</f>
        <v>MR MD For Project Management Services EST</v>
      </c>
      <c r="H235" s="7">
        <v>3</v>
      </c>
      <c r="I235" t="s">
        <v>417</v>
      </c>
      <c r="J235" t="s">
        <v>418</v>
      </c>
      <c r="K235" s="9">
        <v>1</v>
      </c>
      <c r="L235" s="9">
        <v>3</v>
      </c>
      <c r="M235" s="20">
        <v>46234</v>
      </c>
      <c r="N235" t="s">
        <v>18</v>
      </c>
      <c r="O235" t="s">
        <v>388</v>
      </c>
      <c r="P235">
        <v>1</v>
      </c>
      <c r="Q235" s="7">
        <v>0</v>
      </c>
    </row>
    <row r="236" spans="1:17" x14ac:dyDescent="0.25">
      <c r="A236" s="21" t="str" cm="1">
        <f t="array" ref="A236">UPPER(LOOKUP(2,1/(A$1:INDEX(A:A,ROW()-1)&lt;&gt;""),A$1:INDEX(A:A,ROW()-1)))</f>
        <v>PUR-ORD-2026-00049</v>
      </c>
      <c r="B236" s="21" t="str" cm="1">
        <f t="array" ref="B236">LOOKUP(2,1/(B$1:INDEX(B:B,ROW()-1)&lt;&gt;""),B$1:INDEX(B:B,ROW()-1))</f>
        <v>MR MD For Project Management Services EST</v>
      </c>
      <c r="H236" s="7">
        <v>457.09</v>
      </c>
      <c r="I236" t="s">
        <v>438</v>
      </c>
      <c r="J236" t="s">
        <v>439</v>
      </c>
      <c r="K236" s="9">
        <v>1</v>
      </c>
      <c r="L236" s="9">
        <v>457.09</v>
      </c>
      <c r="M236" s="20">
        <v>46265</v>
      </c>
      <c r="N236" t="s">
        <v>18</v>
      </c>
      <c r="O236" t="s">
        <v>18</v>
      </c>
      <c r="P236">
        <v>1</v>
      </c>
      <c r="Q236" s="7">
        <v>0</v>
      </c>
    </row>
    <row r="237" spans="1:17" x14ac:dyDescent="0.25">
      <c r="A237" s="21" t="str" cm="1">
        <f t="array" ref="A237">UPPER(LOOKUP(2,1/(A$1:INDEX(A:A,ROW()-1)&lt;&gt;""),A$1:INDEX(A:A,ROW()-1)))</f>
        <v>PUR-ORD-2026-00049</v>
      </c>
      <c r="B237" s="21" t="str" cm="1">
        <f t="array" ref="B237">LOOKUP(2,1/(B$1:INDEX(B:B,ROW()-1)&lt;&gt;""),B$1:INDEX(B:B,ROW()-1))</f>
        <v>MR MD For Project Management Services EST</v>
      </c>
      <c r="H237" s="7">
        <v>1617.09</v>
      </c>
      <c r="I237" t="s">
        <v>440</v>
      </c>
      <c r="J237" t="s">
        <v>440</v>
      </c>
      <c r="K237" s="9">
        <v>1</v>
      </c>
      <c r="L237" s="9">
        <v>1617.09</v>
      </c>
      <c r="M237" s="20">
        <v>46265</v>
      </c>
      <c r="N237" t="s">
        <v>18</v>
      </c>
      <c r="O237" t="s">
        <v>18</v>
      </c>
      <c r="P237">
        <v>1</v>
      </c>
      <c r="Q237" s="7">
        <v>0</v>
      </c>
    </row>
    <row r="238" spans="1:17" x14ac:dyDescent="0.25">
      <c r="A238" s="21" t="str" cm="1">
        <f t="array" ref="A238">UPPER(LOOKUP(2,1/(A$1:INDEX(A:A,ROW()-1)&lt;&gt;""),A$1:INDEX(A:A,ROW()-1)))</f>
        <v>PUR-ORD-2026-00049</v>
      </c>
      <c r="B238" s="21" t="str" cm="1">
        <f t="array" ref="B238">LOOKUP(2,1/(B$1:INDEX(B:B,ROW()-1)&lt;&gt;""),B$1:INDEX(B:B,ROW()-1))</f>
        <v>MR MD For Project Management Services EST</v>
      </c>
      <c r="H238" s="7">
        <v>69000</v>
      </c>
      <c r="I238" t="s">
        <v>44</v>
      </c>
      <c r="J238" t="s">
        <v>44</v>
      </c>
      <c r="K238" s="9">
        <v>24</v>
      </c>
      <c r="L238" s="9">
        <v>2875</v>
      </c>
      <c r="M238" s="20">
        <v>46238</v>
      </c>
      <c r="N238" t="s">
        <v>398</v>
      </c>
      <c r="O238" t="s">
        <v>441</v>
      </c>
      <c r="P238">
        <v>250</v>
      </c>
      <c r="Q238" s="7">
        <v>0</v>
      </c>
    </row>
    <row r="239" spans="1:17" x14ac:dyDescent="0.25">
      <c r="A239" s="21" t="str" cm="1">
        <f t="array" ref="A239">UPPER(LOOKUP(2,1/(A$1:INDEX(A:A,ROW()-1)&lt;&gt;""),A$1:INDEX(A:A,ROW()-1)))</f>
        <v>PUR-ORD-2026-00049</v>
      </c>
      <c r="B239" s="21" t="str" cm="1">
        <f t="array" ref="B239">LOOKUP(2,1/(B$1:INDEX(B:B,ROW()-1)&lt;&gt;""),B$1:INDEX(B:B,ROW()-1))</f>
        <v>MR MD For Project Management Services EST</v>
      </c>
      <c r="H239" s="7">
        <v>1.3</v>
      </c>
      <c r="I239" t="s">
        <v>410</v>
      </c>
      <c r="J239" t="s">
        <v>410</v>
      </c>
      <c r="K239" s="9">
        <v>1</v>
      </c>
      <c r="L239" s="9">
        <v>1.3</v>
      </c>
      <c r="M239" s="20">
        <v>46265</v>
      </c>
      <c r="N239" t="s">
        <v>18</v>
      </c>
      <c r="O239" t="s">
        <v>388</v>
      </c>
      <c r="P239">
        <v>1</v>
      </c>
      <c r="Q239" s="7">
        <v>0</v>
      </c>
    </row>
    <row r="240" spans="1:17" x14ac:dyDescent="0.25">
      <c r="A240" s="21" t="str" cm="1">
        <f t="array" ref="A240">UPPER(LOOKUP(2,1/(A$1:INDEX(A:A,ROW()-1)&lt;&gt;""),A$1:INDEX(A:A,ROW()-1)))</f>
        <v>PUR-ORD-2026-00049</v>
      </c>
      <c r="B240" s="21" t="str" cm="1">
        <f t="array" ref="B240">LOOKUP(2,1/(B$1:INDEX(B:B,ROW()-1)&lt;&gt;""),B$1:INDEX(B:B,ROW()-1))</f>
        <v>MR MD For Project Management Services EST</v>
      </c>
      <c r="H240" s="7">
        <v>7</v>
      </c>
      <c r="I240" t="s">
        <v>410</v>
      </c>
      <c r="J240" t="s">
        <v>410</v>
      </c>
      <c r="K240" s="9">
        <v>1</v>
      </c>
      <c r="L240" s="9">
        <v>7</v>
      </c>
      <c r="M240" s="20">
        <v>46265</v>
      </c>
      <c r="N240" t="s">
        <v>18</v>
      </c>
      <c r="O240" t="s">
        <v>388</v>
      </c>
      <c r="P240">
        <v>1</v>
      </c>
      <c r="Q240" s="7">
        <v>0</v>
      </c>
    </row>
    <row r="241" spans="1:17" x14ac:dyDescent="0.25">
      <c r="A241" s="21" t="str" cm="1">
        <f t="array" ref="A241">UPPER(LOOKUP(2,1/(A$1:INDEX(A:A,ROW()-1)&lt;&gt;""),A$1:INDEX(A:A,ROW()-1)))</f>
        <v>PUR-ORD-2026-00049</v>
      </c>
      <c r="B241" s="21" t="str" cm="1">
        <f t="array" ref="B241">LOOKUP(2,1/(B$1:INDEX(B:B,ROW()-1)&lt;&gt;""),B$1:INDEX(B:B,ROW()-1))</f>
        <v>MR MD For Project Management Services EST</v>
      </c>
      <c r="H241" s="7">
        <v>14</v>
      </c>
      <c r="I241" t="s">
        <v>410</v>
      </c>
      <c r="J241" t="s">
        <v>410</v>
      </c>
      <c r="K241" s="9">
        <v>1</v>
      </c>
      <c r="L241" s="9">
        <v>14</v>
      </c>
      <c r="M241" s="20">
        <v>46265</v>
      </c>
      <c r="N241" t="s">
        <v>18</v>
      </c>
      <c r="O241" t="s">
        <v>388</v>
      </c>
      <c r="P241">
        <v>1</v>
      </c>
      <c r="Q241" s="7">
        <v>0</v>
      </c>
    </row>
    <row r="242" spans="1:17" x14ac:dyDescent="0.25">
      <c r="A242" s="21" t="str" cm="1">
        <f t="array" ref="A242">UPPER(LOOKUP(2,1/(A$1:INDEX(A:A,ROW()-1)&lt;&gt;""),A$1:INDEX(A:A,ROW()-1)))</f>
        <v>PUR-ORD-2026-00049</v>
      </c>
      <c r="B242" s="21" t="str" cm="1">
        <f t="array" ref="B242">LOOKUP(2,1/(B$1:INDEX(B:B,ROW()-1)&lt;&gt;""),B$1:INDEX(B:B,ROW()-1))</f>
        <v>MR MD For Project Management Services EST</v>
      </c>
      <c r="H242" s="7">
        <v>5</v>
      </c>
      <c r="I242" t="s">
        <v>410</v>
      </c>
      <c r="J242" t="s">
        <v>410</v>
      </c>
      <c r="K242" s="9">
        <v>1</v>
      </c>
      <c r="L242" s="9">
        <v>5</v>
      </c>
      <c r="M242" s="20">
        <v>46265</v>
      </c>
      <c r="N242" t="s">
        <v>18</v>
      </c>
      <c r="O242" t="s">
        <v>444</v>
      </c>
      <c r="P242">
        <v>1</v>
      </c>
      <c r="Q242" s="7">
        <v>0</v>
      </c>
    </row>
    <row r="243" spans="1:17" x14ac:dyDescent="0.25">
      <c r="A243" s="21" t="str" cm="1">
        <f t="array" ref="A243">UPPER(LOOKUP(2,1/(A$1:INDEX(A:A,ROW()-1)&lt;&gt;""),A$1:INDEX(A:A,ROW()-1)))</f>
        <v>PUR-ORD-2026-00049</v>
      </c>
      <c r="B243" s="21" t="str" cm="1">
        <f t="array" ref="B243">LOOKUP(2,1/(B$1:INDEX(B:B,ROW()-1)&lt;&gt;""),B$1:INDEX(B:B,ROW()-1))</f>
        <v>MR MD For Project Management Services EST</v>
      </c>
      <c r="H243" s="7">
        <v>5</v>
      </c>
      <c r="I243" t="s">
        <v>410</v>
      </c>
      <c r="J243" t="s">
        <v>410</v>
      </c>
      <c r="K243" s="9">
        <v>1</v>
      </c>
      <c r="L243" s="9">
        <v>5</v>
      </c>
      <c r="M243" s="20">
        <v>46265</v>
      </c>
      <c r="N243" t="s">
        <v>18</v>
      </c>
      <c r="O243" t="s">
        <v>388</v>
      </c>
      <c r="P243">
        <v>1</v>
      </c>
      <c r="Q243" s="7">
        <v>0</v>
      </c>
    </row>
    <row r="244" spans="1:17" x14ac:dyDescent="0.25">
      <c r="A244" s="21" t="str" cm="1">
        <f t="array" ref="A244">UPPER(LOOKUP(2,1/(A$1:INDEX(A:A,ROW()-1)&lt;&gt;""),A$1:INDEX(A:A,ROW()-1)))</f>
        <v>PUR-ORD-2026-00049</v>
      </c>
      <c r="B244" s="21" t="str" cm="1">
        <f t="array" ref="B244">LOOKUP(2,1/(B$1:INDEX(B:B,ROW()-1)&lt;&gt;""),B$1:INDEX(B:B,ROW()-1))</f>
        <v>MR MD For Project Management Services EST</v>
      </c>
      <c r="H244" s="7">
        <v>1</v>
      </c>
      <c r="I244" t="s">
        <v>417</v>
      </c>
      <c r="J244" t="s">
        <v>418</v>
      </c>
      <c r="K244" s="9">
        <v>1</v>
      </c>
      <c r="L244" s="9">
        <v>1</v>
      </c>
      <c r="M244" s="20">
        <v>46265</v>
      </c>
      <c r="N244" t="s">
        <v>18</v>
      </c>
      <c r="O244" t="s">
        <v>388</v>
      </c>
      <c r="P244">
        <v>1</v>
      </c>
      <c r="Q244" s="7">
        <v>0</v>
      </c>
    </row>
    <row r="245" spans="1:17" x14ac:dyDescent="0.25">
      <c r="A245" s="21" t="str" cm="1">
        <f t="array" ref="A245">UPPER(LOOKUP(2,1/(A$1:INDEX(A:A,ROW()-1)&lt;&gt;""),A$1:INDEX(A:A,ROW()-1)))</f>
        <v>PUR-ORD-2026-00049</v>
      </c>
      <c r="B245" s="21" t="str" cm="1">
        <f t="array" ref="B245">LOOKUP(2,1/(B$1:INDEX(B:B,ROW()-1)&lt;&gt;""),B$1:INDEX(B:B,ROW()-1))</f>
        <v>MR MD For Project Management Services EST</v>
      </c>
      <c r="H245" s="7">
        <v>3.5</v>
      </c>
      <c r="I245" t="s">
        <v>417</v>
      </c>
      <c r="J245" t="s">
        <v>418</v>
      </c>
      <c r="K245" s="9">
        <v>1</v>
      </c>
      <c r="L245" s="9">
        <v>3.5</v>
      </c>
      <c r="M245" s="20">
        <v>46265</v>
      </c>
      <c r="N245" t="s">
        <v>18</v>
      </c>
      <c r="O245" t="s">
        <v>388</v>
      </c>
      <c r="P245">
        <v>1</v>
      </c>
      <c r="Q245" s="7">
        <v>0</v>
      </c>
    </row>
    <row r="246" spans="1:17" x14ac:dyDescent="0.25">
      <c r="A246" s="21" t="str" cm="1">
        <f t="array" ref="A246">UPPER(LOOKUP(2,1/(A$1:INDEX(A:A,ROW()-1)&lt;&gt;""),A$1:INDEX(A:A,ROW()-1)))</f>
        <v>PUR-ORD-2026-00049</v>
      </c>
      <c r="B246" s="21" t="str" cm="1">
        <f t="array" ref="B246">LOOKUP(2,1/(B$1:INDEX(B:B,ROW()-1)&lt;&gt;""),B$1:INDEX(B:B,ROW()-1))</f>
        <v>MR MD For Project Management Services EST</v>
      </c>
      <c r="H246" s="7">
        <v>4</v>
      </c>
      <c r="I246" t="s">
        <v>417</v>
      </c>
      <c r="J246" t="s">
        <v>418</v>
      </c>
      <c r="K246" s="9">
        <v>1</v>
      </c>
      <c r="L246" s="9">
        <v>4</v>
      </c>
      <c r="M246" s="20">
        <v>46265</v>
      </c>
      <c r="N246" t="s">
        <v>18</v>
      </c>
      <c r="O246" t="s">
        <v>388</v>
      </c>
      <c r="P246">
        <v>1</v>
      </c>
      <c r="Q246" s="7">
        <v>0</v>
      </c>
    </row>
    <row r="247" spans="1:17" x14ac:dyDescent="0.25">
      <c r="A247" s="21" t="str" cm="1">
        <f t="array" ref="A247">UPPER(LOOKUP(2,1/(A$1:INDEX(A:A,ROW()-1)&lt;&gt;""),A$1:INDEX(A:A,ROW()-1)))</f>
        <v>PUR-ORD-2026-00049</v>
      </c>
      <c r="B247" s="21" t="str" cm="1">
        <f t="array" ref="B247">LOOKUP(2,1/(B$1:INDEX(B:B,ROW()-1)&lt;&gt;""),B$1:INDEX(B:B,ROW()-1))</f>
        <v>MR MD For Project Management Services EST</v>
      </c>
      <c r="H247" s="7">
        <v>2.5</v>
      </c>
      <c r="I247" t="s">
        <v>417</v>
      </c>
      <c r="J247" t="s">
        <v>418</v>
      </c>
      <c r="K247" s="9">
        <v>1</v>
      </c>
      <c r="L247" s="9">
        <v>2.5</v>
      </c>
      <c r="M247" s="20">
        <v>46265</v>
      </c>
      <c r="N247" t="s">
        <v>18</v>
      </c>
      <c r="O247" t="s">
        <v>388</v>
      </c>
      <c r="P247">
        <v>1</v>
      </c>
      <c r="Q247" s="7">
        <v>0</v>
      </c>
    </row>
    <row r="248" spans="1:17" x14ac:dyDescent="0.25">
      <c r="A248" s="21" t="str" cm="1">
        <f t="array" ref="A248">UPPER(LOOKUP(2,1/(A$1:INDEX(A:A,ROW()-1)&lt;&gt;""),A$1:INDEX(A:A,ROW()-1)))</f>
        <v>PUR-ORD-2026-00049</v>
      </c>
      <c r="B248" s="21" t="str" cm="1">
        <f t="array" ref="B248">LOOKUP(2,1/(B$1:INDEX(B:B,ROW()-1)&lt;&gt;""),B$1:INDEX(B:B,ROW()-1))</f>
        <v>MR MD For Project Management Services EST</v>
      </c>
      <c r="H248" s="7">
        <v>2</v>
      </c>
      <c r="I248" t="s">
        <v>417</v>
      </c>
      <c r="J248" t="s">
        <v>418</v>
      </c>
      <c r="K248" s="9">
        <v>1</v>
      </c>
      <c r="L248" s="9">
        <v>2</v>
      </c>
      <c r="M248" s="20">
        <v>46265</v>
      </c>
      <c r="N248" t="s">
        <v>18</v>
      </c>
      <c r="O248" t="s">
        <v>388</v>
      </c>
      <c r="P248">
        <v>1</v>
      </c>
      <c r="Q248" s="7">
        <v>0</v>
      </c>
    </row>
    <row r="249" spans="1:17" x14ac:dyDescent="0.25">
      <c r="A249" s="21" t="str" cm="1">
        <f t="array" ref="A249">UPPER(LOOKUP(2,1/(A$1:INDEX(A:A,ROW()-1)&lt;&gt;""),A$1:INDEX(A:A,ROW()-1)))</f>
        <v>PUR-ORD-2026-00049</v>
      </c>
      <c r="B249" s="21" t="str" cm="1">
        <f t="array" ref="B249">LOOKUP(2,1/(B$1:INDEX(B:B,ROW()-1)&lt;&gt;""),B$1:INDEX(B:B,ROW()-1))</f>
        <v>MR MD For Project Management Services EST</v>
      </c>
      <c r="H249" s="7">
        <v>2</v>
      </c>
      <c r="I249" t="s">
        <v>417</v>
      </c>
      <c r="J249" t="s">
        <v>418</v>
      </c>
      <c r="K249" s="9">
        <v>1</v>
      </c>
      <c r="L249" s="9">
        <v>2</v>
      </c>
      <c r="M249" s="20">
        <v>46265</v>
      </c>
      <c r="N249" t="s">
        <v>18</v>
      </c>
      <c r="O249" t="s">
        <v>18</v>
      </c>
      <c r="P249">
        <v>1</v>
      </c>
      <c r="Q249" s="7">
        <v>0</v>
      </c>
    </row>
    <row r="250" spans="1:17" x14ac:dyDescent="0.25">
      <c r="A250" s="21" t="str" cm="1">
        <f t="array" ref="A250">UPPER(LOOKUP(2,1/(A$1:INDEX(A:A,ROW()-1)&lt;&gt;""),A$1:INDEX(A:A,ROW()-1)))</f>
        <v>PUR-ORD-2026-00049</v>
      </c>
      <c r="B250" s="21" t="str" cm="1">
        <f t="array" ref="B250">LOOKUP(2,1/(B$1:INDEX(B:B,ROW()-1)&lt;&gt;""),B$1:INDEX(B:B,ROW()-1))</f>
        <v>MR MD For Project Management Services EST</v>
      </c>
      <c r="H250" s="7">
        <v>7</v>
      </c>
      <c r="I250" t="s">
        <v>410</v>
      </c>
      <c r="J250" t="s">
        <v>410</v>
      </c>
      <c r="K250" s="9">
        <v>1</v>
      </c>
      <c r="L250" s="9">
        <v>7</v>
      </c>
      <c r="M250" s="20">
        <v>46265</v>
      </c>
      <c r="N250" t="s">
        <v>18</v>
      </c>
      <c r="O250" t="s">
        <v>388</v>
      </c>
      <c r="P250">
        <v>1</v>
      </c>
      <c r="Q250" s="7">
        <v>0</v>
      </c>
    </row>
    <row r="251" spans="1:17" x14ac:dyDescent="0.25">
      <c r="A251" s="21" t="str" cm="1">
        <f t="array" ref="A251">UPPER(LOOKUP(2,1/(A$1:INDEX(A:A,ROW()-1)&lt;&gt;""),A$1:INDEX(A:A,ROW()-1)))</f>
        <v>PUR-ORD-2026-00049</v>
      </c>
      <c r="B251" s="21" t="str" cm="1">
        <f t="array" ref="B251">LOOKUP(2,1/(B$1:INDEX(B:B,ROW()-1)&lt;&gt;""),B$1:INDEX(B:B,ROW()-1))</f>
        <v>MR MD For Project Management Services EST</v>
      </c>
      <c r="H251" s="7">
        <v>14</v>
      </c>
      <c r="I251" t="s">
        <v>410</v>
      </c>
      <c r="J251" t="s">
        <v>410</v>
      </c>
      <c r="K251" s="9">
        <v>1</v>
      </c>
      <c r="L251" s="9">
        <v>14</v>
      </c>
      <c r="M251" s="20">
        <v>46265</v>
      </c>
      <c r="N251" t="s">
        <v>18</v>
      </c>
      <c r="O251" t="s">
        <v>388</v>
      </c>
      <c r="P251">
        <v>1</v>
      </c>
      <c r="Q251" s="7">
        <v>0</v>
      </c>
    </row>
    <row r="252" spans="1:17" x14ac:dyDescent="0.25">
      <c r="A252" s="21" t="str" cm="1">
        <f t="array" ref="A252">UPPER(LOOKUP(2,1/(A$1:INDEX(A:A,ROW()-1)&lt;&gt;""),A$1:INDEX(A:A,ROW()-1)))</f>
        <v>PUR-ORD-2026-00049</v>
      </c>
      <c r="B252" s="21" t="str" cm="1">
        <f t="array" ref="B252">LOOKUP(2,1/(B$1:INDEX(B:B,ROW()-1)&lt;&gt;""),B$1:INDEX(B:B,ROW()-1))</f>
        <v>MR MD For Project Management Services EST</v>
      </c>
      <c r="H252" s="7">
        <v>5.5</v>
      </c>
      <c r="I252" t="s">
        <v>410</v>
      </c>
      <c r="J252" t="s">
        <v>410</v>
      </c>
      <c r="K252" s="9">
        <v>1</v>
      </c>
      <c r="L252" s="9">
        <v>5.5</v>
      </c>
      <c r="M252" s="20">
        <v>46265</v>
      </c>
      <c r="N252" t="s">
        <v>18</v>
      </c>
      <c r="O252" t="s">
        <v>444</v>
      </c>
      <c r="P252">
        <v>1</v>
      </c>
      <c r="Q252" s="7">
        <v>0</v>
      </c>
    </row>
    <row r="253" spans="1:17" x14ac:dyDescent="0.25">
      <c r="A253" s="21" t="str" cm="1">
        <f t="array" ref="A253">UPPER(LOOKUP(2,1/(A$1:INDEX(A:A,ROW()-1)&lt;&gt;""),A$1:INDEX(A:A,ROW()-1)))</f>
        <v>PUR-ORD-2026-00049</v>
      </c>
      <c r="B253" s="21" t="str" cm="1">
        <f t="array" ref="B253">LOOKUP(2,1/(B$1:INDEX(B:B,ROW()-1)&lt;&gt;""),B$1:INDEX(B:B,ROW()-1))</f>
        <v>MR MD For Project Management Services EST</v>
      </c>
      <c r="H253" s="7">
        <v>4</v>
      </c>
      <c r="I253" t="s">
        <v>410</v>
      </c>
      <c r="J253" t="s">
        <v>410</v>
      </c>
      <c r="K253" s="9">
        <v>1</v>
      </c>
      <c r="L253" s="9">
        <v>4</v>
      </c>
      <c r="M253" s="20">
        <v>46265</v>
      </c>
      <c r="N253" t="s">
        <v>18</v>
      </c>
      <c r="O253" t="s">
        <v>388</v>
      </c>
      <c r="P253">
        <v>1</v>
      </c>
      <c r="Q253" s="7">
        <v>0</v>
      </c>
    </row>
    <row r="254" spans="1:17" x14ac:dyDescent="0.25">
      <c r="A254" s="21" t="str" cm="1">
        <f t="array" ref="A254">UPPER(LOOKUP(2,1/(A$1:INDEX(A:A,ROW()-1)&lt;&gt;""),A$1:INDEX(A:A,ROW()-1)))</f>
        <v>PUR-ORD-2026-00049</v>
      </c>
      <c r="B254" s="21" t="str" cm="1">
        <f t="array" ref="B254">LOOKUP(2,1/(B$1:INDEX(B:B,ROW()-1)&lt;&gt;""),B$1:INDEX(B:B,ROW()-1))</f>
        <v>MR MD For Project Management Services EST</v>
      </c>
      <c r="H254" s="7">
        <v>7</v>
      </c>
      <c r="I254" t="s">
        <v>410</v>
      </c>
      <c r="J254" t="s">
        <v>410</v>
      </c>
      <c r="K254" s="9">
        <v>1</v>
      </c>
      <c r="L254" s="9">
        <v>7</v>
      </c>
      <c r="M254" s="20">
        <v>46265</v>
      </c>
      <c r="N254" t="s">
        <v>18</v>
      </c>
      <c r="O254" t="s">
        <v>388</v>
      </c>
      <c r="P254">
        <v>1</v>
      </c>
      <c r="Q254" s="7">
        <v>0</v>
      </c>
    </row>
    <row r="255" spans="1:17" x14ac:dyDescent="0.25">
      <c r="A255" s="21" t="str" cm="1">
        <f t="array" ref="A255">UPPER(LOOKUP(2,1/(A$1:INDEX(A:A,ROW()-1)&lt;&gt;""),A$1:INDEX(A:A,ROW()-1)))</f>
        <v>PUR-ORD-2026-00049</v>
      </c>
      <c r="B255" s="21" t="str" cm="1">
        <f t="array" ref="B255">LOOKUP(2,1/(B$1:INDEX(B:B,ROW()-1)&lt;&gt;""),B$1:INDEX(B:B,ROW()-1))</f>
        <v>MR MD For Project Management Services EST</v>
      </c>
      <c r="H255" s="7">
        <v>14</v>
      </c>
      <c r="I255" t="s">
        <v>410</v>
      </c>
      <c r="J255" t="s">
        <v>410</v>
      </c>
      <c r="K255" s="9">
        <v>1</v>
      </c>
      <c r="L255" s="9">
        <v>14</v>
      </c>
      <c r="M255" s="20">
        <v>46265</v>
      </c>
      <c r="N255" t="s">
        <v>18</v>
      </c>
      <c r="O255" t="s">
        <v>388</v>
      </c>
      <c r="P255">
        <v>1</v>
      </c>
      <c r="Q255" s="7">
        <v>0</v>
      </c>
    </row>
    <row r="256" spans="1:17" x14ac:dyDescent="0.25">
      <c r="A256" s="21" t="str" cm="1">
        <f t="array" ref="A256">UPPER(LOOKUP(2,1/(A$1:INDEX(A:A,ROW()-1)&lt;&gt;""),A$1:INDEX(A:A,ROW()-1)))</f>
        <v>PUR-ORD-2026-00049</v>
      </c>
      <c r="B256" s="21" t="str" cm="1">
        <f t="array" ref="B256">LOOKUP(2,1/(B$1:INDEX(B:B,ROW()-1)&lt;&gt;""),B$1:INDEX(B:B,ROW()-1))</f>
        <v>MR MD For Project Management Services EST</v>
      </c>
      <c r="H256" s="7">
        <v>5.5</v>
      </c>
      <c r="I256" t="s">
        <v>410</v>
      </c>
      <c r="J256" t="s">
        <v>410</v>
      </c>
      <c r="K256" s="9">
        <v>1</v>
      </c>
      <c r="L256" s="9">
        <v>5.5</v>
      </c>
      <c r="M256" s="20">
        <v>46265</v>
      </c>
      <c r="N256" t="s">
        <v>18</v>
      </c>
      <c r="O256" t="s">
        <v>444</v>
      </c>
      <c r="P256">
        <v>1</v>
      </c>
      <c r="Q256" s="7">
        <v>0</v>
      </c>
    </row>
    <row r="257" spans="1:17" x14ac:dyDescent="0.25">
      <c r="A257" s="21" t="str" cm="1">
        <f t="array" ref="A257">UPPER(LOOKUP(2,1/(A$1:INDEX(A:A,ROW()-1)&lt;&gt;""),A$1:INDEX(A:A,ROW()-1)))</f>
        <v>PUR-ORD-2026-00049</v>
      </c>
      <c r="B257" s="21" t="str" cm="1">
        <f t="array" ref="B257">LOOKUP(2,1/(B$1:INDEX(B:B,ROW()-1)&lt;&gt;""),B$1:INDEX(B:B,ROW()-1))</f>
        <v>MR MD For Project Management Services EST</v>
      </c>
      <c r="H257" s="7">
        <v>4</v>
      </c>
      <c r="I257" t="s">
        <v>410</v>
      </c>
      <c r="J257" t="s">
        <v>410</v>
      </c>
      <c r="K257" s="9">
        <v>1</v>
      </c>
      <c r="L257" s="9">
        <v>4</v>
      </c>
      <c r="M257" s="20">
        <v>46265</v>
      </c>
      <c r="N257" t="s">
        <v>18</v>
      </c>
      <c r="O257" t="s">
        <v>388</v>
      </c>
      <c r="P257">
        <v>1</v>
      </c>
      <c r="Q257" s="7">
        <v>0</v>
      </c>
    </row>
    <row r="258" spans="1:17" x14ac:dyDescent="0.25">
      <c r="A258" s="21" t="str" cm="1">
        <f t="array" ref="A258">UPPER(LOOKUP(2,1/(A$1:INDEX(A:A,ROW()-1)&lt;&gt;""),A$1:INDEX(A:A,ROW()-1)))</f>
        <v>PUR-ORD-2026-00049</v>
      </c>
      <c r="B258" s="21" t="str" cm="1">
        <f t="array" ref="B258">LOOKUP(2,1/(B$1:INDEX(B:B,ROW()-1)&lt;&gt;""),B$1:INDEX(B:B,ROW()-1))</f>
        <v>MR MD For Project Management Services EST</v>
      </c>
      <c r="H258" s="7">
        <v>1360</v>
      </c>
      <c r="I258" t="s">
        <v>462</v>
      </c>
      <c r="J258" t="s">
        <v>462</v>
      </c>
      <c r="K258" s="9">
        <v>4</v>
      </c>
      <c r="L258" s="9">
        <v>340</v>
      </c>
      <c r="M258" s="20">
        <v>46255</v>
      </c>
      <c r="N258" t="s">
        <v>18</v>
      </c>
      <c r="O258" t="s">
        <v>18</v>
      </c>
      <c r="P258">
        <v>1</v>
      </c>
      <c r="Q258" s="7">
        <v>0</v>
      </c>
    </row>
    <row r="259" spans="1:17" x14ac:dyDescent="0.25">
      <c r="A259" s="21" t="str" cm="1">
        <f t="array" ref="A259">UPPER(LOOKUP(2,1/(A$1:INDEX(A:A,ROW()-1)&lt;&gt;""),A$1:INDEX(A:A,ROW()-1)))</f>
        <v>PUR-ORD-2026-00049</v>
      </c>
      <c r="B259" s="21" t="str" cm="1">
        <f t="array" ref="B259">LOOKUP(2,1/(B$1:INDEX(B:B,ROW()-1)&lt;&gt;""),B$1:INDEX(B:B,ROW()-1))</f>
        <v>MR MD For Project Management Services EST</v>
      </c>
      <c r="H259" s="7">
        <v>2340</v>
      </c>
      <c r="I259" t="s">
        <v>463</v>
      </c>
      <c r="J259" t="s">
        <v>463</v>
      </c>
      <c r="K259" s="9">
        <v>3</v>
      </c>
      <c r="L259" s="9">
        <v>780</v>
      </c>
      <c r="M259" s="20">
        <v>46255</v>
      </c>
      <c r="N259" t="s">
        <v>18</v>
      </c>
      <c r="O259" t="s">
        <v>18</v>
      </c>
      <c r="P259">
        <v>1</v>
      </c>
      <c r="Q259" s="7">
        <v>0</v>
      </c>
    </row>
    <row r="260" spans="1:17" x14ac:dyDescent="0.25">
      <c r="A260" s="21" t="str" cm="1">
        <f t="array" ref="A260">UPPER(LOOKUP(2,1/(A$1:INDEX(A:A,ROW()-1)&lt;&gt;""),A$1:INDEX(A:A,ROW()-1)))</f>
        <v>PUR-ORD-2026-00049</v>
      </c>
      <c r="B260" s="21" t="str" cm="1">
        <f t="array" ref="B260">LOOKUP(2,1/(B$1:INDEX(B:B,ROW()-1)&lt;&gt;""),B$1:INDEX(B:B,ROW()-1))</f>
        <v>MR MD For Project Management Services EST</v>
      </c>
      <c r="H260" s="7">
        <v>1335</v>
      </c>
      <c r="I260" t="s">
        <v>464</v>
      </c>
      <c r="J260" t="s">
        <v>464</v>
      </c>
      <c r="K260" s="9">
        <v>3</v>
      </c>
      <c r="L260" s="9">
        <v>445</v>
      </c>
      <c r="M260" s="20">
        <v>46255</v>
      </c>
      <c r="N260" t="s">
        <v>18</v>
      </c>
      <c r="O260" t="s">
        <v>18</v>
      </c>
      <c r="P260">
        <v>1</v>
      </c>
      <c r="Q260" s="7">
        <v>0</v>
      </c>
    </row>
    <row r="261" spans="1:17" x14ac:dyDescent="0.25">
      <c r="A261" s="21" t="str" cm="1">
        <f t="array" ref="A261">UPPER(LOOKUP(2,1/(A$1:INDEX(A:A,ROW()-1)&lt;&gt;""),A$1:INDEX(A:A,ROW()-1)))</f>
        <v>PUR-ORD-2026-00049</v>
      </c>
      <c r="B261" s="21" t="str" cm="1">
        <f t="array" ref="B261">LOOKUP(2,1/(B$1:INDEX(B:B,ROW()-1)&lt;&gt;""),B$1:INDEX(B:B,ROW()-1))</f>
        <v>MR MD For Project Management Services EST</v>
      </c>
      <c r="H261" s="7">
        <v>3960</v>
      </c>
      <c r="I261" t="s">
        <v>465</v>
      </c>
      <c r="J261" t="s">
        <v>465</v>
      </c>
      <c r="K261" s="9">
        <v>4</v>
      </c>
      <c r="L261" s="9">
        <v>990</v>
      </c>
      <c r="M261" s="20">
        <v>46255</v>
      </c>
      <c r="N261" t="s">
        <v>18</v>
      </c>
      <c r="O261" t="s">
        <v>18</v>
      </c>
      <c r="P261">
        <v>1</v>
      </c>
      <c r="Q261" s="7">
        <v>0</v>
      </c>
    </row>
    <row r="262" spans="1:17" x14ac:dyDescent="0.25">
      <c r="A262" s="21" t="str" cm="1">
        <f t="array" ref="A262">UPPER(LOOKUP(2,1/(A$1:INDEX(A:A,ROW()-1)&lt;&gt;""),A$1:INDEX(A:A,ROW()-1)))</f>
        <v>PUR-ORD-2026-00049</v>
      </c>
      <c r="B262" s="21" t="str" cm="1">
        <f t="array" ref="B262">LOOKUP(2,1/(B$1:INDEX(B:B,ROW()-1)&lt;&gt;""),B$1:INDEX(B:B,ROW()-1))</f>
        <v>MR MD For Project Management Services EST</v>
      </c>
      <c r="H262" s="7">
        <v>2990</v>
      </c>
      <c r="I262" t="s">
        <v>483</v>
      </c>
      <c r="J262" t="s">
        <v>483</v>
      </c>
      <c r="K262" s="9">
        <v>13</v>
      </c>
      <c r="L262" s="9">
        <v>230</v>
      </c>
      <c r="M262" s="20">
        <v>46291</v>
      </c>
      <c r="N262" t="s">
        <v>18</v>
      </c>
      <c r="O262" t="s">
        <v>18</v>
      </c>
      <c r="P262">
        <v>1</v>
      </c>
      <c r="Q262" s="7">
        <v>0</v>
      </c>
    </row>
    <row r="263" spans="1:17" x14ac:dyDescent="0.25">
      <c r="A263" s="21" t="str" cm="1">
        <f t="array" ref="A263">UPPER(LOOKUP(2,1/(A$1:INDEX(A:A,ROW()-1)&lt;&gt;""),A$1:INDEX(A:A,ROW()-1)))</f>
        <v>PUR-ORD-2026-00049</v>
      </c>
      <c r="B263" s="21" t="str" cm="1">
        <f t="array" ref="B263">LOOKUP(2,1/(B$1:INDEX(B:B,ROW()-1)&lt;&gt;""),B$1:INDEX(B:B,ROW()-1))</f>
        <v>MR MD For Project Management Services EST</v>
      </c>
      <c r="H263" s="7">
        <v>2990</v>
      </c>
      <c r="I263" t="s">
        <v>483</v>
      </c>
      <c r="J263" t="s">
        <v>483</v>
      </c>
      <c r="K263" s="9">
        <v>13</v>
      </c>
      <c r="L263" s="9">
        <v>230</v>
      </c>
      <c r="M263" s="20">
        <v>46291</v>
      </c>
      <c r="N263" t="s">
        <v>18</v>
      </c>
      <c r="O263" t="s">
        <v>18</v>
      </c>
      <c r="P263">
        <v>1</v>
      </c>
      <c r="Q263" s="7">
        <v>0</v>
      </c>
    </row>
    <row r="264" spans="1:17" x14ac:dyDescent="0.25">
      <c r="A264" s="21" t="str" cm="1">
        <f t="array" ref="A264">UPPER(LOOKUP(2,1/(A$1:INDEX(A:A,ROW()-1)&lt;&gt;""),A$1:INDEX(A:A,ROW()-1)))</f>
        <v>PUR-ORD-2026-00049</v>
      </c>
      <c r="B264" s="21" t="str" cm="1">
        <f t="array" ref="B264">LOOKUP(2,1/(B$1:INDEX(B:B,ROW()-1)&lt;&gt;""),B$1:INDEX(B:B,ROW()-1))</f>
        <v>MR MD For Project Management Services EST</v>
      </c>
      <c r="H264" s="7">
        <v>50</v>
      </c>
      <c r="I264" t="s">
        <v>488</v>
      </c>
      <c r="J264" t="s">
        <v>488</v>
      </c>
      <c r="K264" s="9">
        <v>1</v>
      </c>
      <c r="L264" s="9">
        <v>50</v>
      </c>
      <c r="M264" s="20">
        <v>46291</v>
      </c>
      <c r="N264" t="s">
        <v>18</v>
      </c>
      <c r="O264" t="s">
        <v>18</v>
      </c>
      <c r="P264">
        <v>1</v>
      </c>
      <c r="Q264" s="7">
        <v>0</v>
      </c>
    </row>
    <row r="265" spans="1:17" x14ac:dyDescent="0.25">
      <c r="A265" s="21" t="str" cm="1">
        <f t="array" ref="A265">UPPER(LOOKUP(2,1/(A$1:INDEX(A:A,ROW()-1)&lt;&gt;""),A$1:INDEX(A:A,ROW()-1)))</f>
        <v>PUR-ORD-2026-00049</v>
      </c>
      <c r="B265" s="21" t="str" cm="1">
        <f t="array" ref="B265">LOOKUP(2,1/(B$1:INDEX(B:B,ROW()-1)&lt;&gt;""),B$1:INDEX(B:B,ROW()-1))</f>
        <v>MR MD For Project Management Services EST</v>
      </c>
      <c r="H265" s="7">
        <v>0</v>
      </c>
      <c r="I265" t="s">
        <v>483</v>
      </c>
      <c r="J265" t="s">
        <v>483</v>
      </c>
      <c r="K265" s="9">
        <v>1</v>
      </c>
      <c r="L265" s="9">
        <v>0</v>
      </c>
      <c r="M265" s="20">
        <v>46291</v>
      </c>
      <c r="N265" t="s">
        <v>18</v>
      </c>
      <c r="O265" t="s">
        <v>18</v>
      </c>
      <c r="P265">
        <v>1</v>
      </c>
      <c r="Q265" s="7">
        <v>0</v>
      </c>
    </row>
    <row r="266" spans="1:17" x14ac:dyDescent="0.25">
      <c r="A266" s="21" t="str" cm="1">
        <f t="array" ref="A266">UPPER(LOOKUP(2,1/(A$1:INDEX(A:A,ROW()-1)&lt;&gt;""),A$1:INDEX(A:A,ROW()-1)))</f>
        <v>PUR-ORD-2026-00049</v>
      </c>
      <c r="B266" s="21" t="str" cm="1">
        <f t="array" ref="B266">LOOKUP(2,1/(B$1:INDEX(B:B,ROW()-1)&lt;&gt;""),B$1:INDEX(B:B,ROW()-1))</f>
        <v>MR MD For Project Management Services EST</v>
      </c>
      <c r="H266" s="7">
        <v>120</v>
      </c>
      <c r="I266" t="s">
        <v>481</v>
      </c>
      <c r="J266" t="s">
        <v>482</v>
      </c>
      <c r="K266" s="9">
        <v>1</v>
      </c>
      <c r="L266" s="9">
        <v>120</v>
      </c>
      <c r="M266" s="20">
        <v>46291</v>
      </c>
      <c r="N266" t="s">
        <v>18</v>
      </c>
      <c r="O266" t="s">
        <v>18</v>
      </c>
      <c r="P266">
        <v>1</v>
      </c>
      <c r="Q266" s="7">
        <v>0</v>
      </c>
    </row>
    <row r="267" spans="1:17" x14ac:dyDescent="0.25">
      <c r="A267" s="21" t="str" cm="1">
        <f t="array" ref="A267">UPPER(LOOKUP(2,1/(A$1:INDEX(A:A,ROW()-1)&lt;&gt;""),A$1:INDEX(A:A,ROW()-1)))</f>
        <v>PUR-ORD-2026-00049</v>
      </c>
      <c r="B267" s="21" t="str" cm="1">
        <f t="array" ref="B267">LOOKUP(2,1/(B$1:INDEX(B:B,ROW()-1)&lt;&gt;""),B$1:INDEX(B:B,ROW()-1))</f>
        <v>MR MD For Project Management Services EST</v>
      </c>
      <c r="H267" s="7">
        <v>230</v>
      </c>
      <c r="I267" t="s">
        <v>489</v>
      </c>
      <c r="J267" t="s">
        <v>489</v>
      </c>
      <c r="K267" s="9">
        <v>1</v>
      </c>
      <c r="L267" s="9">
        <v>230</v>
      </c>
      <c r="M267" s="20">
        <v>46291</v>
      </c>
      <c r="N267" t="s">
        <v>18</v>
      </c>
      <c r="O267" t="s">
        <v>18</v>
      </c>
      <c r="P267">
        <v>1</v>
      </c>
      <c r="Q267" s="7">
        <v>0</v>
      </c>
    </row>
    <row r="268" spans="1:17" x14ac:dyDescent="0.25">
      <c r="A268" s="21" t="str" cm="1">
        <f t="array" ref="A268">UPPER(LOOKUP(2,1/(A$1:INDEX(A:A,ROW()-1)&lt;&gt;""),A$1:INDEX(A:A,ROW()-1)))</f>
        <v>PUR-ORD-2026-00049</v>
      </c>
      <c r="B268" s="21" t="str" cm="1">
        <f t="array" ref="B268">LOOKUP(2,1/(B$1:INDEX(B:B,ROW()-1)&lt;&gt;""),B$1:INDEX(B:B,ROW()-1))</f>
        <v>MR MD For Project Management Services EST</v>
      </c>
      <c r="H268" s="7">
        <v>3450</v>
      </c>
      <c r="I268" t="s">
        <v>94</v>
      </c>
      <c r="J268" t="s">
        <v>95</v>
      </c>
      <c r="K268" s="9">
        <v>30</v>
      </c>
      <c r="L268" s="9">
        <v>115</v>
      </c>
      <c r="M268" s="20">
        <v>46296</v>
      </c>
      <c r="N268" t="s">
        <v>491</v>
      </c>
      <c r="O268" t="s">
        <v>18</v>
      </c>
      <c r="P268">
        <v>1</v>
      </c>
      <c r="Q268" s="7">
        <v>0</v>
      </c>
    </row>
    <row r="269" spans="1:17" x14ac:dyDescent="0.25">
      <c r="A269" s="21" t="str" cm="1">
        <f t="array" ref="A269">UPPER(LOOKUP(2,1/(A$1:INDEX(A:A,ROW()-1)&lt;&gt;""),A$1:INDEX(A:A,ROW()-1)))</f>
        <v>PUR-ORD-2026-00049</v>
      </c>
      <c r="B269" s="21" t="str" cm="1">
        <f t="array" ref="B269">LOOKUP(2,1/(B$1:INDEX(B:B,ROW()-1)&lt;&gt;""),B$1:INDEX(B:B,ROW()-1))</f>
        <v>MR MD For Project Management Services EST</v>
      </c>
      <c r="H269" s="7">
        <v>15</v>
      </c>
      <c r="I269" t="s">
        <v>139</v>
      </c>
      <c r="J269" t="s">
        <v>140</v>
      </c>
      <c r="K269" s="9">
        <v>1</v>
      </c>
      <c r="L269" s="9">
        <v>15</v>
      </c>
      <c r="M269" s="20">
        <v>46297</v>
      </c>
      <c r="N269" t="s">
        <v>18</v>
      </c>
      <c r="O269" t="s">
        <v>143</v>
      </c>
      <c r="P269">
        <v>1</v>
      </c>
      <c r="Q269" s="7">
        <v>0</v>
      </c>
    </row>
    <row r="270" spans="1:17" x14ac:dyDescent="0.25">
      <c r="A270" s="21" t="str" cm="1">
        <f t="array" ref="A270">UPPER(LOOKUP(2,1/(A$1:INDEX(A:A,ROW()-1)&lt;&gt;""),A$1:INDEX(A:A,ROW()-1)))</f>
        <v>PUR-ORD-2026-00049</v>
      </c>
      <c r="B270" s="21" t="str" cm="1">
        <f t="array" ref="B270">LOOKUP(2,1/(B$1:INDEX(B:B,ROW()-1)&lt;&gt;""),B$1:INDEX(B:B,ROW()-1))</f>
        <v>MR MD For Project Management Services EST</v>
      </c>
      <c r="H270" s="7">
        <v>18</v>
      </c>
      <c r="I270" t="s">
        <v>142</v>
      </c>
      <c r="J270" t="s">
        <v>142</v>
      </c>
      <c r="K270" s="9">
        <v>1</v>
      </c>
      <c r="L270" s="9">
        <v>18</v>
      </c>
      <c r="M270" s="20">
        <v>46297</v>
      </c>
      <c r="N270" t="s">
        <v>143</v>
      </c>
      <c r="O270" t="s">
        <v>143</v>
      </c>
      <c r="P270">
        <v>1</v>
      </c>
      <c r="Q270" s="7">
        <v>0</v>
      </c>
    </row>
    <row r="271" spans="1:17" x14ac:dyDescent="0.25">
      <c r="A271" s="21" t="str" cm="1">
        <f t="array" ref="A271">UPPER(LOOKUP(2,1/(A$1:INDEX(A:A,ROW()-1)&lt;&gt;""),A$1:INDEX(A:A,ROW()-1)))</f>
        <v>PUR-ORD-2026-00049</v>
      </c>
      <c r="B271" s="21" t="str" cm="1">
        <f t="array" ref="B271">LOOKUP(2,1/(B$1:INDEX(B:B,ROW()-1)&lt;&gt;""),B$1:INDEX(B:B,ROW()-1))</f>
        <v>MR MD For Project Management Services EST</v>
      </c>
      <c r="H271" s="7">
        <v>24</v>
      </c>
      <c r="I271" t="s">
        <v>145</v>
      </c>
      <c r="J271" t="s">
        <v>145</v>
      </c>
      <c r="K271" s="9">
        <v>2</v>
      </c>
      <c r="L271" s="9">
        <v>12</v>
      </c>
      <c r="M271" s="20">
        <v>46297</v>
      </c>
      <c r="N271" t="s">
        <v>18</v>
      </c>
      <c r="O271" t="s">
        <v>18</v>
      </c>
      <c r="P271">
        <v>1</v>
      </c>
      <c r="Q271" s="7">
        <v>0</v>
      </c>
    </row>
    <row r="272" spans="1:17" x14ac:dyDescent="0.25">
      <c r="A272" s="21" t="str" cm="1">
        <f t="array" ref="A272">UPPER(LOOKUP(2,1/(A$1:INDEX(A:A,ROW()-1)&lt;&gt;""),A$1:INDEX(A:A,ROW()-1)))</f>
        <v>PUR-ORD-2026-00049</v>
      </c>
      <c r="B272" s="21" t="str" cm="1">
        <f t="array" ref="B272">LOOKUP(2,1/(B$1:INDEX(B:B,ROW()-1)&lt;&gt;""),B$1:INDEX(B:B,ROW()-1))</f>
        <v>MR MD For Project Management Services EST</v>
      </c>
      <c r="H272" s="7">
        <v>84</v>
      </c>
      <c r="I272" t="s">
        <v>148</v>
      </c>
      <c r="J272" t="s">
        <v>149</v>
      </c>
      <c r="K272" s="9">
        <v>2</v>
      </c>
      <c r="L272" s="9">
        <v>42</v>
      </c>
      <c r="M272" s="20">
        <v>46297</v>
      </c>
      <c r="N272" t="s">
        <v>143</v>
      </c>
      <c r="O272" t="s">
        <v>143</v>
      </c>
      <c r="P272">
        <v>1</v>
      </c>
      <c r="Q272" s="7">
        <v>0</v>
      </c>
    </row>
    <row r="273" spans="1:17" x14ac:dyDescent="0.25">
      <c r="A273" s="21" t="str" cm="1">
        <f t="array" ref="A273">UPPER(LOOKUP(2,1/(A$1:INDEX(A:A,ROW()-1)&lt;&gt;""),A$1:INDEX(A:A,ROW()-1)))</f>
        <v>PUR-ORD-2026-00049</v>
      </c>
      <c r="B273" s="21" t="str" cm="1">
        <f t="array" ref="B273">LOOKUP(2,1/(B$1:INDEX(B:B,ROW()-1)&lt;&gt;""),B$1:INDEX(B:B,ROW()-1))</f>
        <v>MR MD For Project Management Services EST</v>
      </c>
      <c r="H273" s="7">
        <v>108</v>
      </c>
      <c r="I273" t="s">
        <v>494</v>
      </c>
      <c r="J273" t="s">
        <v>494</v>
      </c>
      <c r="K273" s="9">
        <v>2</v>
      </c>
      <c r="L273" s="9">
        <v>54</v>
      </c>
      <c r="M273" s="20">
        <v>46297</v>
      </c>
      <c r="N273" t="s">
        <v>143</v>
      </c>
      <c r="O273" t="s">
        <v>143</v>
      </c>
      <c r="P273">
        <v>1</v>
      </c>
      <c r="Q273" s="7">
        <v>0</v>
      </c>
    </row>
    <row r="274" spans="1:17" x14ac:dyDescent="0.25">
      <c r="A274" s="21" t="str" cm="1">
        <f t="array" ref="A274">UPPER(LOOKUP(2,1/(A$1:INDEX(A:A,ROW()-1)&lt;&gt;""),A$1:INDEX(A:A,ROW()-1)))</f>
        <v>PUR-ORD-2026-00049</v>
      </c>
      <c r="B274" s="21" t="str" cm="1">
        <f t="array" ref="B274">LOOKUP(2,1/(B$1:INDEX(B:B,ROW()-1)&lt;&gt;""),B$1:INDEX(B:B,ROW()-1))</f>
        <v>MR MD For Project Management Services EST</v>
      </c>
      <c r="H274" s="7">
        <v>20</v>
      </c>
      <c r="I274" t="s">
        <v>152</v>
      </c>
      <c r="J274" t="s">
        <v>153</v>
      </c>
      <c r="K274" s="9">
        <v>1</v>
      </c>
      <c r="L274" s="9">
        <v>20</v>
      </c>
      <c r="M274" s="20">
        <v>46297</v>
      </c>
      <c r="N274" t="s">
        <v>18</v>
      </c>
      <c r="O274" t="s">
        <v>18</v>
      </c>
      <c r="P274">
        <v>1</v>
      </c>
      <c r="Q274" s="7">
        <v>0</v>
      </c>
    </row>
    <row r="275" spans="1:17" x14ac:dyDescent="0.25">
      <c r="A275" s="21" t="str" cm="1">
        <f t="array" ref="A275">UPPER(LOOKUP(2,1/(A$1:INDEX(A:A,ROW()-1)&lt;&gt;""),A$1:INDEX(A:A,ROW()-1)))</f>
        <v>PUR-ORD-2026-00049</v>
      </c>
      <c r="B275" s="21" t="str" cm="1">
        <f t="array" ref="B275">LOOKUP(2,1/(B$1:INDEX(B:B,ROW()-1)&lt;&gt;""),B$1:INDEX(B:B,ROW()-1))</f>
        <v>MR MD For Project Management Services EST</v>
      </c>
      <c r="H275" s="7">
        <v>55</v>
      </c>
      <c r="I275" t="s">
        <v>152</v>
      </c>
      <c r="J275" t="s">
        <v>153</v>
      </c>
      <c r="K275" s="9">
        <v>1</v>
      </c>
      <c r="L275" s="9">
        <v>55</v>
      </c>
      <c r="M275" s="20">
        <v>46297</v>
      </c>
      <c r="N275" t="s">
        <v>18</v>
      </c>
      <c r="O275" t="s">
        <v>18</v>
      </c>
      <c r="P275">
        <v>1</v>
      </c>
      <c r="Q275" s="7">
        <v>0</v>
      </c>
    </row>
    <row r="276" spans="1:17" x14ac:dyDescent="0.25">
      <c r="A276" s="21" t="str" cm="1">
        <f t="array" ref="A276">UPPER(LOOKUP(2,1/(A$1:INDEX(A:A,ROW()-1)&lt;&gt;""),A$1:INDEX(A:A,ROW()-1)))</f>
        <v>PUR-ORD-2026-00049</v>
      </c>
      <c r="B276" s="21" t="str" cm="1">
        <f t="array" ref="B276">LOOKUP(2,1/(B$1:INDEX(B:B,ROW()-1)&lt;&gt;""),B$1:INDEX(B:B,ROW()-1))</f>
        <v>MR MD For Project Management Services EST</v>
      </c>
      <c r="H276" s="7">
        <v>20</v>
      </c>
      <c r="I276" t="s">
        <v>156</v>
      </c>
      <c r="J276" t="s">
        <v>157</v>
      </c>
      <c r="K276" s="9">
        <v>10</v>
      </c>
      <c r="L276" s="9">
        <v>2</v>
      </c>
      <c r="M276" s="20">
        <v>46297</v>
      </c>
      <c r="N276" t="s">
        <v>18</v>
      </c>
      <c r="O276" t="s">
        <v>18</v>
      </c>
      <c r="P276">
        <v>1</v>
      </c>
      <c r="Q276" s="7">
        <v>0</v>
      </c>
    </row>
    <row r="277" spans="1:17" x14ac:dyDescent="0.25">
      <c r="A277" s="21" t="str" cm="1">
        <f t="array" ref="A277">UPPER(LOOKUP(2,1/(A$1:INDEX(A:A,ROW()-1)&lt;&gt;""),A$1:INDEX(A:A,ROW()-1)))</f>
        <v>PUR-ORD-2026-00049</v>
      </c>
      <c r="B277" s="21" t="str" cm="1">
        <f t="array" ref="B277">LOOKUP(2,1/(B$1:INDEX(B:B,ROW()-1)&lt;&gt;""),B$1:INDEX(B:B,ROW()-1))</f>
        <v>MR MD For Project Management Services EST</v>
      </c>
      <c r="H277" s="7">
        <v>360</v>
      </c>
      <c r="I277" t="s">
        <v>158</v>
      </c>
      <c r="J277" t="s">
        <v>158</v>
      </c>
      <c r="K277" s="9">
        <v>3</v>
      </c>
      <c r="L277" s="9">
        <v>120</v>
      </c>
      <c r="M277" s="20">
        <v>46297</v>
      </c>
      <c r="N277" t="s">
        <v>147</v>
      </c>
      <c r="O277" t="s">
        <v>147</v>
      </c>
      <c r="P277">
        <v>1</v>
      </c>
      <c r="Q277" s="7">
        <v>0</v>
      </c>
    </row>
    <row r="278" spans="1:17" x14ac:dyDescent="0.25">
      <c r="A278" s="21" t="str" cm="1">
        <f t="array" ref="A278">UPPER(LOOKUP(2,1/(A$1:INDEX(A:A,ROW()-1)&lt;&gt;""),A$1:INDEX(A:A,ROW()-1)))</f>
        <v>PUR-ORD-2026-00049</v>
      </c>
      <c r="B278" s="21" t="str" cm="1">
        <f t="array" ref="B278">LOOKUP(2,1/(B$1:INDEX(B:B,ROW()-1)&lt;&gt;""),B$1:INDEX(B:B,ROW()-1))</f>
        <v>MR MD For Project Management Services EST</v>
      </c>
      <c r="H278" s="7">
        <v>425</v>
      </c>
      <c r="I278" t="s">
        <v>161</v>
      </c>
      <c r="J278" t="s">
        <v>161</v>
      </c>
      <c r="K278" s="9">
        <v>4</v>
      </c>
      <c r="L278" s="9">
        <v>106.25</v>
      </c>
      <c r="M278" s="20">
        <v>46297</v>
      </c>
      <c r="N278" t="s">
        <v>147</v>
      </c>
      <c r="O278" t="s">
        <v>147</v>
      </c>
      <c r="P278">
        <v>1</v>
      </c>
      <c r="Q278" s="7">
        <v>0</v>
      </c>
    </row>
    <row r="279" spans="1:17" x14ac:dyDescent="0.25">
      <c r="A279" s="21" t="str" cm="1">
        <f t="array" ref="A279">UPPER(LOOKUP(2,1/(A$1:INDEX(A:A,ROW()-1)&lt;&gt;""),A$1:INDEX(A:A,ROW()-1)))</f>
        <v>PUR-ORD-2026-00049</v>
      </c>
      <c r="B279" s="21" t="str" cm="1">
        <f t="array" ref="B279">LOOKUP(2,1/(B$1:INDEX(B:B,ROW()-1)&lt;&gt;""),B$1:INDEX(B:B,ROW()-1))</f>
        <v>MR MD For Project Management Services EST</v>
      </c>
      <c r="H279" s="7">
        <v>576</v>
      </c>
      <c r="I279" t="s">
        <v>164</v>
      </c>
      <c r="J279" t="s">
        <v>164</v>
      </c>
      <c r="K279" s="9">
        <v>8</v>
      </c>
      <c r="L279" s="9">
        <v>72</v>
      </c>
      <c r="M279" s="20">
        <v>46297</v>
      </c>
      <c r="N279" t="s">
        <v>147</v>
      </c>
      <c r="O279" t="s">
        <v>147</v>
      </c>
      <c r="P279">
        <v>1</v>
      </c>
      <c r="Q279" s="7">
        <v>0</v>
      </c>
    </row>
    <row r="280" spans="1:17" x14ac:dyDescent="0.25">
      <c r="A280" s="21" t="str" cm="1">
        <f t="array" ref="A280">UPPER(LOOKUP(2,1/(A$1:INDEX(A:A,ROW()-1)&lt;&gt;""),A$1:INDEX(A:A,ROW()-1)))</f>
        <v>PUR-ORD-2026-00049</v>
      </c>
      <c r="B280" s="21" t="str" cm="1">
        <f t="array" ref="B280">LOOKUP(2,1/(B$1:INDEX(B:B,ROW()-1)&lt;&gt;""),B$1:INDEX(B:B,ROW()-1))</f>
        <v>MR MD For Project Management Services EST</v>
      </c>
      <c r="H280" s="7">
        <v>39</v>
      </c>
      <c r="I280" t="s">
        <v>167</v>
      </c>
      <c r="J280" t="s">
        <v>167</v>
      </c>
      <c r="K280" s="9">
        <v>3</v>
      </c>
      <c r="L280" s="9">
        <v>13</v>
      </c>
      <c r="M280" s="20">
        <v>46297</v>
      </c>
      <c r="N280" t="s">
        <v>18</v>
      </c>
      <c r="O280" t="s">
        <v>18</v>
      </c>
      <c r="P280">
        <v>1</v>
      </c>
      <c r="Q280" s="7">
        <v>0</v>
      </c>
    </row>
    <row r="281" spans="1:17" x14ac:dyDescent="0.25">
      <c r="A281" s="21" t="str" cm="1">
        <f t="array" ref="A281">UPPER(LOOKUP(2,1/(A$1:INDEX(A:A,ROW()-1)&lt;&gt;""),A$1:INDEX(A:A,ROW()-1)))</f>
        <v>PUR-ORD-2026-00049</v>
      </c>
      <c r="B281" s="21" t="str" cm="1">
        <f t="array" ref="B281">LOOKUP(2,1/(B$1:INDEX(B:B,ROW()-1)&lt;&gt;""),B$1:INDEX(B:B,ROW()-1))</f>
        <v>MR MD For Project Management Services EST</v>
      </c>
      <c r="H281" s="7">
        <v>37.5</v>
      </c>
      <c r="I281" t="s">
        <v>168</v>
      </c>
      <c r="J281" t="s">
        <v>168</v>
      </c>
      <c r="K281" s="9">
        <v>5</v>
      </c>
      <c r="L281" s="9">
        <v>7.5</v>
      </c>
      <c r="M281" s="20">
        <v>46297</v>
      </c>
      <c r="N281" t="s">
        <v>18</v>
      </c>
      <c r="O281" t="s">
        <v>18</v>
      </c>
      <c r="P281">
        <v>1</v>
      </c>
      <c r="Q281" s="7">
        <v>0</v>
      </c>
    </row>
    <row r="282" spans="1:17" x14ac:dyDescent="0.25">
      <c r="A282" s="21" t="str" cm="1">
        <f t="array" ref="A282">UPPER(LOOKUP(2,1/(A$1:INDEX(A:A,ROW()-1)&lt;&gt;""),A$1:INDEX(A:A,ROW()-1)))</f>
        <v>PUR-ORD-2026-00049</v>
      </c>
      <c r="B282" s="21" t="str" cm="1">
        <f t="array" ref="B282">LOOKUP(2,1/(B$1:INDEX(B:B,ROW()-1)&lt;&gt;""),B$1:INDEX(B:B,ROW()-1))</f>
        <v>MR MD For Project Management Services EST</v>
      </c>
      <c r="H282" s="7">
        <v>13</v>
      </c>
      <c r="I282" t="s">
        <v>170</v>
      </c>
      <c r="J282" t="s">
        <v>170</v>
      </c>
      <c r="K282" s="9">
        <v>2</v>
      </c>
      <c r="L282" s="9">
        <v>6.5</v>
      </c>
      <c r="M282" s="20">
        <v>46297</v>
      </c>
      <c r="N282" t="s">
        <v>147</v>
      </c>
      <c r="O282" t="s">
        <v>147</v>
      </c>
      <c r="P282">
        <v>1</v>
      </c>
      <c r="Q282" s="7">
        <v>0</v>
      </c>
    </row>
    <row r="283" spans="1:17" x14ac:dyDescent="0.25">
      <c r="A283" s="21" t="str" cm="1">
        <f t="array" ref="A283">UPPER(LOOKUP(2,1/(A$1:INDEX(A:A,ROW()-1)&lt;&gt;""),A$1:INDEX(A:A,ROW()-1)))</f>
        <v>PUR-ORD-2026-00049</v>
      </c>
      <c r="B283" s="21" t="str" cm="1">
        <f t="array" ref="B283">LOOKUP(2,1/(B$1:INDEX(B:B,ROW()-1)&lt;&gt;""),B$1:INDEX(B:B,ROW()-1))</f>
        <v>MR MD For Project Management Services EST</v>
      </c>
      <c r="H283" s="7">
        <v>495</v>
      </c>
      <c r="I283" t="s">
        <v>173</v>
      </c>
      <c r="J283" t="s">
        <v>174</v>
      </c>
      <c r="K283" s="9">
        <v>3</v>
      </c>
      <c r="L283" s="9">
        <v>165</v>
      </c>
      <c r="M283" s="20">
        <v>46297</v>
      </c>
      <c r="N283" t="s">
        <v>147</v>
      </c>
      <c r="O283" t="s">
        <v>147</v>
      </c>
      <c r="P283">
        <v>1</v>
      </c>
      <c r="Q283" s="7">
        <v>0</v>
      </c>
    </row>
    <row r="284" spans="1:17" x14ac:dyDescent="0.25">
      <c r="A284" s="21" t="str" cm="1">
        <f t="array" ref="A284">UPPER(LOOKUP(2,1/(A$1:INDEX(A:A,ROW()-1)&lt;&gt;""),A$1:INDEX(A:A,ROW()-1)))</f>
        <v>PUR-ORD-2026-00049</v>
      </c>
      <c r="B284" s="21" t="str" cm="1">
        <f t="array" ref="B284">LOOKUP(2,1/(B$1:INDEX(B:B,ROW()-1)&lt;&gt;""),B$1:INDEX(B:B,ROW()-1))</f>
        <v>MR MD For Project Management Services EST</v>
      </c>
      <c r="H284" s="7">
        <v>90</v>
      </c>
      <c r="I284" t="s">
        <v>177</v>
      </c>
      <c r="J284" t="s">
        <v>177</v>
      </c>
      <c r="K284" s="9">
        <v>5</v>
      </c>
      <c r="L284" s="9">
        <v>18</v>
      </c>
      <c r="M284" s="20">
        <v>46297</v>
      </c>
      <c r="N284" t="s">
        <v>18</v>
      </c>
      <c r="O284" t="s">
        <v>18</v>
      </c>
      <c r="P284">
        <v>1</v>
      </c>
      <c r="Q284" s="7">
        <v>0</v>
      </c>
    </row>
    <row r="285" spans="1:17" x14ac:dyDescent="0.25">
      <c r="A285" s="21" t="str" cm="1">
        <f t="array" ref="A285">UPPER(LOOKUP(2,1/(A$1:INDEX(A:A,ROW()-1)&lt;&gt;""),A$1:INDEX(A:A,ROW()-1)))</f>
        <v>PUR-ORD-2026-00049</v>
      </c>
      <c r="B285" s="21" t="str" cm="1">
        <f t="array" ref="B285">LOOKUP(2,1/(B$1:INDEX(B:B,ROW()-1)&lt;&gt;""),B$1:INDEX(B:B,ROW()-1))</f>
        <v>MR MD For Project Management Services EST</v>
      </c>
      <c r="H285" s="7">
        <v>29610</v>
      </c>
      <c r="I285" t="s">
        <v>356</v>
      </c>
      <c r="J285" t="s">
        <v>356</v>
      </c>
      <c r="K285" s="9">
        <v>235</v>
      </c>
      <c r="L285" s="9">
        <v>126</v>
      </c>
      <c r="M285" s="20">
        <v>46305</v>
      </c>
      <c r="N285" t="s">
        <v>18</v>
      </c>
      <c r="O285" t="s">
        <v>18</v>
      </c>
      <c r="P285">
        <v>1</v>
      </c>
      <c r="Q285" s="7">
        <v>0</v>
      </c>
    </row>
    <row r="286" spans="1:17" x14ac:dyDescent="0.25">
      <c r="A286" s="21" t="str" cm="1">
        <f t="array" ref="A286">UPPER(LOOKUP(2,1/(A$1:INDEX(A:A,ROW()-1)&lt;&gt;""),A$1:INDEX(A:A,ROW()-1)))</f>
        <v>PUR-ORD-2026-00049</v>
      </c>
      <c r="B286" s="21" t="str" cm="1">
        <f t="array" ref="B286">LOOKUP(2,1/(B$1:INDEX(B:B,ROW()-1)&lt;&gt;""),B$1:INDEX(B:B,ROW()-1))</f>
        <v>MR MD For Project Management Services EST</v>
      </c>
      <c r="H286" s="7">
        <v>98640</v>
      </c>
      <c r="I286" t="s">
        <v>359</v>
      </c>
      <c r="J286" t="s">
        <v>359</v>
      </c>
      <c r="K286" s="9">
        <v>822</v>
      </c>
      <c r="L286" s="9">
        <v>120</v>
      </c>
      <c r="M286" s="20">
        <v>46305</v>
      </c>
      <c r="N286" t="s">
        <v>209</v>
      </c>
      <c r="O286" t="s">
        <v>18</v>
      </c>
      <c r="P286">
        <v>1</v>
      </c>
      <c r="Q286" s="7">
        <v>0</v>
      </c>
    </row>
    <row r="287" spans="1:17" x14ac:dyDescent="0.25">
      <c r="A287" s="21" t="str" cm="1">
        <f t="array" ref="A287">UPPER(LOOKUP(2,1/(A$1:INDEX(A:A,ROW()-1)&lt;&gt;""),A$1:INDEX(A:A,ROW()-1)))</f>
        <v>PUR-ORD-2026-00049</v>
      </c>
      <c r="B287" s="21" t="str" cm="1">
        <f t="array" ref="B287">LOOKUP(2,1/(B$1:INDEX(B:B,ROW()-1)&lt;&gt;""),B$1:INDEX(B:B,ROW()-1))</f>
        <v>MR MD For Project Management Services EST</v>
      </c>
      <c r="H287" s="7">
        <v>3800</v>
      </c>
      <c r="I287" t="s">
        <v>498</v>
      </c>
      <c r="J287" t="s">
        <v>498</v>
      </c>
      <c r="K287" s="9">
        <v>200</v>
      </c>
      <c r="L287" s="9">
        <v>19</v>
      </c>
      <c r="M287" s="20">
        <v>46305</v>
      </c>
      <c r="N287" t="s">
        <v>18</v>
      </c>
      <c r="O287" t="s">
        <v>18</v>
      </c>
      <c r="P287">
        <v>1</v>
      </c>
      <c r="Q287" s="7">
        <v>0</v>
      </c>
    </row>
    <row r="288" spans="1:17" x14ac:dyDescent="0.25">
      <c r="A288" s="21" t="str" cm="1">
        <f t="array" ref="A288">UPPER(LOOKUP(2,1/(A$1:INDEX(A:A,ROW()-1)&lt;&gt;""),A$1:INDEX(A:A,ROW()-1)))</f>
        <v>PUR-ORD-2026-00049</v>
      </c>
      <c r="B288" s="21" t="str" cm="1">
        <f t="array" ref="B288">LOOKUP(2,1/(B$1:INDEX(B:B,ROW()-1)&lt;&gt;""),B$1:INDEX(B:B,ROW()-1))</f>
        <v>MR MD For Project Management Services EST</v>
      </c>
      <c r="H288" s="7">
        <v>4500</v>
      </c>
      <c r="I288" t="s">
        <v>364</v>
      </c>
      <c r="J288" t="s">
        <v>363</v>
      </c>
      <c r="K288" s="9">
        <v>150</v>
      </c>
      <c r="L288" s="9">
        <v>30</v>
      </c>
      <c r="M288" s="20">
        <v>46305</v>
      </c>
      <c r="N288" t="s">
        <v>18</v>
      </c>
      <c r="O288" t="s">
        <v>18</v>
      </c>
      <c r="P288">
        <v>1</v>
      </c>
      <c r="Q288" s="7">
        <v>0</v>
      </c>
    </row>
    <row r="289" spans="1:17" x14ac:dyDescent="0.25">
      <c r="A289" s="21" t="str" cm="1">
        <f t="array" ref="A289">UPPER(LOOKUP(2,1/(A$1:INDEX(A:A,ROW()-1)&lt;&gt;""),A$1:INDEX(A:A,ROW()-1)))</f>
        <v>PUR-ORD-2026-00049</v>
      </c>
      <c r="B289" s="21" t="str" cm="1">
        <f t="array" ref="B289">LOOKUP(2,1/(B$1:INDEX(B:B,ROW()-1)&lt;&gt;""),B$1:INDEX(B:B,ROW()-1))</f>
        <v>MR MD For Project Management Services EST</v>
      </c>
      <c r="H289" s="7">
        <v>1900</v>
      </c>
      <c r="I289" t="s">
        <v>61</v>
      </c>
      <c r="J289" t="s">
        <v>61</v>
      </c>
      <c r="K289" s="9">
        <v>50</v>
      </c>
      <c r="L289" s="9">
        <v>38</v>
      </c>
      <c r="M289" s="20">
        <v>46305</v>
      </c>
      <c r="N289" t="s">
        <v>509</v>
      </c>
      <c r="O289" t="s">
        <v>18</v>
      </c>
      <c r="P289">
        <v>1</v>
      </c>
      <c r="Q289" s="7">
        <v>0</v>
      </c>
    </row>
    <row r="290" spans="1:17" x14ac:dyDescent="0.25">
      <c r="A290" s="21" t="str" cm="1">
        <f t="array" ref="A290">UPPER(LOOKUP(2,1/(A$1:INDEX(A:A,ROW()-1)&lt;&gt;""),A$1:INDEX(A:A,ROW()-1)))</f>
        <v>PUR-ORD-2026-00049</v>
      </c>
      <c r="B290" s="21" t="str" cm="1">
        <f t="array" ref="B290">LOOKUP(2,1/(B$1:INDEX(B:B,ROW()-1)&lt;&gt;""),B$1:INDEX(B:B,ROW()-1))</f>
        <v>MR MD For Project Management Services EST</v>
      </c>
      <c r="H290" s="7">
        <v>960</v>
      </c>
      <c r="I290" t="s">
        <v>514</v>
      </c>
      <c r="J290" t="s">
        <v>515</v>
      </c>
      <c r="K290" s="9">
        <v>8</v>
      </c>
      <c r="L290" s="9">
        <v>120</v>
      </c>
      <c r="M290" s="20">
        <v>46303</v>
      </c>
      <c r="N290" t="s">
        <v>18</v>
      </c>
      <c r="O290" t="s">
        <v>18</v>
      </c>
      <c r="P290">
        <v>1</v>
      </c>
      <c r="Q290" s="7">
        <v>0</v>
      </c>
    </row>
    <row r="291" spans="1:17" x14ac:dyDescent="0.25">
      <c r="A291" s="21" t="str" cm="1">
        <f t="array" ref="A291">UPPER(LOOKUP(2,1/(A$1:INDEX(A:A,ROW()-1)&lt;&gt;""),A$1:INDEX(A:A,ROW()-1)))</f>
        <v>PUR-ORD-2026-00049</v>
      </c>
      <c r="B291" s="21" t="str" cm="1">
        <f t="array" ref="B291">LOOKUP(2,1/(B$1:INDEX(B:B,ROW()-1)&lt;&gt;""),B$1:INDEX(B:B,ROW()-1))</f>
        <v>MR MD For Project Management Services EST</v>
      </c>
      <c r="H291" s="7">
        <v>191</v>
      </c>
      <c r="I291" t="s">
        <v>516</v>
      </c>
      <c r="J291" t="s">
        <v>516</v>
      </c>
      <c r="K291" s="9">
        <v>100</v>
      </c>
      <c r="L291" s="9">
        <v>1.91</v>
      </c>
      <c r="M291" s="20">
        <v>46303</v>
      </c>
      <c r="N291" t="s">
        <v>18</v>
      </c>
      <c r="O291" t="s">
        <v>18</v>
      </c>
      <c r="P291">
        <v>1</v>
      </c>
      <c r="Q291" s="7">
        <v>0</v>
      </c>
    </row>
    <row r="292" spans="1:17" x14ac:dyDescent="0.25">
      <c r="A292" s="21" t="str" cm="1">
        <f t="array" ref="A292">UPPER(LOOKUP(2,1/(A$1:INDEX(A:A,ROW()-1)&lt;&gt;""),A$1:INDEX(A:A,ROW()-1)))</f>
        <v>PUR-ORD-2026-00049</v>
      </c>
      <c r="B292" s="21" t="str" cm="1">
        <f t="array" ref="B292">LOOKUP(2,1/(B$1:INDEX(B:B,ROW()-1)&lt;&gt;""),B$1:INDEX(B:B,ROW()-1))</f>
        <v>MR MD For Project Management Services EST</v>
      </c>
      <c r="H292" s="7">
        <v>650</v>
      </c>
      <c r="I292" t="s">
        <v>208</v>
      </c>
      <c r="J292" t="s">
        <v>207</v>
      </c>
      <c r="K292" s="9">
        <v>100</v>
      </c>
      <c r="L292" s="9">
        <v>6.5</v>
      </c>
      <c r="M292" s="20">
        <v>46305</v>
      </c>
      <c r="N292" t="s">
        <v>209</v>
      </c>
      <c r="O292" t="s">
        <v>18</v>
      </c>
      <c r="P292">
        <v>1</v>
      </c>
      <c r="Q292" s="7">
        <v>0</v>
      </c>
    </row>
    <row r="293" spans="1:17" x14ac:dyDescent="0.25">
      <c r="A293" s="21" t="str" cm="1">
        <f t="array" ref="A293">UPPER(LOOKUP(2,1/(A$1:INDEX(A:A,ROW()-1)&lt;&gt;""),A$1:INDEX(A:A,ROW()-1)))</f>
        <v>PUR-ORD-2026-00049</v>
      </c>
      <c r="B293" s="21" t="str" cm="1">
        <f t="array" ref="B293">LOOKUP(2,1/(B$1:INDEX(B:B,ROW()-1)&lt;&gt;""),B$1:INDEX(B:B,ROW()-1))</f>
        <v>MR MD For Project Management Services EST</v>
      </c>
      <c r="H293" s="7">
        <v>402.5</v>
      </c>
      <c r="I293" t="s">
        <v>210</v>
      </c>
      <c r="J293" t="s">
        <v>210</v>
      </c>
      <c r="K293" s="9">
        <v>35</v>
      </c>
      <c r="L293" s="9">
        <v>11.5</v>
      </c>
      <c r="M293" s="20">
        <v>46305</v>
      </c>
      <c r="N293" t="s">
        <v>18</v>
      </c>
      <c r="O293" t="s">
        <v>18</v>
      </c>
      <c r="P293">
        <v>1</v>
      </c>
      <c r="Q293" s="7">
        <v>0</v>
      </c>
    </row>
    <row r="294" spans="1:17" x14ac:dyDescent="0.25">
      <c r="A294" s="21" t="str" cm="1">
        <f t="array" ref="A294">UPPER(LOOKUP(2,1/(A$1:INDEX(A:A,ROW()-1)&lt;&gt;""),A$1:INDEX(A:A,ROW()-1)))</f>
        <v>PUR-ORD-2026-00049</v>
      </c>
      <c r="B294" s="21" t="str" cm="1">
        <f t="array" ref="B294">LOOKUP(2,1/(B$1:INDEX(B:B,ROW()-1)&lt;&gt;""),B$1:INDEX(B:B,ROW()-1))</f>
        <v>MR MD For Project Management Services EST</v>
      </c>
      <c r="H294" s="7">
        <v>42</v>
      </c>
      <c r="I294" t="s">
        <v>211</v>
      </c>
      <c r="J294" t="s">
        <v>211</v>
      </c>
      <c r="K294" s="9">
        <v>30</v>
      </c>
      <c r="L294" s="9">
        <v>1.4</v>
      </c>
      <c r="M294" s="20">
        <v>46305</v>
      </c>
      <c r="N294" t="s">
        <v>18</v>
      </c>
      <c r="O294" t="s">
        <v>18</v>
      </c>
      <c r="P294">
        <v>1</v>
      </c>
      <c r="Q294" s="7">
        <v>0</v>
      </c>
    </row>
    <row r="295" spans="1:17" x14ac:dyDescent="0.25">
      <c r="A295" s="21" t="str" cm="1">
        <f t="array" ref="A295">UPPER(LOOKUP(2,1/(A$1:INDEX(A:A,ROW()-1)&lt;&gt;""),A$1:INDEX(A:A,ROW()-1)))</f>
        <v>PUR-ORD-2026-00049</v>
      </c>
      <c r="B295" s="21" t="str" cm="1">
        <f t="array" ref="B295">LOOKUP(2,1/(B$1:INDEX(B:B,ROW()-1)&lt;&gt;""),B$1:INDEX(B:B,ROW()-1))</f>
        <v>MR MD For Project Management Services EST</v>
      </c>
      <c r="H295" s="7">
        <v>46.5</v>
      </c>
      <c r="I295" t="s">
        <v>212</v>
      </c>
      <c r="J295" t="s">
        <v>212</v>
      </c>
      <c r="K295" s="9">
        <v>30</v>
      </c>
      <c r="L295" s="9">
        <v>1.55</v>
      </c>
      <c r="M295" s="20">
        <v>46305</v>
      </c>
      <c r="N295" t="s">
        <v>18</v>
      </c>
      <c r="O295" t="s">
        <v>18</v>
      </c>
      <c r="P295">
        <v>1</v>
      </c>
      <c r="Q295" s="7">
        <v>0</v>
      </c>
    </row>
    <row r="296" spans="1:17" x14ac:dyDescent="0.25">
      <c r="A296" s="21" t="str" cm="1">
        <f t="array" ref="A296">UPPER(LOOKUP(2,1/(A$1:INDEX(A:A,ROW()-1)&lt;&gt;""),A$1:INDEX(A:A,ROW()-1)))</f>
        <v>PUR-ORD-2026-00049</v>
      </c>
      <c r="B296" s="21" t="str" cm="1">
        <f t="array" ref="B296">LOOKUP(2,1/(B$1:INDEX(B:B,ROW()-1)&lt;&gt;""),B$1:INDEX(B:B,ROW()-1))</f>
        <v>MR MD For Project Management Services EST</v>
      </c>
      <c r="H296" s="7">
        <v>1360</v>
      </c>
      <c r="I296" t="s">
        <v>214</v>
      </c>
      <c r="J296" t="s">
        <v>214</v>
      </c>
      <c r="K296" s="9">
        <v>20</v>
      </c>
      <c r="L296" s="9">
        <v>68</v>
      </c>
      <c r="M296" s="20">
        <v>46305</v>
      </c>
      <c r="N296" t="s">
        <v>18</v>
      </c>
      <c r="O296" t="s">
        <v>18</v>
      </c>
      <c r="P296">
        <v>1</v>
      </c>
      <c r="Q296" s="7">
        <v>0</v>
      </c>
    </row>
    <row r="297" spans="1:17" x14ac:dyDescent="0.25">
      <c r="A297" s="21" t="str" cm="1">
        <f t="array" ref="A297">UPPER(LOOKUP(2,1/(A$1:INDEX(A:A,ROW()-1)&lt;&gt;""),A$1:INDEX(A:A,ROW()-1)))</f>
        <v>PUR-ORD-2026-00049</v>
      </c>
      <c r="B297" s="21" t="str" cm="1">
        <f t="array" ref="B297">LOOKUP(2,1/(B$1:INDEX(B:B,ROW()-1)&lt;&gt;""),B$1:INDEX(B:B,ROW()-1))</f>
        <v>MR MD For Project Management Services EST</v>
      </c>
      <c r="H297" s="7">
        <v>12000</v>
      </c>
      <c r="I297" t="s">
        <v>507</v>
      </c>
      <c r="J297" t="s">
        <v>507</v>
      </c>
      <c r="K297" s="9">
        <v>500</v>
      </c>
      <c r="L297" s="9">
        <v>24</v>
      </c>
      <c r="M297" s="20">
        <v>46308</v>
      </c>
      <c r="N297" t="s">
        <v>18</v>
      </c>
      <c r="O297" t="s">
        <v>18</v>
      </c>
      <c r="P297">
        <v>1</v>
      </c>
      <c r="Q297" s="7">
        <v>0</v>
      </c>
    </row>
    <row r="298" spans="1:17" x14ac:dyDescent="0.25">
      <c r="A298" s="21" t="str" cm="1">
        <f t="array" ref="A298">UPPER(LOOKUP(2,1/(A$1:INDEX(A:A,ROW()-1)&lt;&gt;""),A$1:INDEX(A:A,ROW()-1)))</f>
        <v>PUR-ORD-2026-00049</v>
      </c>
      <c r="B298" s="21" t="str" cm="1">
        <f t="array" ref="B298">LOOKUP(2,1/(B$1:INDEX(B:B,ROW()-1)&lt;&gt;""),B$1:INDEX(B:B,ROW()-1))</f>
        <v>MR MD For Project Management Services EST</v>
      </c>
      <c r="H298" s="7">
        <v>37840</v>
      </c>
      <c r="I298" t="s">
        <v>530</v>
      </c>
      <c r="J298" t="s">
        <v>103</v>
      </c>
      <c r="K298" s="9">
        <v>20</v>
      </c>
      <c r="L298" s="9">
        <v>1892</v>
      </c>
      <c r="M298" s="20">
        <v>46142</v>
      </c>
      <c r="N298" t="s">
        <v>398</v>
      </c>
      <c r="O298" t="s">
        <v>441</v>
      </c>
      <c r="P298">
        <v>220</v>
      </c>
      <c r="Q298" s="7">
        <v>0</v>
      </c>
    </row>
    <row r="299" spans="1:17" x14ac:dyDescent="0.25">
      <c r="A299" s="21" t="str" cm="1">
        <f t="array" ref="A299">UPPER(LOOKUP(2,1/(A$1:INDEX(A:A,ROW()-1)&lt;&gt;""),A$1:INDEX(A:A,ROW()-1)))</f>
        <v>PUR-ORD-2026-00049</v>
      </c>
      <c r="B299" s="21" t="str" cm="1">
        <f t="array" ref="B299">LOOKUP(2,1/(B$1:INDEX(B:B,ROW()-1)&lt;&gt;""),B$1:INDEX(B:B,ROW()-1))</f>
        <v>MR MD For Project Management Services EST</v>
      </c>
      <c r="H299" s="7">
        <v>43000</v>
      </c>
      <c r="I299" t="s">
        <v>106</v>
      </c>
      <c r="J299" t="s">
        <v>106</v>
      </c>
      <c r="K299" s="9">
        <v>20</v>
      </c>
      <c r="L299" s="9">
        <v>2150</v>
      </c>
      <c r="M299" s="20">
        <v>46142</v>
      </c>
      <c r="N299" t="s">
        <v>398</v>
      </c>
      <c r="O299" t="s">
        <v>441</v>
      </c>
      <c r="P299">
        <v>250</v>
      </c>
      <c r="Q299" s="7">
        <v>0</v>
      </c>
    </row>
    <row r="300" spans="1:17" x14ac:dyDescent="0.25">
      <c r="A300" s="21" t="str" cm="1">
        <f t="array" ref="A300">UPPER(LOOKUP(2,1/(A$1:INDEX(A:A,ROW()-1)&lt;&gt;""),A$1:INDEX(A:A,ROW()-1)))</f>
        <v>PUR-ORD-2026-00049</v>
      </c>
      <c r="B300" s="21" t="str" cm="1">
        <f t="array" ref="B300">LOOKUP(2,1/(B$1:INDEX(B:B,ROW()-1)&lt;&gt;""),B$1:INDEX(B:B,ROW()-1))</f>
        <v>MR MD For Project Management Services EST</v>
      </c>
      <c r="H300" s="7">
        <v>50600</v>
      </c>
      <c r="I300" t="s">
        <v>109</v>
      </c>
      <c r="J300" t="s">
        <v>109</v>
      </c>
      <c r="K300" s="9">
        <v>460</v>
      </c>
      <c r="L300" s="9">
        <v>110</v>
      </c>
      <c r="M300" s="20">
        <v>46142</v>
      </c>
      <c r="N300" t="s">
        <v>388</v>
      </c>
      <c r="O300" t="s">
        <v>209</v>
      </c>
      <c r="P300">
        <v>10</v>
      </c>
      <c r="Q300" s="7">
        <v>0</v>
      </c>
    </row>
    <row r="301" spans="1:17" x14ac:dyDescent="0.25">
      <c r="A301" s="21" t="str" cm="1">
        <f t="array" ref="A301">UPPER(LOOKUP(2,1/(A$1:INDEX(A:A,ROW()-1)&lt;&gt;""),A$1:INDEX(A:A,ROW()-1)))</f>
        <v>PUR-ORD-2026-00049</v>
      </c>
      <c r="B301" s="21" t="str" cm="1">
        <f t="array" ref="B301">LOOKUP(2,1/(B$1:INDEX(B:B,ROW()-1)&lt;&gt;""),B$1:INDEX(B:B,ROW()-1))</f>
        <v>MR MD For Project Management Services EST</v>
      </c>
      <c r="H301" s="7">
        <v>4</v>
      </c>
      <c r="I301" t="s">
        <v>417</v>
      </c>
      <c r="J301" t="s">
        <v>418</v>
      </c>
      <c r="K301" s="9">
        <v>1</v>
      </c>
      <c r="L301" s="9">
        <v>4</v>
      </c>
      <c r="M301" s="20">
        <v>46234</v>
      </c>
      <c r="N301" t="s">
        <v>18</v>
      </c>
      <c r="O301" t="s">
        <v>388</v>
      </c>
      <c r="P301">
        <v>1</v>
      </c>
      <c r="Q301" s="7">
        <v>0</v>
      </c>
    </row>
    <row r="302" spans="1:17" x14ac:dyDescent="0.25">
      <c r="A302" s="21" t="str" cm="1">
        <f t="array" ref="A302">UPPER(LOOKUP(2,1/(A$1:INDEX(A:A,ROW()-1)&lt;&gt;""),A$1:INDEX(A:A,ROW()-1)))</f>
        <v>PUR-ORD-2026-00049</v>
      </c>
      <c r="B302" s="21" t="str" cm="1">
        <f t="array" ref="B302">LOOKUP(2,1/(B$1:INDEX(B:B,ROW()-1)&lt;&gt;""),B$1:INDEX(B:B,ROW()-1))</f>
        <v>MR MD For Project Management Services EST</v>
      </c>
      <c r="H302" s="7">
        <v>2.5</v>
      </c>
      <c r="I302" t="s">
        <v>417</v>
      </c>
      <c r="J302" t="s">
        <v>418</v>
      </c>
      <c r="K302" s="9">
        <v>1</v>
      </c>
      <c r="L302" s="9">
        <v>2.5</v>
      </c>
      <c r="M302" s="20">
        <v>46234</v>
      </c>
      <c r="N302" t="s">
        <v>18</v>
      </c>
      <c r="O302" t="s">
        <v>388</v>
      </c>
      <c r="P302">
        <v>1</v>
      </c>
      <c r="Q302" s="7">
        <v>0</v>
      </c>
    </row>
    <row r="303" spans="1:17" x14ac:dyDescent="0.25">
      <c r="A303" s="21" t="str" cm="1">
        <f t="array" ref="A303">UPPER(LOOKUP(2,1/(A$1:INDEX(A:A,ROW()-1)&lt;&gt;""),A$1:INDEX(A:A,ROW()-1)))</f>
        <v>PUR-ORD-2026-00049</v>
      </c>
      <c r="B303" s="21" t="str" cm="1">
        <f t="array" ref="B303">LOOKUP(2,1/(B$1:INDEX(B:B,ROW()-1)&lt;&gt;""),B$1:INDEX(B:B,ROW()-1))</f>
        <v>MR MD For Project Management Services EST</v>
      </c>
      <c r="H303" s="7">
        <v>3</v>
      </c>
      <c r="I303" t="s">
        <v>417</v>
      </c>
      <c r="J303" t="s">
        <v>418</v>
      </c>
      <c r="K303" s="9">
        <v>1</v>
      </c>
      <c r="L303" s="9">
        <v>3</v>
      </c>
      <c r="M303" s="20">
        <v>46234</v>
      </c>
      <c r="N303" t="s">
        <v>18</v>
      </c>
      <c r="O303" t="s">
        <v>388</v>
      </c>
      <c r="P303">
        <v>1</v>
      </c>
      <c r="Q303" s="7">
        <v>0</v>
      </c>
    </row>
    <row r="304" spans="1:17" x14ac:dyDescent="0.25">
      <c r="A304" s="21" t="str" cm="1">
        <f t="array" ref="A304">UPPER(LOOKUP(2,1/(A$1:INDEX(A:A,ROW()-1)&lt;&gt;""),A$1:INDEX(A:A,ROW()-1)))</f>
        <v>PUR-ORD-2026-00049</v>
      </c>
      <c r="B304" s="21" t="str" cm="1">
        <f t="array" ref="B304">LOOKUP(2,1/(B$1:INDEX(B:B,ROW()-1)&lt;&gt;""),B$1:INDEX(B:B,ROW()-1))</f>
        <v>MR MD For Project Management Services EST</v>
      </c>
      <c r="H304" s="7">
        <v>3.5</v>
      </c>
      <c r="I304" t="s">
        <v>417</v>
      </c>
      <c r="J304" t="s">
        <v>418</v>
      </c>
      <c r="K304" s="9">
        <v>1</v>
      </c>
      <c r="L304" s="9">
        <v>3.5</v>
      </c>
      <c r="M304" s="20">
        <v>46234</v>
      </c>
      <c r="N304" t="s">
        <v>18</v>
      </c>
      <c r="O304" t="s">
        <v>388</v>
      </c>
      <c r="P304">
        <v>1</v>
      </c>
      <c r="Q304" s="7">
        <v>0</v>
      </c>
    </row>
    <row r="305" spans="1:17" x14ac:dyDescent="0.25">
      <c r="A305" s="21" t="str" cm="1">
        <f t="array" ref="A305">UPPER(LOOKUP(2,1/(A$1:INDEX(A:A,ROW()-1)&lt;&gt;""),A$1:INDEX(A:A,ROW()-1)))</f>
        <v>PUR-ORD-2026-00049</v>
      </c>
      <c r="B305" s="21" t="str" cm="1">
        <f t="array" ref="B305">LOOKUP(2,1/(B$1:INDEX(B:B,ROW()-1)&lt;&gt;""),B$1:INDEX(B:B,ROW()-1))</f>
        <v>MR MD For Project Management Services EST</v>
      </c>
      <c r="H305" s="7">
        <v>4</v>
      </c>
      <c r="I305" t="s">
        <v>417</v>
      </c>
      <c r="J305" t="s">
        <v>418</v>
      </c>
      <c r="K305" s="9">
        <v>1</v>
      </c>
      <c r="L305" s="9">
        <v>4</v>
      </c>
      <c r="M305" s="20">
        <v>46234</v>
      </c>
      <c r="N305" t="s">
        <v>18</v>
      </c>
      <c r="O305" t="s">
        <v>388</v>
      </c>
      <c r="P305">
        <v>1</v>
      </c>
      <c r="Q305" s="7">
        <v>0</v>
      </c>
    </row>
    <row r="306" spans="1:17" x14ac:dyDescent="0.25">
      <c r="A306" s="21" t="str" cm="1">
        <f t="array" ref="A306">UPPER(LOOKUP(2,1/(A$1:INDEX(A:A,ROW()-1)&lt;&gt;""),A$1:INDEX(A:A,ROW()-1)))</f>
        <v>PUR-ORD-2026-00049</v>
      </c>
      <c r="B306" s="21" t="str" cm="1">
        <f t="array" ref="B306">LOOKUP(2,1/(B$1:INDEX(B:B,ROW()-1)&lt;&gt;""),B$1:INDEX(B:B,ROW()-1))</f>
        <v>MR MD For Project Management Services EST</v>
      </c>
      <c r="H306" s="7">
        <v>7</v>
      </c>
      <c r="I306" t="s">
        <v>417</v>
      </c>
      <c r="J306" t="s">
        <v>418</v>
      </c>
      <c r="K306" s="9">
        <v>1</v>
      </c>
      <c r="L306" s="9">
        <v>7</v>
      </c>
      <c r="M306" s="20">
        <v>46234</v>
      </c>
      <c r="N306" t="s">
        <v>18</v>
      </c>
      <c r="O306" t="s">
        <v>388</v>
      </c>
      <c r="P306">
        <v>1</v>
      </c>
      <c r="Q306" s="7">
        <v>0</v>
      </c>
    </row>
    <row r="307" spans="1:17" x14ac:dyDescent="0.25">
      <c r="A307" s="21" t="str" cm="1">
        <f t="array" ref="A307">UPPER(LOOKUP(2,1/(A$1:INDEX(A:A,ROW()-1)&lt;&gt;""),A$1:INDEX(A:A,ROW()-1)))</f>
        <v>PUR-ORD-2026-00049</v>
      </c>
      <c r="B307" s="21" t="str" cm="1">
        <f t="array" ref="B307">LOOKUP(2,1/(B$1:INDEX(B:B,ROW()-1)&lt;&gt;""),B$1:INDEX(B:B,ROW()-1))</f>
        <v>MR MD For Project Management Services EST</v>
      </c>
      <c r="H307" s="7">
        <v>9</v>
      </c>
      <c r="I307" t="s">
        <v>417</v>
      </c>
      <c r="J307" t="s">
        <v>418</v>
      </c>
      <c r="K307" s="9">
        <v>1</v>
      </c>
      <c r="L307" s="9">
        <v>9</v>
      </c>
      <c r="M307" s="20">
        <v>46234</v>
      </c>
      <c r="N307" t="s">
        <v>18</v>
      </c>
      <c r="O307" t="s">
        <v>388</v>
      </c>
      <c r="P307">
        <v>1</v>
      </c>
      <c r="Q307" s="7">
        <v>0</v>
      </c>
    </row>
    <row r="308" spans="1:17" x14ac:dyDescent="0.25">
      <c r="A308" s="21" t="str" cm="1">
        <f t="array" ref="A308">UPPER(LOOKUP(2,1/(A$1:INDEX(A:A,ROW()-1)&lt;&gt;""),A$1:INDEX(A:A,ROW()-1)))</f>
        <v>PUR-ORD-2026-00049</v>
      </c>
      <c r="B308" s="21" t="str" cm="1">
        <f t="array" ref="B308">LOOKUP(2,1/(B$1:INDEX(B:B,ROW()-1)&lt;&gt;""),B$1:INDEX(B:B,ROW()-1))</f>
        <v>MR MD For Project Management Services EST</v>
      </c>
      <c r="H308" s="7">
        <v>1</v>
      </c>
      <c r="I308" t="s">
        <v>417</v>
      </c>
      <c r="J308" t="s">
        <v>418</v>
      </c>
      <c r="K308" s="9">
        <v>1</v>
      </c>
      <c r="L308" s="9">
        <v>1</v>
      </c>
      <c r="M308" s="20">
        <v>46234</v>
      </c>
      <c r="N308" t="s">
        <v>18</v>
      </c>
      <c r="O308" t="s">
        <v>388</v>
      </c>
      <c r="P308">
        <v>1</v>
      </c>
      <c r="Q308" s="7">
        <v>0</v>
      </c>
    </row>
    <row r="309" spans="1:17" x14ac:dyDescent="0.25">
      <c r="A309" s="21" t="str" cm="1">
        <f t="array" ref="A309">UPPER(LOOKUP(2,1/(A$1:INDEX(A:A,ROW()-1)&lt;&gt;""),A$1:INDEX(A:A,ROW()-1)))</f>
        <v>PUR-ORD-2026-00049</v>
      </c>
      <c r="B309" s="21" t="str" cm="1">
        <f t="array" ref="B309">LOOKUP(2,1/(B$1:INDEX(B:B,ROW()-1)&lt;&gt;""),B$1:INDEX(B:B,ROW()-1))</f>
        <v>MR MD For Project Management Services EST</v>
      </c>
      <c r="H309" s="7">
        <v>13.5</v>
      </c>
      <c r="I309" t="s">
        <v>410</v>
      </c>
      <c r="J309" t="s">
        <v>410</v>
      </c>
      <c r="K309" s="9">
        <v>1</v>
      </c>
      <c r="L309" s="9">
        <v>13.5</v>
      </c>
      <c r="M309" s="20">
        <v>46265</v>
      </c>
      <c r="N309" t="s">
        <v>18</v>
      </c>
      <c r="O309" t="s">
        <v>388</v>
      </c>
      <c r="P309">
        <v>1</v>
      </c>
      <c r="Q309" s="7">
        <v>0</v>
      </c>
    </row>
    <row r="310" spans="1:17" x14ac:dyDescent="0.25">
      <c r="A310" s="21" t="str" cm="1">
        <f t="array" ref="A310">UPPER(LOOKUP(2,1/(A$1:INDEX(A:A,ROW()-1)&lt;&gt;""),A$1:INDEX(A:A,ROW()-1)))</f>
        <v>PUR-ORD-2026-00049</v>
      </c>
      <c r="B310" s="21" t="str" cm="1">
        <f t="array" ref="B310">LOOKUP(2,1/(B$1:INDEX(B:B,ROW()-1)&lt;&gt;""),B$1:INDEX(B:B,ROW()-1))</f>
        <v>MR MD For Project Management Services EST</v>
      </c>
      <c r="H310" s="7">
        <v>1.3</v>
      </c>
      <c r="I310" t="s">
        <v>410</v>
      </c>
      <c r="J310" t="s">
        <v>410</v>
      </c>
      <c r="K310" s="9">
        <v>1</v>
      </c>
      <c r="L310" s="9">
        <v>1.3</v>
      </c>
      <c r="M310" s="20">
        <v>46265</v>
      </c>
      <c r="N310" t="s">
        <v>18</v>
      </c>
      <c r="O310" t="s">
        <v>388</v>
      </c>
      <c r="P310">
        <v>1</v>
      </c>
      <c r="Q310" s="7">
        <v>0</v>
      </c>
    </row>
    <row r="311" spans="1:17" x14ac:dyDescent="0.25">
      <c r="A311" s="21" t="str" cm="1">
        <f t="array" ref="A311">UPPER(LOOKUP(2,1/(A$1:INDEX(A:A,ROW()-1)&lt;&gt;""),A$1:INDEX(A:A,ROW()-1)))</f>
        <v>PUR-ORD-2026-00049</v>
      </c>
      <c r="B311" s="21" t="str" cm="1">
        <f t="array" ref="B311">LOOKUP(2,1/(B$1:INDEX(B:B,ROW()-1)&lt;&gt;""),B$1:INDEX(B:B,ROW()-1))</f>
        <v>MR MD For Project Management Services EST</v>
      </c>
      <c r="H311" s="7">
        <v>5</v>
      </c>
      <c r="I311" t="s">
        <v>410</v>
      </c>
      <c r="J311" t="s">
        <v>410</v>
      </c>
      <c r="K311" s="9">
        <v>1</v>
      </c>
      <c r="L311" s="9">
        <v>5</v>
      </c>
      <c r="M311" s="20">
        <v>46265</v>
      </c>
      <c r="N311" t="s">
        <v>18</v>
      </c>
      <c r="O311" t="s">
        <v>388</v>
      </c>
      <c r="P311">
        <v>1</v>
      </c>
      <c r="Q311" s="7">
        <v>0</v>
      </c>
    </row>
    <row r="312" spans="1:17" x14ac:dyDescent="0.25">
      <c r="A312" s="21" t="str" cm="1">
        <f t="array" ref="A312">UPPER(LOOKUP(2,1/(A$1:INDEX(A:A,ROW()-1)&lt;&gt;""),A$1:INDEX(A:A,ROW()-1)))</f>
        <v>PUR-ORD-2026-00049</v>
      </c>
      <c r="B312" s="21" t="str" cm="1">
        <f t="array" ref="B312">LOOKUP(2,1/(B$1:INDEX(B:B,ROW()-1)&lt;&gt;""),B$1:INDEX(B:B,ROW()-1))</f>
        <v>MR MD For Project Management Services EST</v>
      </c>
      <c r="H312" s="7">
        <v>5</v>
      </c>
      <c r="I312" t="s">
        <v>410</v>
      </c>
      <c r="J312" t="s">
        <v>410</v>
      </c>
      <c r="K312" s="9">
        <v>1</v>
      </c>
      <c r="L312" s="9">
        <v>5</v>
      </c>
      <c r="M312" s="20">
        <v>46265</v>
      </c>
      <c r="N312" t="s">
        <v>18</v>
      </c>
      <c r="O312" t="s">
        <v>444</v>
      </c>
      <c r="P312">
        <v>1</v>
      </c>
      <c r="Q312" s="7">
        <v>0</v>
      </c>
    </row>
    <row r="313" spans="1:17" x14ac:dyDescent="0.25">
      <c r="A313" s="21" t="str" cm="1">
        <f t="array" ref="A313">UPPER(LOOKUP(2,1/(A$1:INDEX(A:A,ROW()-1)&lt;&gt;""),A$1:INDEX(A:A,ROW()-1)))</f>
        <v>PUR-ORD-2026-00049</v>
      </c>
      <c r="B313" s="21" t="str" cm="1">
        <f t="array" ref="B313">LOOKUP(2,1/(B$1:INDEX(B:B,ROW()-1)&lt;&gt;""),B$1:INDEX(B:B,ROW()-1))</f>
        <v>MR MD For Project Management Services EST</v>
      </c>
      <c r="H313" s="7">
        <v>495</v>
      </c>
      <c r="I313" t="s">
        <v>182</v>
      </c>
      <c r="J313" t="s">
        <v>182</v>
      </c>
      <c r="K313" s="9">
        <v>30</v>
      </c>
      <c r="L313" s="9">
        <v>16.5</v>
      </c>
      <c r="M313" s="20">
        <v>46246</v>
      </c>
      <c r="N313" t="s">
        <v>18</v>
      </c>
      <c r="O313" t="s">
        <v>18</v>
      </c>
      <c r="P313">
        <v>1</v>
      </c>
      <c r="Q313" s="7">
        <v>0</v>
      </c>
    </row>
    <row r="314" spans="1:17" x14ac:dyDescent="0.25">
      <c r="A314" s="21" t="str" cm="1">
        <f t="array" ref="A314">UPPER(LOOKUP(2,1/(A$1:INDEX(A:A,ROW()-1)&lt;&gt;""),A$1:INDEX(A:A,ROW()-1)))</f>
        <v>PUR-ORD-2026-00049</v>
      </c>
      <c r="B314" s="21" t="str" cm="1">
        <f t="array" ref="B314">LOOKUP(2,1/(B$1:INDEX(B:B,ROW()-1)&lt;&gt;""),B$1:INDEX(B:B,ROW()-1))</f>
        <v>MR MD For Project Management Services EST</v>
      </c>
      <c r="H314" s="7">
        <v>825</v>
      </c>
      <c r="I314" t="s">
        <v>235</v>
      </c>
      <c r="J314" t="s">
        <v>235</v>
      </c>
      <c r="K314" s="9">
        <v>300</v>
      </c>
      <c r="L314" s="9">
        <v>2.75</v>
      </c>
      <c r="M314" s="20">
        <v>46246</v>
      </c>
      <c r="N314" t="s">
        <v>18</v>
      </c>
      <c r="O314" t="s">
        <v>18</v>
      </c>
      <c r="P314">
        <v>1</v>
      </c>
      <c r="Q314" s="7">
        <v>0</v>
      </c>
    </row>
    <row r="315" spans="1:17" x14ac:dyDescent="0.25">
      <c r="A315" s="21" t="str" cm="1">
        <f t="array" ref="A315">UPPER(LOOKUP(2,1/(A$1:INDEX(A:A,ROW()-1)&lt;&gt;""),A$1:INDEX(A:A,ROW()-1)))</f>
        <v>PUR-ORD-2026-00049</v>
      </c>
      <c r="B315" s="21" t="str" cm="1">
        <f t="array" ref="B315">LOOKUP(2,1/(B$1:INDEX(B:B,ROW()-1)&lt;&gt;""),B$1:INDEX(B:B,ROW()-1))</f>
        <v>MR MD For Project Management Services EST</v>
      </c>
      <c r="H315" s="7">
        <v>17250</v>
      </c>
      <c r="I315" t="s">
        <v>544</v>
      </c>
      <c r="J315" t="s">
        <v>544</v>
      </c>
      <c r="K315" s="9">
        <v>115</v>
      </c>
      <c r="L315" s="9">
        <v>150</v>
      </c>
      <c r="M315" s="20">
        <v>46247</v>
      </c>
      <c r="N315" t="s">
        <v>18</v>
      </c>
      <c r="O315" t="s">
        <v>18</v>
      </c>
      <c r="P315">
        <v>1</v>
      </c>
      <c r="Q315" s="7">
        <v>0</v>
      </c>
    </row>
    <row r="316" spans="1:17" x14ac:dyDescent="0.25">
      <c r="A316" s="21" t="str" cm="1">
        <f t="array" ref="A316">UPPER(LOOKUP(2,1/(A$1:INDEX(A:A,ROW()-1)&lt;&gt;""),A$1:INDEX(A:A,ROW()-1)))</f>
        <v>PUR-ORD-2026-00049</v>
      </c>
      <c r="B316" s="21" t="str" cm="1">
        <f t="array" ref="B316">LOOKUP(2,1/(B$1:INDEX(B:B,ROW()-1)&lt;&gt;""),B$1:INDEX(B:B,ROW()-1))</f>
        <v>MR MD For Project Management Services EST</v>
      </c>
      <c r="H316" s="7">
        <v>480</v>
      </c>
      <c r="I316" t="s">
        <v>37</v>
      </c>
      <c r="J316" t="s">
        <v>37</v>
      </c>
      <c r="K316" s="9">
        <v>8</v>
      </c>
      <c r="L316" s="9">
        <v>60</v>
      </c>
      <c r="M316" s="20">
        <v>46022</v>
      </c>
      <c r="N316" t="s">
        <v>38</v>
      </c>
      <c r="O316" t="s">
        <v>38</v>
      </c>
      <c r="P316">
        <v>1</v>
      </c>
      <c r="Q316" s="7">
        <v>0</v>
      </c>
    </row>
    <row r="317" spans="1:17" x14ac:dyDescent="0.25">
      <c r="A317" s="21" t="str" cm="1">
        <f t="array" ref="A317">UPPER(LOOKUP(2,1/(A$1:INDEX(A:A,ROW()-1)&lt;&gt;""),A$1:INDEX(A:A,ROW()-1)))</f>
        <v>PUR-ORD-2026-00049</v>
      </c>
      <c r="B317" s="21" t="str" cm="1">
        <f t="array" ref="B317">LOOKUP(2,1/(B$1:INDEX(B:B,ROW()-1)&lt;&gt;""),B$1:INDEX(B:B,ROW()-1))</f>
        <v>MR MD For Project Management Services EST</v>
      </c>
      <c r="H317" s="7">
        <v>1360</v>
      </c>
      <c r="I317" t="s">
        <v>563</v>
      </c>
      <c r="J317" t="s">
        <v>563</v>
      </c>
      <c r="K317" s="9">
        <v>20</v>
      </c>
      <c r="L317" s="9">
        <v>68</v>
      </c>
      <c r="M317" s="20">
        <v>46022</v>
      </c>
      <c r="N317" t="s">
        <v>564</v>
      </c>
      <c r="O317" t="s">
        <v>564</v>
      </c>
      <c r="P317">
        <v>1</v>
      </c>
      <c r="Q317" s="7">
        <v>0</v>
      </c>
    </row>
    <row r="318" spans="1:17" x14ac:dyDescent="0.25">
      <c r="A318" s="21" t="str" cm="1">
        <f t="array" ref="A318">UPPER(LOOKUP(2,1/(A$1:INDEX(A:A,ROW()-1)&lt;&gt;""),A$1:INDEX(A:A,ROW()-1)))</f>
        <v>PUR-ORD-2026-00049</v>
      </c>
      <c r="B318" s="21" t="str" cm="1">
        <f t="array" ref="B318">LOOKUP(2,1/(B$1:INDEX(B:B,ROW()-1)&lt;&gt;""),B$1:INDEX(B:B,ROW()-1))</f>
        <v>MR MD For Project Management Services EST</v>
      </c>
      <c r="H318" s="7">
        <v>885</v>
      </c>
      <c r="I318" t="s">
        <v>567</v>
      </c>
      <c r="J318" t="s">
        <v>567</v>
      </c>
      <c r="K318" s="9">
        <v>1</v>
      </c>
      <c r="L318" s="9">
        <v>885</v>
      </c>
      <c r="M318" s="20">
        <v>46022</v>
      </c>
      <c r="N318" t="s">
        <v>398</v>
      </c>
      <c r="O318" t="s">
        <v>441</v>
      </c>
      <c r="P318">
        <v>1</v>
      </c>
      <c r="Q318" s="7">
        <v>0</v>
      </c>
    </row>
    <row r="319" spans="1:17" x14ac:dyDescent="0.25">
      <c r="A319" s="21" t="str" cm="1">
        <f t="array" ref="A319">UPPER(LOOKUP(2,1/(A$1:INDEX(A:A,ROW()-1)&lt;&gt;""),A$1:INDEX(A:A,ROW()-1)))</f>
        <v>PUR-ORD-2026-00049</v>
      </c>
      <c r="B319" s="21" t="str" cm="1">
        <f t="array" ref="B319">LOOKUP(2,1/(B$1:INDEX(B:B,ROW()-1)&lt;&gt;""),B$1:INDEX(B:B,ROW()-1))</f>
        <v>MR MD For Project Management Services EST</v>
      </c>
      <c r="H319" s="7">
        <v>34</v>
      </c>
      <c r="I319" t="s">
        <v>584</v>
      </c>
      <c r="J319" t="s">
        <v>585</v>
      </c>
      <c r="K319" s="9">
        <v>1</v>
      </c>
      <c r="L319" s="9">
        <v>34</v>
      </c>
      <c r="M319" s="20">
        <v>46022</v>
      </c>
      <c r="N319" t="s">
        <v>564</v>
      </c>
      <c r="O319" t="s">
        <v>564</v>
      </c>
      <c r="P319">
        <v>1</v>
      </c>
      <c r="Q319" s="7">
        <v>0</v>
      </c>
    </row>
    <row r="320" spans="1:17" x14ac:dyDescent="0.25">
      <c r="A320" s="21" t="str" cm="1">
        <f t="array" ref="A320">UPPER(LOOKUP(2,1/(A$1:INDEX(A:A,ROW()-1)&lt;&gt;""),A$1:INDEX(A:A,ROW()-1)))</f>
        <v>PUR-ORD-2026-00049</v>
      </c>
      <c r="B320" s="21" t="str" cm="1">
        <f t="array" ref="B320">LOOKUP(2,1/(B$1:INDEX(B:B,ROW()-1)&lt;&gt;""),B$1:INDEX(B:B,ROW()-1))</f>
        <v>MR MD For Project Management Services EST</v>
      </c>
      <c r="H320" s="7">
        <v>25</v>
      </c>
      <c r="I320" t="s">
        <v>586</v>
      </c>
      <c r="J320" t="s">
        <v>587</v>
      </c>
      <c r="K320" s="9">
        <v>1</v>
      </c>
      <c r="L320" s="9">
        <v>25</v>
      </c>
      <c r="M320" s="20">
        <v>46022</v>
      </c>
      <c r="N320" t="s">
        <v>564</v>
      </c>
      <c r="O320" t="s">
        <v>564</v>
      </c>
      <c r="P320">
        <v>1</v>
      </c>
      <c r="Q320" s="7">
        <v>0</v>
      </c>
    </row>
    <row r="321" spans="1:17" x14ac:dyDescent="0.25">
      <c r="A321" s="21" t="str" cm="1">
        <f t="array" ref="A321">UPPER(LOOKUP(2,1/(A$1:INDEX(A:A,ROW()-1)&lt;&gt;""),A$1:INDEX(A:A,ROW()-1)))</f>
        <v>PUR-ORD-2026-00049</v>
      </c>
      <c r="B321" s="21" t="str" cm="1">
        <f t="array" ref="B321">LOOKUP(2,1/(B$1:INDEX(B:B,ROW()-1)&lt;&gt;""),B$1:INDEX(B:B,ROW()-1))</f>
        <v>MR MD For Project Management Services EST</v>
      </c>
      <c r="H321" s="7">
        <v>32</v>
      </c>
      <c r="I321" t="s">
        <v>588</v>
      </c>
      <c r="J321" t="s">
        <v>588</v>
      </c>
      <c r="K321" s="9">
        <v>4</v>
      </c>
      <c r="L321" s="9">
        <v>8</v>
      </c>
      <c r="M321" s="20">
        <v>46022</v>
      </c>
      <c r="N321" t="s">
        <v>209</v>
      </c>
      <c r="O321" t="s">
        <v>209</v>
      </c>
      <c r="P321">
        <v>1</v>
      </c>
      <c r="Q321" s="7">
        <v>0</v>
      </c>
    </row>
    <row r="322" spans="1:17" x14ac:dyDescent="0.25">
      <c r="A322" s="21" t="str" cm="1">
        <f t="array" ref="A322">UPPER(LOOKUP(2,1/(A$1:INDEX(A:A,ROW()-1)&lt;&gt;""),A$1:INDEX(A:A,ROW()-1)))</f>
        <v>PUR-ORD-2026-00049</v>
      </c>
      <c r="B322" s="21" t="str" cm="1">
        <f t="array" ref="B322">LOOKUP(2,1/(B$1:INDEX(B:B,ROW()-1)&lt;&gt;""),B$1:INDEX(B:B,ROW()-1))</f>
        <v>MR MD For Project Management Services EST</v>
      </c>
      <c r="H322" s="7">
        <v>40</v>
      </c>
      <c r="I322" t="s">
        <v>589</v>
      </c>
      <c r="J322" t="s">
        <v>590</v>
      </c>
      <c r="K322" s="9">
        <v>2</v>
      </c>
      <c r="L322" s="9">
        <v>20</v>
      </c>
      <c r="M322" s="20">
        <v>46022</v>
      </c>
      <c r="N322" t="s">
        <v>18</v>
      </c>
      <c r="O322" t="s">
        <v>18</v>
      </c>
      <c r="P322">
        <v>1</v>
      </c>
      <c r="Q322" s="7">
        <v>0</v>
      </c>
    </row>
    <row r="323" spans="1:17" x14ac:dyDescent="0.25">
      <c r="A323" s="21" t="str" cm="1">
        <f t="array" ref="A323">UPPER(LOOKUP(2,1/(A$1:INDEX(A:A,ROW()-1)&lt;&gt;""),A$1:INDEX(A:A,ROW()-1)))</f>
        <v>PUR-ORD-2026-00049</v>
      </c>
      <c r="B323" s="21" t="str" cm="1">
        <f t="array" ref="B323">LOOKUP(2,1/(B$1:INDEX(B:B,ROW()-1)&lt;&gt;""),B$1:INDEX(B:B,ROW()-1))</f>
        <v>MR MD For Project Management Services EST</v>
      </c>
      <c r="H323" s="7">
        <v>450</v>
      </c>
      <c r="I323" t="s">
        <v>591</v>
      </c>
      <c r="J323" t="s">
        <v>591</v>
      </c>
      <c r="K323" s="9">
        <v>6</v>
      </c>
      <c r="L323" s="9">
        <v>75</v>
      </c>
      <c r="M323" s="20">
        <v>46022</v>
      </c>
      <c r="N323" t="s">
        <v>209</v>
      </c>
      <c r="O323" t="s">
        <v>209</v>
      </c>
      <c r="P323">
        <v>1</v>
      </c>
      <c r="Q323" s="7">
        <v>0</v>
      </c>
    </row>
    <row r="324" spans="1:17" x14ac:dyDescent="0.25">
      <c r="A324" s="21" t="str" cm="1">
        <f t="array" ref="A324">UPPER(LOOKUP(2,1/(A$1:INDEX(A:A,ROW()-1)&lt;&gt;""),A$1:INDEX(A:A,ROW()-1)))</f>
        <v>PUR-ORD-2026-00049</v>
      </c>
      <c r="B324" s="21" t="str" cm="1">
        <f t="array" ref="B324">LOOKUP(2,1/(B$1:INDEX(B:B,ROW()-1)&lt;&gt;""),B$1:INDEX(B:B,ROW()-1))</f>
        <v>MR MD For Project Management Services EST</v>
      </c>
      <c r="H324" s="7">
        <v>65</v>
      </c>
      <c r="I324" t="s">
        <v>592</v>
      </c>
      <c r="J324" t="s">
        <v>592</v>
      </c>
      <c r="K324" s="9">
        <v>1</v>
      </c>
      <c r="L324" s="9">
        <v>65</v>
      </c>
      <c r="M324" s="20">
        <v>46022</v>
      </c>
      <c r="N324" t="s">
        <v>18</v>
      </c>
      <c r="O324" t="s">
        <v>138</v>
      </c>
      <c r="P324">
        <v>24</v>
      </c>
      <c r="Q324" s="7">
        <v>0</v>
      </c>
    </row>
    <row r="325" spans="1:17" x14ac:dyDescent="0.25">
      <c r="A325" s="21" t="str" cm="1">
        <f t="array" ref="A325">UPPER(LOOKUP(2,1/(A$1:INDEX(A:A,ROW()-1)&lt;&gt;""),A$1:INDEX(A:A,ROW()-1)))</f>
        <v>PUR-ORD-2026-00049</v>
      </c>
      <c r="B325" s="21" t="str" cm="1">
        <f t="array" ref="B325">LOOKUP(2,1/(B$1:INDEX(B:B,ROW()-1)&lt;&gt;""),B$1:INDEX(B:B,ROW()-1))</f>
        <v>MR MD For Project Management Services EST</v>
      </c>
      <c r="H325" s="7">
        <v>24000</v>
      </c>
      <c r="I325" t="s">
        <v>61</v>
      </c>
      <c r="J325" t="s">
        <v>61</v>
      </c>
      <c r="K325" s="9">
        <v>750</v>
      </c>
      <c r="L325" s="9">
        <v>32</v>
      </c>
      <c r="M325" s="20">
        <v>46022</v>
      </c>
      <c r="N325" t="s">
        <v>509</v>
      </c>
      <c r="O325" t="s">
        <v>509</v>
      </c>
      <c r="P325">
        <v>1</v>
      </c>
      <c r="Q325" s="7">
        <v>0</v>
      </c>
    </row>
    <row r="326" spans="1:17" x14ac:dyDescent="0.25">
      <c r="A326" s="21" t="str" cm="1">
        <f t="array" ref="A326">UPPER(LOOKUP(2,1/(A$1:INDEX(A:A,ROW()-1)&lt;&gt;""),A$1:INDEX(A:A,ROW()-1)))</f>
        <v>PUR-ORD-2026-00049</v>
      </c>
      <c r="B326" s="21" t="str" cm="1">
        <f t="array" ref="B326">LOOKUP(2,1/(B$1:INDEX(B:B,ROW()-1)&lt;&gt;""),B$1:INDEX(B:B,ROW()-1))</f>
        <v>MR MD For Project Management Services EST</v>
      </c>
      <c r="H326" s="7">
        <v>550</v>
      </c>
      <c r="I326" t="s">
        <v>235</v>
      </c>
      <c r="J326" t="s">
        <v>235</v>
      </c>
      <c r="K326" s="9">
        <v>200</v>
      </c>
      <c r="L326" s="9">
        <v>2.75</v>
      </c>
      <c r="M326" s="20">
        <v>46022</v>
      </c>
      <c r="N326" t="s">
        <v>18</v>
      </c>
      <c r="O326" t="s">
        <v>18</v>
      </c>
      <c r="P326">
        <v>1</v>
      </c>
      <c r="Q326" s="7">
        <v>0</v>
      </c>
    </row>
    <row r="327" spans="1:17" x14ac:dyDescent="0.25">
      <c r="A327" s="21" t="str" cm="1">
        <f t="array" ref="A327">UPPER(LOOKUP(2,1/(A$1:INDEX(A:A,ROW()-1)&lt;&gt;""),A$1:INDEX(A:A,ROW()-1)))</f>
        <v>PUR-ORD-2026-00049</v>
      </c>
      <c r="B327" s="21" t="str" cm="1">
        <f t="array" ref="B327">LOOKUP(2,1/(B$1:INDEX(B:B,ROW()-1)&lt;&gt;""),B$1:INDEX(B:B,ROW()-1))</f>
        <v>MR MD For Project Management Services EST</v>
      </c>
      <c r="H327" s="7">
        <v>225</v>
      </c>
      <c r="I327" t="s">
        <v>597</v>
      </c>
      <c r="J327" t="s">
        <v>597</v>
      </c>
      <c r="K327" s="9">
        <v>50</v>
      </c>
      <c r="L327" s="9">
        <v>4.5</v>
      </c>
      <c r="M327" s="20">
        <v>46022</v>
      </c>
      <c r="N327" t="s">
        <v>18</v>
      </c>
      <c r="O327" t="s">
        <v>18</v>
      </c>
      <c r="P327">
        <v>1</v>
      </c>
      <c r="Q327" s="7">
        <v>0</v>
      </c>
    </row>
    <row r="328" spans="1:17" x14ac:dyDescent="0.25">
      <c r="A328" s="21" t="str" cm="1">
        <f t="array" ref="A328">UPPER(LOOKUP(2,1/(A$1:INDEX(A:A,ROW()-1)&lt;&gt;""),A$1:INDEX(A:A,ROW()-1)))</f>
        <v>PUR-ORD-2026-00049</v>
      </c>
      <c r="B328" s="21" t="str" cm="1">
        <f t="array" ref="B328">LOOKUP(2,1/(B$1:INDEX(B:B,ROW()-1)&lt;&gt;""),B$1:INDEX(B:B,ROW()-1))</f>
        <v>MR MD For Project Management Services EST</v>
      </c>
      <c r="H328" s="7">
        <v>300</v>
      </c>
      <c r="I328" t="s">
        <v>236</v>
      </c>
      <c r="J328" t="s">
        <v>236</v>
      </c>
      <c r="K328" s="9">
        <v>50</v>
      </c>
      <c r="L328" s="9">
        <v>6</v>
      </c>
      <c r="M328" s="20">
        <v>46022</v>
      </c>
      <c r="N328" t="s">
        <v>18</v>
      </c>
      <c r="O328" t="s">
        <v>18</v>
      </c>
      <c r="P328">
        <v>1</v>
      </c>
      <c r="Q328" s="7">
        <v>0</v>
      </c>
    </row>
    <row r="329" spans="1:17" x14ac:dyDescent="0.25">
      <c r="A329" s="21" t="str" cm="1">
        <f t="array" ref="A329">UPPER(LOOKUP(2,1/(A$1:INDEX(A:A,ROW()-1)&lt;&gt;""),A$1:INDEX(A:A,ROW()-1)))</f>
        <v>PUR-ORD-2026-00049</v>
      </c>
      <c r="B329" s="21" t="str" cm="1">
        <f t="array" ref="B329">LOOKUP(2,1/(B$1:INDEX(B:B,ROW()-1)&lt;&gt;""),B$1:INDEX(B:B,ROW()-1))</f>
        <v>MR MD For Project Management Services EST</v>
      </c>
      <c r="H329" s="7">
        <v>1050</v>
      </c>
      <c r="I329" t="s">
        <v>598</v>
      </c>
      <c r="J329" t="s">
        <v>598</v>
      </c>
      <c r="K329" s="9">
        <v>300</v>
      </c>
      <c r="L329" s="9">
        <v>3.5</v>
      </c>
      <c r="M329" s="20">
        <v>46022</v>
      </c>
      <c r="N329" t="s">
        <v>18</v>
      </c>
      <c r="O329" t="s">
        <v>18</v>
      </c>
      <c r="P329">
        <v>1</v>
      </c>
      <c r="Q329" s="7">
        <v>0</v>
      </c>
    </row>
    <row r="330" spans="1:17" x14ac:dyDescent="0.25">
      <c r="A330" s="21" t="str" cm="1">
        <f t="array" ref="A330">UPPER(LOOKUP(2,1/(A$1:INDEX(A:A,ROW()-1)&lt;&gt;""),A$1:INDEX(A:A,ROW()-1)))</f>
        <v>PUR-ORD-2026-00049</v>
      </c>
      <c r="B330" s="21" t="str" cm="1">
        <f t="array" ref="B330">LOOKUP(2,1/(B$1:INDEX(B:B,ROW()-1)&lt;&gt;""),B$1:INDEX(B:B,ROW()-1))</f>
        <v>MR MD For Project Management Services EST</v>
      </c>
      <c r="H330" s="7">
        <v>200</v>
      </c>
      <c r="I330" t="s">
        <v>237</v>
      </c>
      <c r="J330" t="s">
        <v>237</v>
      </c>
      <c r="K330" s="9">
        <v>100</v>
      </c>
      <c r="L330" s="9">
        <v>2</v>
      </c>
      <c r="M330" s="20">
        <v>46022</v>
      </c>
      <c r="N330" t="s">
        <v>18</v>
      </c>
      <c r="O330" t="s">
        <v>18</v>
      </c>
      <c r="P330">
        <v>1</v>
      </c>
      <c r="Q330" s="7">
        <v>0</v>
      </c>
    </row>
    <row r="331" spans="1:17" x14ac:dyDescent="0.25">
      <c r="A331" s="21" t="str" cm="1">
        <f t="array" ref="A331">UPPER(LOOKUP(2,1/(A$1:INDEX(A:A,ROW()-1)&lt;&gt;""),A$1:INDEX(A:A,ROW()-1)))</f>
        <v>PUR-ORD-2026-00049</v>
      </c>
      <c r="B331" s="21" t="str" cm="1">
        <f t="array" ref="B331">LOOKUP(2,1/(B$1:INDEX(B:B,ROW()-1)&lt;&gt;""),B$1:INDEX(B:B,ROW()-1))</f>
        <v>MR MD For Project Management Services EST</v>
      </c>
      <c r="H331" s="7">
        <v>370</v>
      </c>
      <c r="I331" t="s">
        <v>599</v>
      </c>
      <c r="J331" t="s">
        <v>599</v>
      </c>
      <c r="K331" s="9">
        <v>20</v>
      </c>
      <c r="L331" s="9">
        <v>18.5</v>
      </c>
      <c r="M331" s="20">
        <v>46022</v>
      </c>
      <c r="N331" t="s">
        <v>18</v>
      </c>
      <c r="O331" t="s">
        <v>18</v>
      </c>
      <c r="P331">
        <v>1</v>
      </c>
      <c r="Q331" s="7">
        <v>0</v>
      </c>
    </row>
    <row r="332" spans="1:17" x14ac:dyDescent="0.25">
      <c r="A332" s="21" t="str" cm="1">
        <f t="array" ref="A332">UPPER(LOOKUP(2,1/(A$1:INDEX(A:A,ROW()-1)&lt;&gt;""),A$1:INDEX(A:A,ROW()-1)))</f>
        <v>PUR-ORD-2026-00049</v>
      </c>
      <c r="B332" s="21" t="str" cm="1">
        <f t="array" ref="B332">LOOKUP(2,1/(B$1:INDEX(B:B,ROW()-1)&lt;&gt;""),B$1:INDEX(B:B,ROW()-1))</f>
        <v>MR MD For Project Management Services EST</v>
      </c>
      <c r="H332" s="7">
        <v>4700</v>
      </c>
      <c r="I332" t="s">
        <v>242</v>
      </c>
      <c r="J332" t="s">
        <v>242</v>
      </c>
      <c r="K332" s="9">
        <v>100</v>
      </c>
      <c r="L332" s="9">
        <v>47</v>
      </c>
      <c r="M332" s="20">
        <v>46022</v>
      </c>
      <c r="N332" t="s">
        <v>394</v>
      </c>
      <c r="O332" t="s">
        <v>394</v>
      </c>
      <c r="P332">
        <v>1</v>
      </c>
      <c r="Q332" s="7">
        <v>0</v>
      </c>
    </row>
    <row r="333" spans="1:17" x14ac:dyDescent="0.25">
      <c r="A333" s="21" t="str" cm="1">
        <f t="array" ref="A333">UPPER(LOOKUP(2,1/(A$1:INDEX(A:A,ROW()-1)&lt;&gt;""),A$1:INDEX(A:A,ROW()-1)))</f>
        <v>PUR-ORD-2026-00049</v>
      </c>
      <c r="B333" s="21" t="str" cm="1">
        <f t="array" ref="B333">LOOKUP(2,1/(B$1:INDEX(B:B,ROW()-1)&lt;&gt;""),B$1:INDEX(B:B,ROW()-1))</f>
        <v>MR MD For Project Management Services EST</v>
      </c>
      <c r="H333" s="7">
        <v>3060</v>
      </c>
      <c r="I333" t="s">
        <v>603</v>
      </c>
      <c r="J333" t="s">
        <v>604</v>
      </c>
      <c r="K333" s="9">
        <v>60</v>
      </c>
      <c r="L333" s="9">
        <v>51</v>
      </c>
      <c r="M333" s="20">
        <v>46300</v>
      </c>
      <c r="N333" t="s">
        <v>18</v>
      </c>
      <c r="O333" t="s">
        <v>18</v>
      </c>
      <c r="P333">
        <v>1</v>
      </c>
      <c r="Q333" s="7">
        <v>0</v>
      </c>
    </row>
    <row r="334" spans="1:17" x14ac:dyDescent="0.25">
      <c r="A334" s="21" t="str" cm="1">
        <f t="array" ref="A334">UPPER(LOOKUP(2,1/(A$1:INDEX(A:A,ROW()-1)&lt;&gt;""),A$1:INDEX(A:A,ROW()-1)))</f>
        <v>PUR-ORD-2026-00049</v>
      </c>
      <c r="B334" s="21" t="str" cm="1">
        <f t="array" ref="B334">LOOKUP(2,1/(B$1:INDEX(B:B,ROW()-1)&lt;&gt;""),B$1:INDEX(B:B,ROW()-1))</f>
        <v>MR MD For Project Management Services EST</v>
      </c>
      <c r="H334" s="7">
        <v>3520</v>
      </c>
      <c r="I334" t="s">
        <v>605</v>
      </c>
      <c r="J334" t="s">
        <v>606</v>
      </c>
      <c r="K334" s="9">
        <v>40</v>
      </c>
      <c r="L334" s="9">
        <v>88</v>
      </c>
      <c r="M334" s="20">
        <v>46300</v>
      </c>
      <c r="N334" t="s">
        <v>18</v>
      </c>
      <c r="O334" t="s">
        <v>18</v>
      </c>
      <c r="P334">
        <v>1</v>
      </c>
      <c r="Q334" s="7">
        <v>0</v>
      </c>
    </row>
    <row r="335" spans="1:17" x14ac:dyDescent="0.25">
      <c r="A335" s="21" t="str" cm="1">
        <f t="array" ref="A335">UPPER(LOOKUP(2,1/(A$1:INDEX(A:A,ROW()-1)&lt;&gt;""),A$1:INDEX(A:A,ROW()-1)))</f>
        <v>PUR-ORD-2026-00049</v>
      </c>
      <c r="B335" s="21" t="str" cm="1">
        <f t="array" ref="B335">LOOKUP(2,1/(B$1:INDEX(B:B,ROW()-1)&lt;&gt;""),B$1:INDEX(B:B,ROW()-1))</f>
        <v>MR MD For Project Management Services EST</v>
      </c>
      <c r="H335" s="7">
        <v>11000</v>
      </c>
      <c r="I335" t="s">
        <v>607</v>
      </c>
      <c r="J335" t="s">
        <v>607</v>
      </c>
      <c r="K335" s="9">
        <v>100</v>
      </c>
      <c r="L335" s="9">
        <v>110</v>
      </c>
      <c r="M335" s="20">
        <v>46300</v>
      </c>
      <c r="N335" t="s">
        <v>18</v>
      </c>
      <c r="O335" t="s">
        <v>18</v>
      </c>
      <c r="P335">
        <v>1</v>
      </c>
      <c r="Q335" s="7">
        <v>0</v>
      </c>
    </row>
    <row r="336" spans="1:17" x14ac:dyDescent="0.25">
      <c r="A336" s="21" t="str" cm="1">
        <f t="array" ref="A336">UPPER(LOOKUP(2,1/(A$1:INDEX(A:A,ROW()-1)&lt;&gt;""),A$1:INDEX(A:A,ROW()-1)))</f>
        <v>PUR-ORD-2026-00049</v>
      </c>
      <c r="B336" s="21" t="str" cm="1">
        <f t="array" ref="B336">LOOKUP(2,1/(B$1:INDEX(B:B,ROW()-1)&lt;&gt;""),B$1:INDEX(B:B,ROW()-1))</f>
        <v>MR MD For Project Management Services EST</v>
      </c>
      <c r="H336" s="7">
        <v>5600</v>
      </c>
      <c r="I336" t="s">
        <v>274</v>
      </c>
      <c r="J336" t="s">
        <v>273</v>
      </c>
      <c r="K336" s="9">
        <v>50</v>
      </c>
      <c r="L336" s="9">
        <v>112</v>
      </c>
      <c r="M336" s="20">
        <v>46300</v>
      </c>
      <c r="N336" t="s">
        <v>18</v>
      </c>
      <c r="O336" t="s">
        <v>18</v>
      </c>
      <c r="P336">
        <v>1</v>
      </c>
      <c r="Q336" s="7">
        <v>0</v>
      </c>
    </row>
    <row r="337" spans="1:17" x14ac:dyDescent="0.25">
      <c r="A337" s="21" t="str" cm="1">
        <f t="array" ref="A337">UPPER(LOOKUP(2,1/(A$1:INDEX(A:A,ROW()-1)&lt;&gt;""),A$1:INDEX(A:A,ROW()-1)))</f>
        <v>PUR-ORD-2026-00049</v>
      </c>
      <c r="B337" s="21" t="str" cm="1">
        <f t="array" ref="B337">LOOKUP(2,1/(B$1:INDEX(B:B,ROW()-1)&lt;&gt;""),B$1:INDEX(B:B,ROW()-1))</f>
        <v>MR MD For Project Management Services EST</v>
      </c>
      <c r="H337" s="7">
        <v>14100</v>
      </c>
      <c r="I337" t="s">
        <v>258</v>
      </c>
      <c r="J337" t="s">
        <v>257</v>
      </c>
      <c r="K337" s="9">
        <v>300</v>
      </c>
      <c r="L337" s="9">
        <v>47</v>
      </c>
      <c r="M337" s="20">
        <v>46300</v>
      </c>
      <c r="N337" t="s">
        <v>18</v>
      </c>
      <c r="O337" t="s">
        <v>18</v>
      </c>
      <c r="P337">
        <v>1</v>
      </c>
      <c r="Q337" s="7">
        <v>0</v>
      </c>
    </row>
    <row r="338" spans="1:17" x14ac:dyDescent="0.25">
      <c r="A338" s="21" t="str" cm="1">
        <f t="array" ref="A338">UPPER(LOOKUP(2,1/(A$1:INDEX(A:A,ROW()-1)&lt;&gt;""),A$1:INDEX(A:A,ROW()-1)))</f>
        <v>PUR-ORD-2026-00049</v>
      </c>
      <c r="B338" s="21" t="str" cm="1">
        <f t="array" ref="B338">LOOKUP(2,1/(B$1:INDEX(B:B,ROW()-1)&lt;&gt;""),B$1:INDEX(B:B,ROW()-1))</f>
        <v>MR MD For Project Management Services EST</v>
      </c>
      <c r="H338" s="7">
        <v>2910</v>
      </c>
      <c r="I338" t="s">
        <v>608</v>
      </c>
      <c r="J338" t="s">
        <v>609</v>
      </c>
      <c r="K338" s="9">
        <v>30</v>
      </c>
      <c r="L338" s="9">
        <v>97</v>
      </c>
      <c r="M338" s="20">
        <v>46300</v>
      </c>
      <c r="N338" t="s">
        <v>18</v>
      </c>
      <c r="O338" t="s">
        <v>18</v>
      </c>
      <c r="P338">
        <v>1</v>
      </c>
      <c r="Q338" s="7">
        <v>0</v>
      </c>
    </row>
    <row r="339" spans="1:17" x14ac:dyDescent="0.25">
      <c r="A339" s="21" t="str" cm="1">
        <f t="array" ref="A339">UPPER(LOOKUP(2,1/(A$1:INDEX(A:A,ROW()-1)&lt;&gt;""),A$1:INDEX(A:A,ROW()-1)))</f>
        <v>PUR-ORD-2026-00049</v>
      </c>
      <c r="B339" s="21" t="str" cm="1">
        <f t="array" ref="B339">LOOKUP(2,1/(B$1:INDEX(B:B,ROW()-1)&lt;&gt;""),B$1:INDEX(B:B,ROW()-1))</f>
        <v>MR MD For Project Management Services EST</v>
      </c>
      <c r="H339" s="7">
        <v>6480</v>
      </c>
      <c r="I339" t="s">
        <v>263</v>
      </c>
      <c r="J339" t="s">
        <v>264</v>
      </c>
      <c r="K339" s="9">
        <v>30</v>
      </c>
      <c r="L339" s="9">
        <v>216</v>
      </c>
      <c r="M339" s="20">
        <v>46300</v>
      </c>
      <c r="N339" t="s">
        <v>18</v>
      </c>
      <c r="O339" t="s">
        <v>18</v>
      </c>
      <c r="P339">
        <v>1</v>
      </c>
      <c r="Q339" s="7">
        <v>0</v>
      </c>
    </row>
    <row r="340" spans="1:17" x14ac:dyDescent="0.25">
      <c r="A340" s="21" t="str" cm="1">
        <f t="array" ref="A340">UPPER(LOOKUP(2,1/(A$1:INDEX(A:A,ROW()-1)&lt;&gt;""),A$1:INDEX(A:A,ROW()-1)))</f>
        <v>PUR-ORD-2026-00049</v>
      </c>
      <c r="B340" s="21" t="str" cm="1">
        <f t="array" ref="B340">LOOKUP(2,1/(B$1:INDEX(B:B,ROW()-1)&lt;&gt;""),B$1:INDEX(B:B,ROW()-1))</f>
        <v>MR MD For Project Management Services EST</v>
      </c>
      <c r="H340" s="7">
        <v>680</v>
      </c>
      <c r="I340" t="s">
        <v>610</v>
      </c>
      <c r="J340" t="s">
        <v>611</v>
      </c>
      <c r="K340" s="9">
        <v>2</v>
      </c>
      <c r="L340" s="9">
        <v>340</v>
      </c>
      <c r="M340" s="20">
        <v>46300</v>
      </c>
      <c r="N340" t="s">
        <v>18</v>
      </c>
      <c r="O340" t="s">
        <v>18</v>
      </c>
      <c r="P340">
        <v>1</v>
      </c>
      <c r="Q340" s="7">
        <v>0</v>
      </c>
    </row>
    <row r="341" spans="1:17" x14ac:dyDescent="0.25">
      <c r="A341" s="21" t="str" cm="1">
        <f t="array" ref="A341">UPPER(LOOKUP(2,1/(A$1:INDEX(A:A,ROW()-1)&lt;&gt;""),A$1:INDEX(A:A,ROW()-1)))</f>
        <v>PUR-ORD-2026-00049</v>
      </c>
      <c r="B341" s="21" t="str" cm="1">
        <f t="array" ref="B341">LOOKUP(2,1/(B$1:INDEX(B:B,ROW()-1)&lt;&gt;""),B$1:INDEX(B:B,ROW()-1))</f>
        <v>MR MD For Project Management Services EST</v>
      </c>
      <c r="H341" s="7">
        <v>2040</v>
      </c>
      <c r="I341" t="s">
        <v>616</v>
      </c>
      <c r="J341" t="s">
        <v>617</v>
      </c>
      <c r="K341" s="9">
        <v>3</v>
      </c>
      <c r="L341" s="9">
        <v>680</v>
      </c>
      <c r="M341" s="20">
        <v>46301</v>
      </c>
      <c r="N341" t="s">
        <v>18</v>
      </c>
      <c r="O341" t="s">
        <v>18</v>
      </c>
      <c r="P341">
        <v>1</v>
      </c>
      <c r="Q341" s="7">
        <v>0</v>
      </c>
    </row>
    <row r="342" spans="1:17" x14ac:dyDescent="0.25">
      <c r="A342" s="21" t="str" cm="1">
        <f t="array" ref="A342">UPPER(LOOKUP(2,1/(A$1:INDEX(A:A,ROW()-1)&lt;&gt;""),A$1:INDEX(A:A,ROW()-1)))</f>
        <v>PUR-ORD-2026-00049</v>
      </c>
      <c r="B342" s="21" t="str" cm="1">
        <f t="array" ref="B342">LOOKUP(2,1/(B$1:INDEX(B:B,ROW()-1)&lt;&gt;""),B$1:INDEX(B:B,ROW()-1))</f>
        <v>MR MD For Project Management Services EST</v>
      </c>
      <c r="H342" s="7">
        <v>600</v>
      </c>
      <c r="I342" t="s">
        <v>624</v>
      </c>
      <c r="J342" t="s">
        <v>625</v>
      </c>
      <c r="K342" s="9">
        <v>50</v>
      </c>
      <c r="L342" s="9">
        <v>12</v>
      </c>
      <c r="M342" s="20">
        <v>46308</v>
      </c>
      <c r="N342" t="s">
        <v>527</v>
      </c>
      <c r="O342" t="s">
        <v>527</v>
      </c>
      <c r="P342">
        <v>1</v>
      </c>
      <c r="Q342" s="7">
        <v>0</v>
      </c>
    </row>
    <row r="343" spans="1:17" x14ac:dyDescent="0.25">
      <c r="A343" s="21" t="str" cm="1">
        <f t="array" ref="A343">UPPER(LOOKUP(2,1/(A$1:INDEX(A:A,ROW()-1)&lt;&gt;""),A$1:INDEX(A:A,ROW()-1)))</f>
        <v>PUR-ORD-2026-00049</v>
      </c>
      <c r="B343" s="21" t="str" cm="1">
        <f t="array" ref="B343">LOOKUP(2,1/(B$1:INDEX(B:B,ROW()-1)&lt;&gt;""),B$1:INDEX(B:B,ROW()-1))</f>
        <v>MR MD For Project Management Services EST</v>
      </c>
      <c r="H343" s="7">
        <v>1100</v>
      </c>
      <c r="I343" t="s">
        <v>630</v>
      </c>
      <c r="J343" t="s">
        <v>630</v>
      </c>
      <c r="K343" s="9">
        <v>4</v>
      </c>
      <c r="L343" s="9">
        <v>275</v>
      </c>
      <c r="M343" s="20">
        <v>46308</v>
      </c>
      <c r="N343" t="s">
        <v>18</v>
      </c>
      <c r="O343" t="s">
        <v>18</v>
      </c>
      <c r="P343">
        <v>1</v>
      </c>
      <c r="Q343" s="7">
        <v>0</v>
      </c>
    </row>
    <row r="344" spans="1:17" x14ac:dyDescent="0.25">
      <c r="A344" s="21" t="str" cm="1">
        <f t="array" ref="A344">UPPER(LOOKUP(2,1/(A$1:INDEX(A:A,ROW()-1)&lt;&gt;""),A$1:INDEX(A:A,ROW()-1)))</f>
        <v>PUR-ORD-2026-00049</v>
      </c>
      <c r="B344" s="21" t="str" cm="1">
        <f t="array" ref="B344">LOOKUP(2,1/(B$1:INDEX(B:B,ROW()-1)&lt;&gt;""),B$1:INDEX(B:B,ROW()-1))</f>
        <v>MR MD For Project Management Services EST</v>
      </c>
      <c r="H344" s="7">
        <v>3150</v>
      </c>
      <c r="I344" t="s">
        <v>631</v>
      </c>
      <c r="J344" t="s">
        <v>632</v>
      </c>
      <c r="K344" s="9">
        <v>7</v>
      </c>
      <c r="L344" s="9">
        <v>450</v>
      </c>
      <c r="M344" s="20">
        <v>46308</v>
      </c>
      <c r="N344" t="s">
        <v>18</v>
      </c>
      <c r="O344" t="s">
        <v>18</v>
      </c>
      <c r="P344">
        <v>1</v>
      </c>
      <c r="Q344" s="7">
        <v>0</v>
      </c>
    </row>
    <row r="345" spans="1:17" x14ac:dyDescent="0.25">
      <c r="A345" s="21" t="str" cm="1">
        <f t="array" ref="A345">UPPER(LOOKUP(2,1/(A$1:INDEX(A:A,ROW()-1)&lt;&gt;""),A$1:INDEX(A:A,ROW()-1)))</f>
        <v>PUR-ORD-2026-00049</v>
      </c>
      <c r="B345" s="21" t="str" cm="1">
        <f t="array" ref="B345">LOOKUP(2,1/(B$1:INDEX(B:B,ROW()-1)&lt;&gt;""),B$1:INDEX(B:B,ROW()-1))</f>
        <v>MR MD For Project Management Services EST</v>
      </c>
      <c r="H345" s="7">
        <v>1700</v>
      </c>
      <c r="I345" t="s">
        <v>633</v>
      </c>
      <c r="J345" t="s">
        <v>634</v>
      </c>
      <c r="K345" s="9">
        <v>2</v>
      </c>
      <c r="L345" s="9">
        <v>850</v>
      </c>
      <c r="M345" s="20">
        <v>46308</v>
      </c>
      <c r="N345" t="s">
        <v>18</v>
      </c>
      <c r="O345" t="s">
        <v>18</v>
      </c>
      <c r="P345">
        <v>1</v>
      </c>
      <c r="Q345" s="7">
        <v>0</v>
      </c>
    </row>
    <row r="346" spans="1:17" x14ac:dyDescent="0.25">
      <c r="A346" s="21" t="str" cm="1">
        <f t="array" ref="A346">UPPER(LOOKUP(2,1/(A$1:INDEX(A:A,ROW()-1)&lt;&gt;""),A$1:INDEX(A:A,ROW()-1)))</f>
        <v>PUR-ORD-2026-00049</v>
      </c>
      <c r="B346" s="21" t="str" cm="1">
        <f t="array" ref="B346">LOOKUP(2,1/(B$1:INDEX(B:B,ROW()-1)&lt;&gt;""),B$1:INDEX(B:B,ROW()-1))</f>
        <v>MR MD For Project Management Services EST</v>
      </c>
      <c r="H346" s="7">
        <v>585</v>
      </c>
      <c r="I346" t="s">
        <v>635</v>
      </c>
      <c r="J346" t="s">
        <v>636</v>
      </c>
      <c r="K346" s="9">
        <v>1</v>
      </c>
      <c r="L346" s="9">
        <v>585</v>
      </c>
      <c r="M346" s="20">
        <v>46308</v>
      </c>
      <c r="N346" t="s">
        <v>18</v>
      </c>
      <c r="O346" t="s">
        <v>18</v>
      </c>
      <c r="P346">
        <v>1</v>
      </c>
      <c r="Q346" s="7">
        <v>0</v>
      </c>
    </row>
    <row r="347" spans="1:17" x14ac:dyDescent="0.25">
      <c r="A347" s="21" t="str" cm="1">
        <f t="array" ref="A347">UPPER(LOOKUP(2,1/(A$1:INDEX(A:A,ROW()-1)&lt;&gt;""),A$1:INDEX(A:A,ROW()-1)))</f>
        <v>PUR-ORD-2026-00049</v>
      </c>
      <c r="B347" s="21" t="str" cm="1">
        <f t="array" ref="B347">LOOKUP(2,1/(B$1:INDEX(B:B,ROW()-1)&lt;&gt;""),B$1:INDEX(B:B,ROW()-1))</f>
        <v>MR MD For Project Management Services EST</v>
      </c>
      <c r="H347" s="7">
        <v>1350</v>
      </c>
      <c r="I347" t="s">
        <v>637</v>
      </c>
      <c r="J347" t="s">
        <v>638</v>
      </c>
      <c r="K347" s="9">
        <v>3</v>
      </c>
      <c r="L347" s="9">
        <v>450</v>
      </c>
      <c r="M347" s="20">
        <v>46308</v>
      </c>
      <c r="N347" t="s">
        <v>18</v>
      </c>
      <c r="O347" t="s">
        <v>18</v>
      </c>
      <c r="P347">
        <v>1</v>
      </c>
      <c r="Q347" s="7">
        <v>0</v>
      </c>
    </row>
    <row r="348" spans="1:17" x14ac:dyDescent="0.25">
      <c r="A348" s="21" t="str" cm="1">
        <f t="array" ref="A348">UPPER(LOOKUP(2,1/(A$1:INDEX(A:A,ROW()-1)&lt;&gt;""),A$1:INDEX(A:A,ROW()-1)))</f>
        <v>PUR-ORD-2026-00049</v>
      </c>
      <c r="B348" s="21" t="str" cm="1">
        <f t="array" ref="B348">LOOKUP(2,1/(B$1:INDEX(B:B,ROW()-1)&lt;&gt;""),B$1:INDEX(B:B,ROW()-1))</f>
        <v>MR MD For Project Management Services EST</v>
      </c>
      <c r="H348" s="7">
        <v>450</v>
      </c>
      <c r="I348" t="s">
        <v>639</v>
      </c>
      <c r="J348" t="s">
        <v>640</v>
      </c>
      <c r="K348" s="9">
        <v>1</v>
      </c>
      <c r="L348" s="9">
        <v>450</v>
      </c>
      <c r="M348" s="20">
        <v>46308</v>
      </c>
      <c r="N348" t="s">
        <v>18</v>
      </c>
      <c r="O348" t="s">
        <v>18</v>
      </c>
      <c r="P348">
        <v>1</v>
      </c>
      <c r="Q348" s="7">
        <v>0</v>
      </c>
    </row>
    <row r="349" spans="1:17" x14ac:dyDescent="0.25">
      <c r="A349" s="21" t="str" cm="1">
        <f t="array" ref="A349">UPPER(LOOKUP(2,1/(A$1:INDEX(A:A,ROW()-1)&lt;&gt;""),A$1:INDEX(A:A,ROW()-1)))</f>
        <v>PUR-ORD-2026-00049</v>
      </c>
      <c r="B349" s="21" t="str" cm="1">
        <f t="array" ref="B349">LOOKUP(2,1/(B$1:INDEX(B:B,ROW()-1)&lt;&gt;""),B$1:INDEX(B:B,ROW()-1))</f>
        <v>MR MD For Project Management Services EST</v>
      </c>
      <c r="H349" s="7">
        <v>710</v>
      </c>
      <c r="I349" t="s">
        <v>641</v>
      </c>
      <c r="J349" t="s">
        <v>642</v>
      </c>
      <c r="K349" s="9">
        <v>1</v>
      </c>
      <c r="L349" s="9">
        <v>710</v>
      </c>
      <c r="M349" s="20">
        <v>46308</v>
      </c>
      <c r="N349" t="s">
        <v>18</v>
      </c>
      <c r="O349" t="s">
        <v>18</v>
      </c>
      <c r="P349">
        <v>1</v>
      </c>
      <c r="Q349" s="7">
        <v>0</v>
      </c>
    </row>
    <row r="350" spans="1:17" x14ac:dyDescent="0.25">
      <c r="A350" s="21" t="str" cm="1">
        <f t="array" ref="A350">UPPER(LOOKUP(2,1/(A$1:INDEX(A:A,ROW()-1)&lt;&gt;""),A$1:INDEX(A:A,ROW()-1)))</f>
        <v>PUR-ORD-2026-00049</v>
      </c>
      <c r="B350" s="21" t="str" cm="1">
        <f t="array" ref="B350">LOOKUP(2,1/(B$1:INDEX(B:B,ROW()-1)&lt;&gt;""),B$1:INDEX(B:B,ROW()-1))</f>
        <v>MR MD For Project Management Services EST</v>
      </c>
      <c r="H350" s="7">
        <v>750</v>
      </c>
      <c r="I350" t="s">
        <v>643</v>
      </c>
      <c r="J350" t="s">
        <v>644</v>
      </c>
      <c r="K350" s="9">
        <v>10</v>
      </c>
      <c r="L350" s="9">
        <v>75</v>
      </c>
      <c r="M350" s="20">
        <v>46308</v>
      </c>
      <c r="N350" t="s">
        <v>18</v>
      </c>
      <c r="O350" t="s">
        <v>18</v>
      </c>
      <c r="P350">
        <v>1</v>
      </c>
      <c r="Q350" s="7">
        <v>0</v>
      </c>
    </row>
    <row r="351" spans="1:17" x14ac:dyDescent="0.25">
      <c r="A351" s="21" t="str" cm="1">
        <f t="array" ref="A351">UPPER(LOOKUP(2,1/(A$1:INDEX(A:A,ROW()-1)&lt;&gt;""),A$1:INDEX(A:A,ROW()-1)))</f>
        <v>PUR-ORD-2026-00049</v>
      </c>
      <c r="B351" s="21" t="str" cm="1">
        <f t="array" ref="B351">LOOKUP(2,1/(B$1:INDEX(B:B,ROW()-1)&lt;&gt;""),B$1:INDEX(B:B,ROW()-1))</f>
        <v>MR MD For Project Management Services EST</v>
      </c>
      <c r="H351" s="7">
        <v>225</v>
      </c>
      <c r="I351" t="s">
        <v>645</v>
      </c>
      <c r="J351" t="s">
        <v>646</v>
      </c>
      <c r="K351" s="9">
        <v>1</v>
      </c>
      <c r="L351" s="9">
        <v>225</v>
      </c>
      <c r="M351" s="20">
        <v>46308</v>
      </c>
      <c r="N351" t="s">
        <v>18</v>
      </c>
      <c r="O351" t="s">
        <v>18</v>
      </c>
      <c r="P351">
        <v>1</v>
      </c>
      <c r="Q351" s="7">
        <v>0</v>
      </c>
    </row>
    <row r="352" spans="1:17" x14ac:dyDescent="0.25">
      <c r="A352" s="21" t="str" cm="1">
        <f t="array" ref="A352">UPPER(LOOKUP(2,1/(A$1:INDEX(A:A,ROW()-1)&lt;&gt;""),A$1:INDEX(A:A,ROW()-1)))</f>
        <v>PUR-ORD-2026-00049</v>
      </c>
      <c r="B352" s="21" t="str" cm="1">
        <f t="array" ref="B352">LOOKUP(2,1/(B$1:INDEX(B:B,ROW()-1)&lt;&gt;""),B$1:INDEX(B:B,ROW()-1))</f>
        <v>MR MD For Project Management Services EST</v>
      </c>
      <c r="H352" s="7">
        <v>430</v>
      </c>
      <c r="I352" t="s">
        <v>647</v>
      </c>
      <c r="J352" t="s">
        <v>648</v>
      </c>
      <c r="K352" s="9">
        <v>2</v>
      </c>
      <c r="L352" s="9">
        <v>215</v>
      </c>
      <c r="M352" s="20">
        <v>46308</v>
      </c>
      <c r="N352" t="s">
        <v>18</v>
      </c>
      <c r="O352" t="s">
        <v>18</v>
      </c>
      <c r="P352">
        <v>1</v>
      </c>
      <c r="Q352" s="7">
        <v>0</v>
      </c>
    </row>
    <row r="353" spans="1:17" x14ac:dyDescent="0.25">
      <c r="A353" s="21" t="str" cm="1">
        <f t="array" ref="A353">UPPER(LOOKUP(2,1/(A$1:INDEX(A:A,ROW()-1)&lt;&gt;""),A$1:INDEX(A:A,ROW()-1)))</f>
        <v>PUR-ORD-2026-00049</v>
      </c>
      <c r="B353" s="21" t="str" cm="1">
        <f t="array" ref="B353">LOOKUP(2,1/(B$1:INDEX(B:B,ROW()-1)&lt;&gt;""),B$1:INDEX(B:B,ROW()-1))</f>
        <v>MR MD For Project Management Services EST</v>
      </c>
      <c r="H353" s="7">
        <v>675</v>
      </c>
      <c r="I353" t="s">
        <v>649</v>
      </c>
      <c r="J353" t="s">
        <v>650</v>
      </c>
      <c r="K353" s="9">
        <v>3</v>
      </c>
      <c r="L353" s="9">
        <v>225</v>
      </c>
      <c r="M353" s="20">
        <v>46308</v>
      </c>
      <c r="N353" t="s">
        <v>18</v>
      </c>
      <c r="O353" t="s">
        <v>18</v>
      </c>
      <c r="P353">
        <v>1</v>
      </c>
      <c r="Q353" s="7">
        <v>0</v>
      </c>
    </row>
    <row r="354" spans="1:17" x14ac:dyDescent="0.25">
      <c r="A354" s="21" t="str" cm="1">
        <f t="array" ref="A354">UPPER(LOOKUP(2,1/(A$1:INDEX(A:A,ROW()-1)&lt;&gt;""),A$1:INDEX(A:A,ROW()-1)))</f>
        <v>PUR-ORD-2026-00049</v>
      </c>
      <c r="B354" s="21" t="str" cm="1">
        <f t="array" ref="B354">LOOKUP(2,1/(B$1:INDEX(B:B,ROW()-1)&lt;&gt;""),B$1:INDEX(B:B,ROW()-1))</f>
        <v>MR MD For Project Management Services EST</v>
      </c>
      <c r="H354" s="7">
        <v>675</v>
      </c>
      <c r="I354" t="s">
        <v>651</v>
      </c>
      <c r="J354" t="s">
        <v>652</v>
      </c>
      <c r="K354" s="9">
        <v>3</v>
      </c>
      <c r="L354" s="9">
        <v>225</v>
      </c>
      <c r="M354" s="20">
        <v>46308</v>
      </c>
      <c r="N354" t="s">
        <v>18</v>
      </c>
      <c r="O354" t="s">
        <v>18</v>
      </c>
      <c r="P354">
        <v>1</v>
      </c>
      <c r="Q354" s="7">
        <v>0</v>
      </c>
    </row>
    <row r="355" spans="1:17" x14ac:dyDescent="0.25">
      <c r="A355" s="21" t="str" cm="1">
        <f t="array" ref="A355">UPPER(LOOKUP(2,1/(A$1:INDEX(A:A,ROW()-1)&lt;&gt;""),A$1:INDEX(A:A,ROW()-1)))</f>
        <v>PUR-ORD-2026-00049</v>
      </c>
      <c r="B355" s="21" t="str" cm="1">
        <f t="array" ref="B355">LOOKUP(2,1/(B$1:INDEX(B:B,ROW()-1)&lt;&gt;""),B$1:INDEX(B:B,ROW()-1))</f>
        <v>MR MD For Project Management Services EST</v>
      </c>
      <c r="H355" s="7">
        <v>900</v>
      </c>
      <c r="I355" t="s">
        <v>653</v>
      </c>
      <c r="J355" t="s">
        <v>654</v>
      </c>
      <c r="K355" s="9">
        <v>2</v>
      </c>
      <c r="L355" s="9">
        <v>450</v>
      </c>
      <c r="M355" s="20">
        <v>46308</v>
      </c>
      <c r="N355" t="s">
        <v>18</v>
      </c>
      <c r="O355" t="s">
        <v>18</v>
      </c>
      <c r="P355">
        <v>1</v>
      </c>
      <c r="Q355" s="7">
        <v>0</v>
      </c>
    </row>
    <row r="356" spans="1:17" x14ac:dyDescent="0.25">
      <c r="A356" s="21" t="str" cm="1">
        <f t="array" ref="A356">UPPER(LOOKUP(2,1/(A$1:INDEX(A:A,ROW()-1)&lt;&gt;""),A$1:INDEX(A:A,ROW()-1)))</f>
        <v>PUR-ORD-2026-00049</v>
      </c>
      <c r="B356" s="21" t="str" cm="1">
        <f t="array" ref="B356">LOOKUP(2,1/(B$1:INDEX(B:B,ROW()-1)&lt;&gt;""),B$1:INDEX(B:B,ROW()-1))</f>
        <v>MR MD For Project Management Services EST</v>
      </c>
      <c r="H356" s="7">
        <v>135</v>
      </c>
      <c r="I356" t="s">
        <v>655</v>
      </c>
      <c r="J356" t="s">
        <v>656</v>
      </c>
      <c r="K356" s="9">
        <v>1</v>
      </c>
      <c r="L356" s="9">
        <v>135</v>
      </c>
      <c r="M356" s="20">
        <v>46308</v>
      </c>
      <c r="N356" t="s">
        <v>18</v>
      </c>
      <c r="O356" t="s">
        <v>18</v>
      </c>
      <c r="P356">
        <v>1</v>
      </c>
      <c r="Q356" s="7">
        <v>0</v>
      </c>
    </row>
    <row r="357" spans="1:17" x14ac:dyDescent="0.25">
      <c r="A357" s="21" t="str" cm="1">
        <f t="array" ref="A357">UPPER(LOOKUP(2,1/(A$1:INDEX(A:A,ROW()-1)&lt;&gt;""),A$1:INDEX(A:A,ROW()-1)))</f>
        <v>PUR-ORD-2026-00049</v>
      </c>
      <c r="B357" s="21" t="str" cm="1">
        <f t="array" ref="B357">LOOKUP(2,1/(B$1:INDEX(B:B,ROW()-1)&lt;&gt;""),B$1:INDEX(B:B,ROW()-1))</f>
        <v>MR MD For Project Management Services EST</v>
      </c>
      <c r="H357" s="7">
        <v>375</v>
      </c>
      <c r="I357" t="s">
        <v>657</v>
      </c>
      <c r="J357" t="s">
        <v>658</v>
      </c>
      <c r="K357" s="9">
        <v>3</v>
      </c>
      <c r="L357" s="9">
        <v>125</v>
      </c>
      <c r="M357" s="20">
        <v>46308</v>
      </c>
      <c r="N357" t="s">
        <v>18</v>
      </c>
      <c r="O357" t="s">
        <v>18</v>
      </c>
      <c r="P357">
        <v>1</v>
      </c>
      <c r="Q357" s="7">
        <v>0</v>
      </c>
    </row>
    <row r="358" spans="1:17" x14ac:dyDescent="0.25">
      <c r="A358" s="21" t="str" cm="1">
        <f t="array" ref="A358">UPPER(LOOKUP(2,1/(A$1:INDEX(A:A,ROW()-1)&lt;&gt;""),A$1:INDEX(A:A,ROW()-1)))</f>
        <v>PUR-ORD-2026-00049</v>
      </c>
      <c r="B358" s="21" t="str" cm="1">
        <f t="array" ref="B358">LOOKUP(2,1/(B$1:INDEX(B:B,ROW()-1)&lt;&gt;""),B$1:INDEX(B:B,ROW()-1))</f>
        <v>MR MD For Project Management Services EST</v>
      </c>
      <c r="H358" s="7">
        <v>450</v>
      </c>
      <c r="I358" t="s">
        <v>659</v>
      </c>
      <c r="J358" t="s">
        <v>660</v>
      </c>
      <c r="K358" s="9">
        <v>2</v>
      </c>
      <c r="L358" s="9">
        <v>225</v>
      </c>
      <c r="M358" s="20">
        <v>46308</v>
      </c>
      <c r="N358" t="s">
        <v>18</v>
      </c>
      <c r="O358" t="s">
        <v>18</v>
      </c>
      <c r="P358">
        <v>1</v>
      </c>
      <c r="Q358" s="7">
        <v>0</v>
      </c>
    </row>
    <row r="359" spans="1:17" x14ac:dyDescent="0.25">
      <c r="A359" s="21" t="str" cm="1">
        <f t="array" ref="A359">UPPER(LOOKUP(2,1/(A$1:INDEX(A:A,ROW()-1)&lt;&gt;""),A$1:INDEX(A:A,ROW()-1)))</f>
        <v>PUR-ORD-2026-00049</v>
      </c>
      <c r="B359" s="21" t="str" cm="1">
        <f t="array" ref="B359">LOOKUP(2,1/(B$1:INDEX(B:B,ROW()-1)&lt;&gt;""),B$1:INDEX(B:B,ROW()-1))</f>
        <v>MR MD For Project Management Services EST</v>
      </c>
      <c r="H359" s="7">
        <v>900</v>
      </c>
      <c r="I359" t="s">
        <v>661</v>
      </c>
      <c r="J359" t="s">
        <v>662</v>
      </c>
      <c r="K359" s="9">
        <v>2</v>
      </c>
      <c r="L359" s="9">
        <v>450</v>
      </c>
      <c r="M359" s="20">
        <v>46308</v>
      </c>
      <c r="N359" t="s">
        <v>18</v>
      </c>
      <c r="O359" t="s">
        <v>18</v>
      </c>
      <c r="P359">
        <v>1</v>
      </c>
      <c r="Q359" s="7">
        <v>0</v>
      </c>
    </row>
    <row r="360" spans="1:17" x14ac:dyDescent="0.25">
      <c r="A360" s="21" t="str" cm="1">
        <f t="array" ref="A360">UPPER(LOOKUP(2,1/(A$1:INDEX(A:A,ROW()-1)&lt;&gt;""),A$1:INDEX(A:A,ROW()-1)))</f>
        <v>PUR-ORD-2026-00049</v>
      </c>
      <c r="B360" s="21" t="str" cm="1">
        <f t="array" ref="B360">LOOKUP(2,1/(B$1:INDEX(B:B,ROW()-1)&lt;&gt;""),B$1:INDEX(B:B,ROW()-1))</f>
        <v>MR MD For Project Management Services EST</v>
      </c>
      <c r="H360" s="7">
        <v>450</v>
      </c>
      <c r="I360" t="s">
        <v>663</v>
      </c>
      <c r="J360" t="s">
        <v>664</v>
      </c>
      <c r="K360" s="9">
        <v>30</v>
      </c>
      <c r="L360" s="9">
        <v>15</v>
      </c>
      <c r="M360" s="20">
        <v>46308</v>
      </c>
      <c r="N360" t="s">
        <v>18</v>
      </c>
      <c r="O360" t="s">
        <v>18</v>
      </c>
      <c r="P360">
        <v>1</v>
      </c>
      <c r="Q360" s="7">
        <v>0</v>
      </c>
    </row>
    <row r="361" spans="1:17" x14ac:dyDescent="0.25">
      <c r="A361" s="21" t="str" cm="1">
        <f t="array" ref="A361">UPPER(LOOKUP(2,1/(A$1:INDEX(A:A,ROW()-1)&lt;&gt;""),A$1:INDEX(A:A,ROW()-1)))</f>
        <v>PUR-ORD-2026-00049</v>
      </c>
      <c r="B361" s="21" t="str" cm="1">
        <f t="array" ref="B361">LOOKUP(2,1/(B$1:INDEX(B:B,ROW()-1)&lt;&gt;""),B$1:INDEX(B:B,ROW()-1))</f>
        <v>MR MD For Project Management Services EST</v>
      </c>
      <c r="H361" s="7">
        <v>75</v>
      </c>
      <c r="I361" t="s">
        <v>665</v>
      </c>
      <c r="J361" t="s">
        <v>666</v>
      </c>
      <c r="K361" s="9">
        <v>5</v>
      </c>
      <c r="L361" s="9">
        <v>15</v>
      </c>
      <c r="M361" s="20">
        <v>46308</v>
      </c>
      <c r="N361" t="s">
        <v>18</v>
      </c>
      <c r="O361" t="s">
        <v>18</v>
      </c>
      <c r="P361">
        <v>1</v>
      </c>
      <c r="Q361" s="7">
        <v>0</v>
      </c>
    </row>
    <row r="362" spans="1:17" x14ac:dyDescent="0.25">
      <c r="A362" s="21" t="str" cm="1">
        <f t="array" ref="A362">UPPER(LOOKUP(2,1/(A$1:INDEX(A:A,ROW()-1)&lt;&gt;""),A$1:INDEX(A:A,ROW()-1)))</f>
        <v>PUR-ORD-2026-00049</v>
      </c>
      <c r="B362" s="21" t="str" cm="1">
        <f t="array" ref="B362">LOOKUP(2,1/(B$1:INDEX(B:B,ROW()-1)&lt;&gt;""),B$1:INDEX(B:B,ROW()-1))</f>
        <v>MR MD For Project Management Services EST</v>
      </c>
      <c r="H362" s="7">
        <v>50600</v>
      </c>
      <c r="I362" t="s">
        <v>189</v>
      </c>
      <c r="J362" t="s">
        <v>190</v>
      </c>
      <c r="K362" s="9">
        <v>20</v>
      </c>
      <c r="L362" s="9">
        <v>2530</v>
      </c>
      <c r="M362" s="20">
        <v>46309</v>
      </c>
      <c r="N362" t="s">
        <v>18</v>
      </c>
      <c r="O362" t="s">
        <v>18</v>
      </c>
      <c r="P362">
        <v>1</v>
      </c>
      <c r="Q362" s="7">
        <v>0</v>
      </c>
    </row>
    <row r="363" spans="1:17" x14ac:dyDescent="0.25">
      <c r="A363" s="21" t="str" cm="1">
        <f t="array" ref="A363">UPPER(LOOKUP(2,1/(A$1:INDEX(A:A,ROW()-1)&lt;&gt;""),A$1:INDEX(A:A,ROW()-1)))</f>
        <v>PUR-ORD-2026-00049</v>
      </c>
      <c r="B363" s="21" t="str" cm="1">
        <f t="array" ref="B363">LOOKUP(2,1/(B$1:INDEX(B:B,ROW()-1)&lt;&gt;""),B$1:INDEX(B:B,ROW()-1))</f>
        <v>MR MD For Project Management Services EST</v>
      </c>
      <c r="H363" s="7">
        <v>2000</v>
      </c>
      <c r="I363" t="s">
        <v>689</v>
      </c>
      <c r="J363" t="s">
        <v>689</v>
      </c>
      <c r="K363" s="9">
        <v>400</v>
      </c>
      <c r="L363" s="9">
        <v>5</v>
      </c>
      <c r="M363" s="20">
        <v>46311</v>
      </c>
      <c r="N363" t="s">
        <v>18</v>
      </c>
      <c r="O363" t="s">
        <v>18</v>
      </c>
      <c r="P363">
        <v>1</v>
      </c>
      <c r="Q363" s="7">
        <v>0</v>
      </c>
    </row>
    <row r="364" spans="1:17" x14ac:dyDescent="0.25">
      <c r="A364" s="21" t="str" cm="1">
        <f t="array" ref="A364">UPPER(LOOKUP(2,1/(A$1:INDEX(A:A,ROW()-1)&lt;&gt;""),A$1:INDEX(A:A,ROW()-1)))</f>
        <v>PUR-ORD-2026-00049</v>
      </c>
      <c r="B364" s="21" t="str" cm="1">
        <f t="array" ref="B364">LOOKUP(2,1/(B$1:INDEX(B:B,ROW()-1)&lt;&gt;""),B$1:INDEX(B:B,ROW()-1))</f>
        <v>MR MD For Project Management Services EST</v>
      </c>
      <c r="H364" s="7">
        <v>50600</v>
      </c>
      <c r="I364" t="s">
        <v>189</v>
      </c>
      <c r="J364" t="s">
        <v>190</v>
      </c>
      <c r="K364" s="9">
        <v>20</v>
      </c>
      <c r="L364" s="9">
        <v>2530</v>
      </c>
      <c r="M364" s="20">
        <v>46314</v>
      </c>
      <c r="N364" t="s">
        <v>18</v>
      </c>
      <c r="O364" t="s">
        <v>18</v>
      </c>
      <c r="P364">
        <v>1</v>
      </c>
      <c r="Q364" s="7">
        <v>0</v>
      </c>
    </row>
    <row r="365" spans="1:17" x14ac:dyDescent="0.25">
      <c r="A365" s="21" t="str" cm="1">
        <f t="array" ref="A365">UPPER(LOOKUP(2,1/(A$1:INDEX(A:A,ROW()-1)&lt;&gt;""),A$1:INDEX(A:A,ROW()-1)))</f>
        <v>PUR-ORD-2026-00049</v>
      </c>
      <c r="B365" s="21" t="str" cm="1">
        <f t="array" ref="B365">LOOKUP(2,1/(B$1:INDEX(B:B,ROW()-1)&lt;&gt;""),B$1:INDEX(B:B,ROW()-1))</f>
        <v>MR MD For Project Management Services EST</v>
      </c>
      <c r="H365" s="7">
        <v>850</v>
      </c>
      <c r="I365" t="s">
        <v>695</v>
      </c>
      <c r="J365" t="s">
        <v>696</v>
      </c>
      <c r="K365" s="9">
        <v>1</v>
      </c>
      <c r="L365" s="9">
        <v>850</v>
      </c>
      <c r="M365" s="20">
        <v>46314</v>
      </c>
      <c r="N365" t="s">
        <v>18</v>
      </c>
      <c r="O365" t="s">
        <v>18</v>
      </c>
      <c r="P365">
        <v>1</v>
      </c>
      <c r="Q365" s="7">
        <v>0</v>
      </c>
    </row>
    <row r="366" spans="1:17" x14ac:dyDescent="0.25">
      <c r="A366" s="21" t="str" cm="1">
        <f t="array" ref="A366">UPPER(LOOKUP(2,1/(A$1:INDEX(A:A,ROW()-1)&lt;&gt;""),A$1:INDEX(A:A,ROW()-1)))</f>
        <v>PUR-ORD-2026-00049</v>
      </c>
      <c r="B366" s="21" t="str" cm="1">
        <f t="array" ref="B366">LOOKUP(2,1/(B$1:INDEX(B:B,ROW()-1)&lt;&gt;""),B$1:INDEX(B:B,ROW()-1))</f>
        <v>MR MD For Project Management Services EST</v>
      </c>
      <c r="H366" s="7">
        <v>820</v>
      </c>
      <c r="I366" t="s">
        <v>697</v>
      </c>
      <c r="J366" t="s">
        <v>698</v>
      </c>
      <c r="K366" s="9">
        <v>1</v>
      </c>
      <c r="L366" s="9">
        <v>820</v>
      </c>
      <c r="M366" s="20">
        <v>46314</v>
      </c>
      <c r="N366" t="s">
        <v>18</v>
      </c>
      <c r="O366" t="s">
        <v>18</v>
      </c>
      <c r="P366">
        <v>1</v>
      </c>
      <c r="Q366" s="7">
        <v>0</v>
      </c>
    </row>
    <row r="367" spans="1:17" x14ac:dyDescent="0.25">
      <c r="A367" s="21" t="str" cm="1">
        <f t="array" ref="A367">UPPER(LOOKUP(2,1/(A$1:INDEX(A:A,ROW()-1)&lt;&gt;""),A$1:INDEX(A:A,ROW()-1)))</f>
        <v>PUR-ORD-2026-00049</v>
      </c>
      <c r="B367" s="21" t="str" cm="1">
        <f t="array" ref="B367">LOOKUP(2,1/(B$1:INDEX(B:B,ROW()-1)&lt;&gt;""),B$1:INDEX(B:B,ROW()-1))</f>
        <v>MR MD For Project Management Services EST</v>
      </c>
      <c r="H367" s="7">
        <v>630</v>
      </c>
      <c r="I367" t="s">
        <v>699</v>
      </c>
      <c r="J367" t="s">
        <v>700</v>
      </c>
      <c r="K367" s="9">
        <v>1</v>
      </c>
      <c r="L367" s="9">
        <v>630</v>
      </c>
      <c r="M367" s="20">
        <v>46314</v>
      </c>
      <c r="N367" t="s">
        <v>18</v>
      </c>
      <c r="O367" t="s">
        <v>18</v>
      </c>
      <c r="P367">
        <v>1</v>
      </c>
      <c r="Q367" s="7">
        <v>0</v>
      </c>
    </row>
    <row r="368" spans="1:17" x14ac:dyDescent="0.25">
      <c r="A368" s="21" t="str" cm="1">
        <f t="array" ref="A368">UPPER(LOOKUP(2,1/(A$1:INDEX(A:A,ROW()-1)&lt;&gt;""),A$1:INDEX(A:A,ROW()-1)))</f>
        <v>PUR-ORD-2026-00049</v>
      </c>
      <c r="B368" s="21" t="str" cm="1">
        <f t="array" ref="B368">LOOKUP(2,1/(B$1:INDEX(B:B,ROW()-1)&lt;&gt;""),B$1:INDEX(B:B,ROW()-1))</f>
        <v>MR MD For Project Management Services EST</v>
      </c>
      <c r="H368" s="7">
        <v>630</v>
      </c>
      <c r="I368" t="s">
        <v>701</v>
      </c>
      <c r="J368" t="s">
        <v>702</v>
      </c>
      <c r="K368" s="9">
        <v>1</v>
      </c>
      <c r="L368" s="9">
        <v>630</v>
      </c>
      <c r="M368" s="20">
        <v>46314</v>
      </c>
      <c r="N368" t="s">
        <v>18</v>
      </c>
      <c r="O368" t="s">
        <v>18</v>
      </c>
      <c r="P368">
        <v>1</v>
      </c>
      <c r="Q368" s="7">
        <v>0</v>
      </c>
    </row>
    <row r="369" spans="1:17" x14ac:dyDescent="0.25">
      <c r="A369" s="21" t="str" cm="1">
        <f t="array" ref="A369">UPPER(LOOKUP(2,1/(A$1:INDEX(A:A,ROW()-1)&lt;&gt;""),A$1:INDEX(A:A,ROW()-1)))</f>
        <v>PUR-ORD-2026-00049</v>
      </c>
      <c r="B369" s="21" t="str" cm="1">
        <f t="array" ref="B369">LOOKUP(2,1/(B$1:INDEX(B:B,ROW()-1)&lt;&gt;""),B$1:INDEX(B:B,ROW()-1))</f>
        <v>MR MD For Project Management Services EST</v>
      </c>
      <c r="H369" s="7">
        <v>4640</v>
      </c>
      <c r="I369" t="s">
        <v>706</v>
      </c>
      <c r="J369" t="s">
        <v>707</v>
      </c>
      <c r="K369" s="9">
        <v>10</v>
      </c>
      <c r="L369" s="9">
        <v>464</v>
      </c>
      <c r="M369" s="20">
        <v>46314</v>
      </c>
      <c r="N369" t="s">
        <v>18</v>
      </c>
      <c r="O369" t="s">
        <v>18</v>
      </c>
      <c r="P369">
        <v>1</v>
      </c>
      <c r="Q369" s="7">
        <v>0</v>
      </c>
    </row>
    <row r="370" spans="1:17" x14ac:dyDescent="0.25">
      <c r="A370" s="21" t="str" cm="1">
        <f t="array" ref="A370">UPPER(LOOKUP(2,1/(A$1:INDEX(A:A,ROW()-1)&lt;&gt;""),A$1:INDEX(A:A,ROW()-1)))</f>
        <v>PUR-ORD-2026-00049</v>
      </c>
      <c r="B370" s="21" t="str" cm="1">
        <f t="array" ref="B370">LOOKUP(2,1/(B$1:INDEX(B:B,ROW()-1)&lt;&gt;""),B$1:INDEX(B:B,ROW()-1))</f>
        <v>MR MD For Project Management Services EST</v>
      </c>
      <c r="H370" s="7">
        <v>3</v>
      </c>
      <c r="I370" t="s">
        <v>714</v>
      </c>
      <c r="J370" t="s">
        <v>715</v>
      </c>
      <c r="K370" s="9">
        <v>1</v>
      </c>
      <c r="L370" s="9">
        <v>3</v>
      </c>
      <c r="M370" s="20">
        <v>46317</v>
      </c>
      <c r="N370" t="s">
        <v>388</v>
      </c>
      <c r="O370" t="s">
        <v>388</v>
      </c>
      <c r="P370">
        <v>1</v>
      </c>
      <c r="Q370" s="7">
        <v>0</v>
      </c>
    </row>
    <row r="371" spans="1:17" x14ac:dyDescent="0.25">
      <c r="A371" s="21" t="str" cm="1">
        <f t="array" ref="A371">UPPER(LOOKUP(2,1/(A$1:INDEX(A:A,ROW()-1)&lt;&gt;""),A$1:INDEX(A:A,ROW()-1)))</f>
        <v>PUR-ORD-2026-00049</v>
      </c>
      <c r="B371" s="21" t="str" cm="1">
        <f t="array" ref="B371">LOOKUP(2,1/(B$1:INDEX(B:B,ROW()-1)&lt;&gt;""),B$1:INDEX(B:B,ROW()-1))</f>
        <v>MR MD For Project Management Services EST</v>
      </c>
      <c r="H371" s="7">
        <v>4</v>
      </c>
      <c r="I371" t="s">
        <v>716</v>
      </c>
      <c r="J371" t="s">
        <v>717</v>
      </c>
      <c r="K371" s="9">
        <v>1</v>
      </c>
      <c r="L371" s="9">
        <v>4</v>
      </c>
      <c r="M371" s="20">
        <v>46317</v>
      </c>
      <c r="N371" t="s">
        <v>388</v>
      </c>
      <c r="O371" t="s">
        <v>388</v>
      </c>
      <c r="P371">
        <v>1</v>
      </c>
      <c r="Q371" s="7">
        <v>0</v>
      </c>
    </row>
    <row r="372" spans="1:17" x14ac:dyDescent="0.25">
      <c r="A372" s="21" t="str" cm="1">
        <f t="array" ref="A372">UPPER(LOOKUP(2,1/(A$1:INDEX(A:A,ROW()-1)&lt;&gt;""),A$1:INDEX(A:A,ROW()-1)))</f>
        <v>PUR-ORD-2026-00049</v>
      </c>
      <c r="B372" s="21" t="str" cm="1">
        <f t="array" ref="B372">LOOKUP(2,1/(B$1:INDEX(B:B,ROW()-1)&lt;&gt;""),B$1:INDEX(B:B,ROW()-1))</f>
        <v>MR MD For Project Management Services EST</v>
      </c>
      <c r="H372" s="7">
        <v>4</v>
      </c>
      <c r="I372" t="s">
        <v>718</v>
      </c>
      <c r="J372" t="s">
        <v>719</v>
      </c>
      <c r="K372" s="9">
        <v>1</v>
      </c>
      <c r="L372" s="9">
        <v>4</v>
      </c>
      <c r="M372" s="20">
        <v>46317</v>
      </c>
      <c r="N372" t="s">
        <v>388</v>
      </c>
      <c r="O372" t="s">
        <v>388</v>
      </c>
      <c r="P372">
        <v>1</v>
      </c>
      <c r="Q372" s="7">
        <v>0</v>
      </c>
    </row>
    <row r="373" spans="1:17" x14ac:dyDescent="0.25">
      <c r="A373" s="21" t="str" cm="1">
        <f t="array" ref="A373">UPPER(LOOKUP(2,1/(A$1:INDEX(A:A,ROW()-1)&lt;&gt;""),A$1:INDEX(A:A,ROW()-1)))</f>
        <v>PUR-ORD-2026-00049</v>
      </c>
      <c r="B373" s="21" t="str" cm="1">
        <f t="array" ref="B373">LOOKUP(2,1/(B$1:INDEX(B:B,ROW()-1)&lt;&gt;""),B$1:INDEX(B:B,ROW()-1))</f>
        <v>MR MD For Project Management Services EST</v>
      </c>
      <c r="H373" s="7">
        <v>4608</v>
      </c>
      <c r="I373" t="s">
        <v>271</v>
      </c>
      <c r="J373" t="s">
        <v>722</v>
      </c>
      <c r="K373" s="9">
        <v>12</v>
      </c>
      <c r="L373" s="9">
        <v>384</v>
      </c>
      <c r="M373" s="20">
        <v>46312</v>
      </c>
      <c r="N373" t="s">
        <v>18</v>
      </c>
      <c r="O373" t="s">
        <v>18</v>
      </c>
      <c r="P373">
        <v>1</v>
      </c>
      <c r="Q373" s="7">
        <v>0</v>
      </c>
    </row>
    <row r="374" spans="1:17" x14ac:dyDescent="0.25">
      <c r="A374" s="21" t="str" cm="1">
        <f t="array" ref="A374">UPPER(LOOKUP(2,1/(A$1:INDEX(A:A,ROW()-1)&lt;&gt;""),A$1:INDEX(A:A,ROW()-1)))</f>
        <v>PUR-ORD-2026-00049</v>
      </c>
      <c r="B374" s="21" t="str" cm="1">
        <f t="array" ref="B374">LOOKUP(2,1/(B$1:INDEX(B:B,ROW()-1)&lt;&gt;""),B$1:INDEX(B:B,ROW()-1))</f>
        <v>MR MD For Project Management Services EST</v>
      </c>
      <c r="H374" s="7">
        <v>120</v>
      </c>
      <c r="I374" t="s">
        <v>726</v>
      </c>
      <c r="J374" t="s">
        <v>727</v>
      </c>
      <c r="K374" s="9">
        <v>12</v>
      </c>
      <c r="L374" s="9">
        <v>10</v>
      </c>
      <c r="M374" s="20">
        <v>46315</v>
      </c>
      <c r="N374" t="s">
        <v>18</v>
      </c>
      <c r="O374" t="s">
        <v>18</v>
      </c>
      <c r="P374">
        <v>1</v>
      </c>
      <c r="Q374" s="7">
        <v>0</v>
      </c>
    </row>
    <row r="375" spans="1:17" x14ac:dyDescent="0.25">
      <c r="A375" s="21" t="str" cm="1">
        <f t="array" ref="A375">UPPER(LOOKUP(2,1/(A$1:INDEX(A:A,ROW()-1)&lt;&gt;""),A$1:INDEX(A:A,ROW()-1)))</f>
        <v>PUR-ORD-2026-00049</v>
      </c>
      <c r="B375" s="21" t="str" cm="1">
        <f t="array" ref="B375">LOOKUP(2,1/(B$1:INDEX(B:B,ROW()-1)&lt;&gt;""),B$1:INDEX(B:B,ROW()-1))</f>
        <v>MR MD For Project Management Services EST</v>
      </c>
      <c r="H375" s="7">
        <v>780</v>
      </c>
      <c r="I375" t="s">
        <v>728</v>
      </c>
      <c r="J375" t="s">
        <v>729</v>
      </c>
      <c r="K375" s="9">
        <v>12</v>
      </c>
      <c r="L375" s="9">
        <v>65</v>
      </c>
      <c r="M375" s="20">
        <v>46315</v>
      </c>
      <c r="N375" t="s">
        <v>18</v>
      </c>
      <c r="O375" t="s">
        <v>18</v>
      </c>
      <c r="P375">
        <v>1</v>
      </c>
      <c r="Q375" s="7">
        <v>0</v>
      </c>
    </row>
    <row r="376" spans="1:17" x14ac:dyDescent="0.25">
      <c r="A376" s="21" t="str" cm="1">
        <f t="array" ref="A376">UPPER(LOOKUP(2,1/(A$1:INDEX(A:A,ROW()-1)&lt;&gt;""),A$1:INDEX(A:A,ROW()-1)))</f>
        <v>PUR-ORD-2026-00049</v>
      </c>
      <c r="B376" s="21" t="str" cm="1">
        <f t="array" ref="B376">LOOKUP(2,1/(B$1:INDEX(B:B,ROW()-1)&lt;&gt;""),B$1:INDEX(B:B,ROW()-1))</f>
        <v>MR MD For Project Management Services EST</v>
      </c>
      <c r="H376" s="7">
        <v>144</v>
      </c>
      <c r="I376" t="s">
        <v>730</v>
      </c>
      <c r="J376" t="s">
        <v>731</v>
      </c>
      <c r="K376" s="9">
        <v>12</v>
      </c>
      <c r="L376" s="9">
        <v>12</v>
      </c>
      <c r="M376" s="20">
        <v>46315</v>
      </c>
      <c r="N376" t="s">
        <v>18</v>
      </c>
      <c r="O376" t="s">
        <v>18</v>
      </c>
      <c r="P376">
        <v>1</v>
      </c>
      <c r="Q376" s="7">
        <v>0</v>
      </c>
    </row>
    <row r="377" spans="1:17" x14ac:dyDescent="0.25">
      <c r="A377" s="21" t="str" cm="1">
        <f t="array" ref="A377">UPPER(LOOKUP(2,1/(A$1:INDEX(A:A,ROW()-1)&lt;&gt;""),A$1:INDEX(A:A,ROW()-1)))</f>
        <v>PUR-ORD-2026-00049</v>
      </c>
      <c r="B377" s="21" t="str" cm="1">
        <f t="array" ref="B377">LOOKUP(2,1/(B$1:INDEX(B:B,ROW()-1)&lt;&gt;""),B$1:INDEX(B:B,ROW()-1))</f>
        <v>MR MD For Project Management Services EST</v>
      </c>
      <c r="H377" s="7">
        <v>600</v>
      </c>
      <c r="I377" t="s">
        <v>732</v>
      </c>
      <c r="J377" t="s">
        <v>733</v>
      </c>
      <c r="K377" s="9">
        <v>12</v>
      </c>
      <c r="L377" s="9">
        <v>50</v>
      </c>
      <c r="M377" s="20">
        <v>46315</v>
      </c>
      <c r="N377" t="s">
        <v>18</v>
      </c>
      <c r="O377" t="s">
        <v>18</v>
      </c>
      <c r="P377">
        <v>1</v>
      </c>
      <c r="Q377" s="7">
        <v>0</v>
      </c>
    </row>
    <row r="378" spans="1:17" x14ac:dyDescent="0.25">
      <c r="A378" s="21" t="str" cm="1">
        <f t="array" ref="A378">UPPER(LOOKUP(2,1/(A$1:INDEX(A:A,ROW()-1)&lt;&gt;""),A$1:INDEX(A:A,ROW()-1)))</f>
        <v>PUR-ORD-2026-00049</v>
      </c>
      <c r="B378" s="21" t="str" cm="1">
        <f t="array" ref="B378">LOOKUP(2,1/(B$1:INDEX(B:B,ROW()-1)&lt;&gt;""),B$1:INDEX(B:B,ROW()-1))</f>
        <v>MR MD For Project Management Services EST</v>
      </c>
      <c r="H378" s="7">
        <v>108675.874</v>
      </c>
      <c r="I378" t="s">
        <v>735</v>
      </c>
      <c r="J378" t="s">
        <v>736</v>
      </c>
      <c r="K378" s="9">
        <v>5333</v>
      </c>
      <c r="L378" s="9">
        <v>20.378</v>
      </c>
      <c r="M378" s="20">
        <v>46238</v>
      </c>
      <c r="N378" t="s">
        <v>18</v>
      </c>
      <c r="O378" t="s">
        <v>18</v>
      </c>
      <c r="P378">
        <v>1</v>
      </c>
      <c r="Q378" s="7">
        <v>0</v>
      </c>
    </row>
    <row r="379" spans="1:17" x14ac:dyDescent="0.25">
      <c r="A379" s="21" t="str" cm="1">
        <f t="array" ref="A379">UPPER(LOOKUP(2,1/(A$1:INDEX(A:A,ROW()-1)&lt;&gt;""),A$1:INDEX(A:A,ROW()-1)))</f>
        <v>PUR-ORD-2026-00049</v>
      </c>
      <c r="B379" s="21" t="str" cm="1">
        <f t="array" ref="B379">LOOKUP(2,1/(B$1:INDEX(B:B,ROW()-1)&lt;&gt;""),B$1:INDEX(B:B,ROW()-1))</f>
        <v>MR MD For Project Management Services EST</v>
      </c>
      <c r="H379" s="7">
        <v>290000</v>
      </c>
      <c r="I379" t="s">
        <v>740</v>
      </c>
      <c r="J379" t="s">
        <v>740</v>
      </c>
      <c r="K379" s="9">
        <v>2000</v>
      </c>
      <c r="L379" s="9">
        <v>145</v>
      </c>
      <c r="M379" s="20">
        <v>46278</v>
      </c>
      <c r="N379" t="s">
        <v>18</v>
      </c>
      <c r="O379" t="s">
        <v>18</v>
      </c>
      <c r="P379">
        <v>1</v>
      </c>
      <c r="Q379" s="7">
        <v>115</v>
      </c>
    </row>
    <row r="380" spans="1:17" x14ac:dyDescent="0.25">
      <c r="A380" s="21" t="str" cm="1">
        <f t="array" ref="A380">UPPER(LOOKUP(2,1/(A$1:INDEX(A:A,ROW()-1)&lt;&gt;""),A$1:INDEX(A:A,ROW()-1)))</f>
        <v>PUR-ORD-2026-00049</v>
      </c>
      <c r="B380" s="21" t="str" cm="1">
        <f t="array" ref="B380">LOOKUP(2,1/(B$1:INDEX(B:B,ROW()-1)&lt;&gt;""),B$1:INDEX(B:B,ROW()-1))</f>
        <v>MR MD For Project Management Services EST</v>
      </c>
      <c r="H380" s="7">
        <v>19600</v>
      </c>
      <c r="I380" t="s">
        <v>741</v>
      </c>
      <c r="J380" t="s">
        <v>742</v>
      </c>
      <c r="K380" s="9">
        <v>20</v>
      </c>
      <c r="L380" s="9">
        <v>980</v>
      </c>
      <c r="M380" s="20">
        <v>46278</v>
      </c>
      <c r="N380" t="s">
        <v>18</v>
      </c>
      <c r="O380" t="s">
        <v>18</v>
      </c>
      <c r="P380">
        <v>1</v>
      </c>
      <c r="Q380" s="7">
        <v>0</v>
      </c>
    </row>
    <row r="381" spans="1:17" x14ac:dyDescent="0.25">
      <c r="A381" s="21" t="str" cm="1">
        <f t="array" ref="A381">UPPER(LOOKUP(2,1/(A$1:INDEX(A:A,ROW()-1)&lt;&gt;""),A$1:INDEX(A:A,ROW()-1)))</f>
        <v>PUR-ORD-2026-00049</v>
      </c>
      <c r="B381" s="21" t="str" cm="1">
        <f t="array" ref="B381">LOOKUP(2,1/(B$1:INDEX(B:B,ROW()-1)&lt;&gt;""),B$1:INDEX(B:B,ROW()-1))</f>
        <v>MR MD For Project Management Services EST</v>
      </c>
      <c r="H381" s="7">
        <v>320625</v>
      </c>
      <c r="I381" t="s">
        <v>735</v>
      </c>
      <c r="J381" t="s">
        <v>736</v>
      </c>
      <c r="K381" s="9">
        <v>15000</v>
      </c>
      <c r="L381" s="9">
        <v>21.375</v>
      </c>
      <c r="M381" s="20">
        <v>46278</v>
      </c>
      <c r="N381" t="s">
        <v>18</v>
      </c>
      <c r="O381" t="s">
        <v>18</v>
      </c>
      <c r="P381">
        <v>1</v>
      </c>
      <c r="Q381" s="7">
        <v>0</v>
      </c>
    </row>
    <row r="382" spans="1:17" x14ac:dyDescent="0.25">
      <c r="A382" s="21" t="str" cm="1">
        <f t="array" ref="A382">UPPER(LOOKUP(2,1/(A$1:INDEX(A:A,ROW()-1)&lt;&gt;""),A$1:INDEX(A:A,ROW()-1)))</f>
        <v>PUR-ORD-2026-00049</v>
      </c>
      <c r="B382" s="21" t="str" cm="1">
        <f t="array" ref="B382">LOOKUP(2,1/(B$1:INDEX(B:B,ROW()-1)&lt;&gt;""),B$1:INDEX(B:B,ROW()-1))</f>
        <v>MR MD For Project Management Services EST</v>
      </c>
      <c r="H382" s="7">
        <v>94218.75</v>
      </c>
      <c r="I382" t="s">
        <v>743</v>
      </c>
      <c r="J382" t="s">
        <v>744</v>
      </c>
      <c r="K382" s="9">
        <v>3750</v>
      </c>
      <c r="L382" s="9">
        <v>25.125</v>
      </c>
      <c r="M382" s="20">
        <v>46278</v>
      </c>
      <c r="N382" t="s">
        <v>18</v>
      </c>
      <c r="O382" t="s">
        <v>18</v>
      </c>
      <c r="P382">
        <v>1</v>
      </c>
      <c r="Q382" s="7">
        <v>0</v>
      </c>
    </row>
    <row r="383" spans="1:17" x14ac:dyDescent="0.25">
      <c r="A383" s="21" t="str" cm="1">
        <f t="array" ref="A383">UPPER(LOOKUP(2,1/(A$1:INDEX(A:A,ROW()-1)&lt;&gt;""),A$1:INDEX(A:A,ROW()-1)))</f>
        <v>PUR-ORD-2026-00049</v>
      </c>
      <c r="B383" s="21" t="str" cm="1">
        <f t="array" ref="B383">LOOKUP(2,1/(B$1:INDEX(B:B,ROW()-1)&lt;&gt;""),B$1:INDEX(B:B,ROW()-1))</f>
        <v>MR MD For Project Management Services EST</v>
      </c>
      <c r="H383" s="7">
        <v>757500</v>
      </c>
      <c r="I383" t="s">
        <v>745</v>
      </c>
      <c r="J383" t="s">
        <v>745</v>
      </c>
      <c r="K383" s="9">
        <v>5000</v>
      </c>
      <c r="L383" s="9">
        <v>151.5</v>
      </c>
      <c r="M383" s="20">
        <v>46278</v>
      </c>
      <c r="N383" t="s">
        <v>18</v>
      </c>
      <c r="O383" t="s">
        <v>18</v>
      </c>
      <c r="P383">
        <v>1</v>
      </c>
      <c r="Q383" s="7">
        <v>0</v>
      </c>
    </row>
    <row r="384" spans="1:17" x14ac:dyDescent="0.25">
      <c r="A384" s="21" t="str" cm="1">
        <f t="array" ref="A384">UPPER(LOOKUP(2,1/(A$1:INDEX(A:A,ROW()-1)&lt;&gt;""),A$1:INDEX(A:A,ROW()-1)))</f>
        <v>PUR-ORD-2026-00049</v>
      </c>
      <c r="B384" s="21" t="str" cm="1">
        <f t="array" ref="B384">LOOKUP(2,1/(B$1:INDEX(B:B,ROW()-1)&lt;&gt;""),B$1:INDEX(B:B,ROW()-1))</f>
        <v>MR MD For Project Management Services EST</v>
      </c>
      <c r="H384" s="7">
        <v>9600</v>
      </c>
      <c r="I384" t="s">
        <v>746</v>
      </c>
      <c r="J384" t="s">
        <v>747</v>
      </c>
      <c r="K384" s="9">
        <v>20</v>
      </c>
      <c r="L384" s="9">
        <v>480</v>
      </c>
      <c r="M384" s="20">
        <v>46278</v>
      </c>
      <c r="N384" t="s">
        <v>18</v>
      </c>
      <c r="O384" t="s">
        <v>18</v>
      </c>
      <c r="P384">
        <v>1</v>
      </c>
      <c r="Q384" s="7">
        <v>0</v>
      </c>
    </row>
    <row r="385" spans="1:17" x14ac:dyDescent="0.25">
      <c r="A385" s="21" t="str" cm="1">
        <f t="array" ref="A385">UPPER(LOOKUP(2,1/(A$1:INDEX(A:A,ROW()-1)&lt;&gt;""),A$1:INDEX(A:A,ROW()-1)))</f>
        <v>PUR-ORD-2026-00049</v>
      </c>
      <c r="B385" s="21" t="str" cm="1">
        <f t="array" ref="B385">LOOKUP(2,1/(B$1:INDEX(B:B,ROW()-1)&lt;&gt;""),B$1:INDEX(B:B,ROW()-1))</f>
        <v>MR MD For Project Management Services EST</v>
      </c>
      <c r="H385" s="7">
        <v>46150</v>
      </c>
      <c r="I385" t="s">
        <v>323</v>
      </c>
      <c r="J385" t="s">
        <v>323</v>
      </c>
      <c r="K385" s="9">
        <v>650</v>
      </c>
      <c r="L385" s="9">
        <v>71</v>
      </c>
      <c r="M385" s="20">
        <v>46223</v>
      </c>
      <c r="N385" t="s">
        <v>394</v>
      </c>
      <c r="O385" t="s">
        <v>18</v>
      </c>
      <c r="P385">
        <v>1</v>
      </c>
      <c r="Q385" s="7">
        <v>0</v>
      </c>
    </row>
    <row r="386" spans="1:17" x14ac:dyDescent="0.25">
      <c r="A386" s="21" t="str" cm="1">
        <f t="array" ref="A386">UPPER(LOOKUP(2,1/(A$1:INDEX(A:A,ROW()-1)&lt;&gt;""),A$1:INDEX(A:A,ROW()-1)))</f>
        <v>PUR-ORD-2026-00049</v>
      </c>
      <c r="B386" s="21" t="str" cm="1">
        <f t="array" ref="B386">LOOKUP(2,1/(B$1:INDEX(B:B,ROW()-1)&lt;&gt;""),B$1:INDEX(B:B,ROW()-1))</f>
        <v>MR MD For Project Management Services EST</v>
      </c>
      <c r="H386" s="7">
        <v>12500</v>
      </c>
      <c r="I386" t="s">
        <v>749</v>
      </c>
      <c r="J386" t="s">
        <v>749</v>
      </c>
      <c r="K386" s="9">
        <v>4</v>
      </c>
      <c r="L386" s="9">
        <v>3125</v>
      </c>
      <c r="M386" s="20">
        <v>46223</v>
      </c>
      <c r="N386" t="s">
        <v>398</v>
      </c>
      <c r="O386" t="s">
        <v>18</v>
      </c>
      <c r="P386">
        <v>250</v>
      </c>
      <c r="Q386" s="7">
        <v>4</v>
      </c>
    </row>
    <row r="387" spans="1:17" x14ac:dyDescent="0.25">
      <c r="A387" s="21" t="str" cm="1">
        <f t="array" ref="A387">UPPER(LOOKUP(2,1/(A$1:INDEX(A:A,ROW()-1)&lt;&gt;""),A$1:INDEX(A:A,ROW()-1)))</f>
        <v>PUR-ORD-2026-00049</v>
      </c>
      <c r="B387" s="21" t="str" cm="1">
        <f t="array" ref="B387">LOOKUP(2,1/(B$1:INDEX(B:B,ROW()-1)&lt;&gt;""),B$1:INDEX(B:B,ROW()-1))</f>
        <v>MR MD For Project Management Services EST</v>
      </c>
      <c r="H387" s="7">
        <v>11000</v>
      </c>
      <c r="I387" t="s">
        <v>750</v>
      </c>
      <c r="J387" t="s">
        <v>750</v>
      </c>
      <c r="K387" s="9">
        <v>4</v>
      </c>
      <c r="L387" s="9">
        <v>2750</v>
      </c>
      <c r="M387" s="20">
        <v>46223</v>
      </c>
      <c r="N387" t="s">
        <v>398</v>
      </c>
      <c r="O387" t="s">
        <v>18</v>
      </c>
      <c r="P387">
        <v>220</v>
      </c>
      <c r="Q387" s="7">
        <v>4</v>
      </c>
    </row>
    <row r="388" spans="1:17" x14ac:dyDescent="0.25">
      <c r="A388" s="21" t="str" cm="1">
        <f t="array" ref="A388">UPPER(LOOKUP(2,1/(A$1:INDEX(A:A,ROW()-1)&lt;&gt;""),A$1:INDEX(A:A,ROW()-1)))</f>
        <v>PUR-ORD-2026-00049</v>
      </c>
      <c r="B388" s="21" t="str" cm="1">
        <f t="array" ref="B388">LOOKUP(2,1/(B$1:INDEX(B:B,ROW()-1)&lt;&gt;""),B$1:INDEX(B:B,ROW()-1))</f>
        <v>MR MD For Project Management Services EST</v>
      </c>
      <c r="H388" s="7">
        <v>5800</v>
      </c>
      <c r="I388" t="s">
        <v>751</v>
      </c>
      <c r="J388" t="s">
        <v>751</v>
      </c>
      <c r="K388" s="9">
        <v>10</v>
      </c>
      <c r="L388" s="9">
        <v>580</v>
      </c>
      <c r="M388" s="20">
        <v>46223</v>
      </c>
      <c r="N388" t="s">
        <v>388</v>
      </c>
      <c r="O388" t="s">
        <v>209</v>
      </c>
      <c r="P388">
        <v>300</v>
      </c>
      <c r="Q388" s="7">
        <v>10</v>
      </c>
    </row>
    <row r="389" spans="1:17" x14ac:dyDescent="0.25">
      <c r="A389" s="21" t="str" cm="1">
        <f t="array" ref="A389">UPPER(LOOKUP(2,1/(A$1:INDEX(A:A,ROW()-1)&lt;&gt;""),A$1:INDEX(A:A,ROW()-1)))</f>
        <v>PUR-ORD-2026-00049</v>
      </c>
      <c r="B389" s="21" t="str" cm="1">
        <f t="array" ref="B389">LOOKUP(2,1/(B$1:INDEX(B:B,ROW()-1)&lt;&gt;""),B$1:INDEX(B:B,ROW()-1))</f>
        <v>MR MD For Project Management Services EST</v>
      </c>
      <c r="H389" s="7">
        <v>24300</v>
      </c>
      <c r="I389" t="s">
        <v>245</v>
      </c>
      <c r="J389" t="s">
        <v>245</v>
      </c>
      <c r="K389" s="9">
        <v>12</v>
      </c>
      <c r="L389" s="9">
        <v>2025</v>
      </c>
      <c r="M389" s="20">
        <v>46112</v>
      </c>
      <c r="N389" t="s">
        <v>398</v>
      </c>
      <c r="O389" t="s">
        <v>441</v>
      </c>
      <c r="P389">
        <v>250</v>
      </c>
      <c r="Q389" s="7">
        <v>6</v>
      </c>
    </row>
    <row r="390" spans="1:17" x14ac:dyDescent="0.25">
      <c r="A390" s="21" t="str" cm="1">
        <f t="array" ref="A390">UPPER(LOOKUP(2,1/(A$1:INDEX(A:A,ROW()-1)&lt;&gt;""),A$1:INDEX(A:A,ROW()-1)))</f>
        <v>PUR-ORD-2026-00049</v>
      </c>
      <c r="B390" s="21" t="str" cm="1">
        <f t="array" ref="B390">LOOKUP(2,1/(B$1:INDEX(B:B,ROW()-1)&lt;&gt;""),B$1:INDEX(B:B,ROW()-1))</f>
        <v>MR MD For Project Management Services EST</v>
      </c>
      <c r="H390" s="7">
        <v>21384</v>
      </c>
      <c r="I390" t="s">
        <v>248</v>
      </c>
      <c r="J390" t="s">
        <v>248</v>
      </c>
      <c r="K390" s="9">
        <v>12</v>
      </c>
      <c r="L390" s="9">
        <v>1782</v>
      </c>
      <c r="M390" s="20">
        <v>46112</v>
      </c>
      <c r="N390" t="s">
        <v>398</v>
      </c>
      <c r="O390" t="s">
        <v>441</v>
      </c>
      <c r="P390">
        <v>220</v>
      </c>
      <c r="Q390" s="7">
        <v>6</v>
      </c>
    </row>
    <row r="391" spans="1:17" x14ac:dyDescent="0.25">
      <c r="A391" s="21" t="str" cm="1">
        <f t="array" ref="A391">UPPER(LOOKUP(2,1/(A$1:INDEX(A:A,ROW()-1)&lt;&gt;""),A$1:INDEX(A:A,ROW()-1)))</f>
        <v>PUR-ORD-2026-00049</v>
      </c>
      <c r="B391" s="21" t="str" cm="1">
        <f t="array" ref="B391">LOOKUP(2,1/(B$1:INDEX(B:B,ROW()-1)&lt;&gt;""),B$1:INDEX(B:B,ROW()-1))</f>
        <v>MR MD For Project Management Services EST</v>
      </c>
      <c r="H391" s="7">
        <v>71280</v>
      </c>
      <c r="I391" t="s">
        <v>248</v>
      </c>
      <c r="J391" t="s">
        <v>248</v>
      </c>
      <c r="K391" s="9">
        <v>30</v>
      </c>
      <c r="L391" s="9">
        <v>2376</v>
      </c>
      <c r="M391" s="20">
        <v>46137</v>
      </c>
      <c r="N391" t="s">
        <v>398</v>
      </c>
      <c r="O391" t="s">
        <v>441</v>
      </c>
      <c r="P391">
        <v>220</v>
      </c>
      <c r="Q391" s="7">
        <v>5</v>
      </c>
    </row>
    <row r="392" spans="1:17" x14ac:dyDescent="0.25">
      <c r="A392" s="21" t="str" cm="1">
        <f t="array" ref="A392">UPPER(LOOKUP(2,1/(A$1:INDEX(A:A,ROW()-1)&lt;&gt;""),A$1:INDEX(A:A,ROW()-1)))</f>
        <v>PUR-ORD-2026-00049</v>
      </c>
      <c r="B392" s="21" t="str" cm="1">
        <f t="array" ref="B392">LOOKUP(2,1/(B$1:INDEX(B:B,ROW()-1)&lt;&gt;""),B$1:INDEX(B:B,ROW()-1))</f>
        <v>MR MD For Project Management Services EST</v>
      </c>
      <c r="H392" s="7">
        <v>136000</v>
      </c>
      <c r="I392" t="s">
        <v>78</v>
      </c>
      <c r="J392" t="s">
        <v>78</v>
      </c>
      <c r="K392" s="9">
        <v>8000</v>
      </c>
      <c r="L392" s="9">
        <v>17</v>
      </c>
      <c r="M392" s="20">
        <v>46112</v>
      </c>
      <c r="N392" t="s">
        <v>402</v>
      </c>
      <c r="O392" t="s">
        <v>402</v>
      </c>
      <c r="P392">
        <v>1</v>
      </c>
      <c r="Q392" s="7">
        <v>1600</v>
      </c>
    </row>
    <row r="393" spans="1:17" x14ac:dyDescent="0.25">
      <c r="A393" s="21" t="str" cm="1">
        <f t="array" ref="A393">UPPER(LOOKUP(2,1/(A$1:INDEX(A:A,ROW()-1)&lt;&gt;""),A$1:INDEX(A:A,ROW()-1)))</f>
        <v>PUR-ORD-2026-00049</v>
      </c>
      <c r="B393" s="21" t="str" cm="1">
        <f t="array" ref="B393">LOOKUP(2,1/(B$1:INDEX(B:B,ROW()-1)&lt;&gt;""),B$1:INDEX(B:B,ROW()-1))</f>
        <v>MR MD For Project Management Services EST</v>
      </c>
      <c r="H393" s="7">
        <v>22500</v>
      </c>
      <c r="I393" t="s">
        <v>82</v>
      </c>
      <c r="J393" t="s">
        <v>82</v>
      </c>
      <c r="K393" s="9">
        <v>30</v>
      </c>
      <c r="L393" s="9">
        <v>750</v>
      </c>
      <c r="M393" s="20">
        <v>46112</v>
      </c>
      <c r="N393" t="s">
        <v>556</v>
      </c>
      <c r="O393" t="s">
        <v>441</v>
      </c>
      <c r="P393">
        <v>200</v>
      </c>
      <c r="Q393" s="7">
        <v>0</v>
      </c>
    </row>
    <row r="394" spans="1:17" x14ac:dyDescent="0.25">
      <c r="A394" s="21" t="str" cm="1">
        <f t="array" ref="A394">UPPER(LOOKUP(2,1/(A$1:INDEX(A:A,ROW()-1)&lt;&gt;""),A$1:INDEX(A:A,ROW()-1)))</f>
        <v>PUR-ORD-2026-00049</v>
      </c>
      <c r="B394" s="21" t="str" cm="1">
        <f t="array" ref="B394">LOOKUP(2,1/(B$1:INDEX(B:B,ROW()-1)&lt;&gt;""),B$1:INDEX(B:B,ROW()-1))</f>
        <v>MR MD For Project Management Services EST</v>
      </c>
      <c r="H394" s="7">
        <v>4700</v>
      </c>
      <c r="I394" t="s">
        <v>242</v>
      </c>
      <c r="J394" t="s">
        <v>242</v>
      </c>
      <c r="K394" s="9">
        <v>100</v>
      </c>
      <c r="L394" s="9">
        <v>47</v>
      </c>
      <c r="M394" s="20">
        <v>46022</v>
      </c>
      <c r="N394" t="s">
        <v>394</v>
      </c>
      <c r="O394" t="s">
        <v>394</v>
      </c>
      <c r="P394">
        <v>1</v>
      </c>
      <c r="Q394" s="7">
        <v>0</v>
      </c>
    </row>
    <row r="395" spans="1:17" x14ac:dyDescent="0.25">
      <c r="A395" s="21" t="str" cm="1">
        <f t="array" ref="A395">UPPER(LOOKUP(2,1/(A$1:INDEX(A:A,ROW()-1)&lt;&gt;""),A$1:INDEX(A:A,ROW()-1)))</f>
        <v>PUR-ORD-2026-00049</v>
      </c>
      <c r="B395" s="21" t="str" cm="1">
        <f t="array" ref="B395">LOOKUP(2,1/(B$1:INDEX(B:B,ROW()-1)&lt;&gt;""),B$1:INDEX(B:B,ROW()-1))</f>
        <v>MR MD For Project Management Services EST</v>
      </c>
      <c r="H395" s="7">
        <v>1840</v>
      </c>
      <c r="I395" t="s">
        <v>251</v>
      </c>
      <c r="J395" t="s">
        <v>251</v>
      </c>
      <c r="K395" s="9">
        <v>40</v>
      </c>
      <c r="L395" s="9">
        <v>46</v>
      </c>
      <c r="M395" s="20">
        <v>46022</v>
      </c>
      <c r="N395" t="s">
        <v>394</v>
      </c>
      <c r="O395" t="s">
        <v>394</v>
      </c>
      <c r="P395">
        <v>1</v>
      </c>
      <c r="Q395" s="7">
        <v>40</v>
      </c>
    </row>
    <row r="396" spans="1:17" x14ac:dyDescent="0.25">
      <c r="A396" s="21" t="str" cm="1">
        <f t="array" ref="A396">UPPER(LOOKUP(2,1/(A$1:INDEX(A:A,ROW()-1)&lt;&gt;""),A$1:INDEX(A:A,ROW()-1)))</f>
        <v>PUR-ORD-2026-00049</v>
      </c>
      <c r="B396" s="21" t="str" cm="1">
        <f t="array" ref="B396">LOOKUP(2,1/(B$1:INDEX(B:B,ROW()-1)&lt;&gt;""),B$1:INDEX(B:B,ROW()-1))</f>
        <v>MR MD For Project Management Services EST</v>
      </c>
      <c r="H396" s="7">
        <v>2500</v>
      </c>
      <c r="I396" t="s">
        <v>759</v>
      </c>
      <c r="J396" t="s">
        <v>759</v>
      </c>
      <c r="K396" s="9">
        <v>25</v>
      </c>
      <c r="L396" s="9">
        <v>100</v>
      </c>
      <c r="M396" s="20">
        <v>46112</v>
      </c>
      <c r="N396" t="s">
        <v>209</v>
      </c>
      <c r="O396" t="s">
        <v>209</v>
      </c>
      <c r="P396">
        <v>1</v>
      </c>
      <c r="Q396" s="7">
        <v>25</v>
      </c>
    </row>
    <row r="397" spans="1:17" x14ac:dyDescent="0.25">
      <c r="A397" s="21" t="str" cm="1">
        <f t="array" ref="A397">UPPER(LOOKUP(2,1/(A$1:INDEX(A:A,ROW()-1)&lt;&gt;""),A$1:INDEX(A:A,ROW()-1)))</f>
        <v>PUR-ORD-2026-00049</v>
      </c>
      <c r="B397" s="21" t="str" cm="1">
        <f t="array" ref="B397">LOOKUP(2,1/(B$1:INDEX(B:B,ROW()-1)&lt;&gt;""),B$1:INDEX(B:B,ROW()-1))</f>
        <v>MR MD For Project Management Services EST</v>
      </c>
      <c r="H397" s="7">
        <v>2500</v>
      </c>
      <c r="I397" t="s">
        <v>760</v>
      </c>
      <c r="J397" t="s">
        <v>761</v>
      </c>
      <c r="K397" s="9">
        <v>2</v>
      </c>
      <c r="L397" s="9">
        <v>1250</v>
      </c>
      <c r="M397" s="20">
        <v>46112</v>
      </c>
      <c r="N397" t="s">
        <v>209</v>
      </c>
      <c r="O397" t="s">
        <v>209</v>
      </c>
      <c r="P397">
        <v>1</v>
      </c>
      <c r="Q397" s="7">
        <v>0</v>
      </c>
    </row>
    <row r="398" spans="1:17" x14ac:dyDescent="0.25">
      <c r="A398" s="21" t="str" cm="1">
        <f t="array" ref="A398">UPPER(LOOKUP(2,1/(A$1:INDEX(A:A,ROW()-1)&lt;&gt;""),A$1:INDEX(A:A,ROW()-1)))</f>
        <v>PUR-ORD-2026-00049</v>
      </c>
      <c r="B398" s="21" t="str" cm="1">
        <f t="array" ref="B398">LOOKUP(2,1/(B$1:INDEX(B:B,ROW()-1)&lt;&gt;""),B$1:INDEX(B:B,ROW()-1))</f>
        <v>MR MD For Project Management Services EST</v>
      </c>
      <c r="H398" s="7">
        <v>340</v>
      </c>
      <c r="I398" t="s">
        <v>762</v>
      </c>
      <c r="J398" t="s">
        <v>762</v>
      </c>
      <c r="K398" s="9">
        <v>2</v>
      </c>
      <c r="L398" s="9">
        <v>170</v>
      </c>
      <c r="M398" s="20">
        <v>46112</v>
      </c>
      <c r="N398" t="s">
        <v>209</v>
      </c>
      <c r="O398" t="s">
        <v>209</v>
      </c>
      <c r="P398">
        <v>1</v>
      </c>
      <c r="Q398" s="7">
        <v>0</v>
      </c>
    </row>
    <row r="399" spans="1:17" x14ac:dyDescent="0.25">
      <c r="A399" s="21" t="str" cm="1">
        <f t="array" ref="A399">UPPER(LOOKUP(2,1/(A$1:INDEX(A:A,ROW()-1)&lt;&gt;""),A$1:INDEX(A:A,ROW()-1)))</f>
        <v>PUR-ORD-2026-00049</v>
      </c>
      <c r="B399" s="21" t="str" cm="1">
        <f t="array" ref="B399">LOOKUP(2,1/(B$1:INDEX(B:B,ROW()-1)&lt;&gt;""),B$1:INDEX(B:B,ROW()-1))</f>
        <v>MR MD For Project Management Services EST</v>
      </c>
      <c r="H399" s="7">
        <v>65</v>
      </c>
      <c r="I399" t="s">
        <v>763</v>
      </c>
      <c r="J399" t="s">
        <v>764</v>
      </c>
      <c r="K399" s="9">
        <v>5</v>
      </c>
      <c r="L399" s="9">
        <v>13</v>
      </c>
      <c r="M399" s="20">
        <v>46112</v>
      </c>
      <c r="N399" t="s">
        <v>765</v>
      </c>
      <c r="O399" t="s">
        <v>765</v>
      </c>
      <c r="P399">
        <v>1</v>
      </c>
      <c r="Q399" s="7">
        <v>0</v>
      </c>
    </row>
    <row r="400" spans="1:17" x14ac:dyDescent="0.25">
      <c r="A400" s="21" t="str" cm="1">
        <f t="array" ref="A400">UPPER(LOOKUP(2,1/(A$1:INDEX(A:A,ROW()-1)&lt;&gt;""),A$1:INDEX(A:A,ROW()-1)))</f>
        <v>PUR-ORD-2026-00049</v>
      </c>
      <c r="B400" s="21" t="str" cm="1">
        <f t="array" ref="B400">LOOKUP(2,1/(B$1:INDEX(B:B,ROW()-1)&lt;&gt;""),B$1:INDEX(B:B,ROW()-1))</f>
        <v>MR MD For Project Management Services EST</v>
      </c>
      <c r="H400" s="7">
        <v>500</v>
      </c>
      <c r="I400" t="s">
        <v>766</v>
      </c>
      <c r="J400" t="s">
        <v>767</v>
      </c>
      <c r="K400" s="9">
        <v>5</v>
      </c>
      <c r="L400" s="9">
        <v>100</v>
      </c>
      <c r="M400" s="20">
        <v>46112</v>
      </c>
      <c r="N400" t="s">
        <v>394</v>
      </c>
      <c r="O400" t="s">
        <v>394</v>
      </c>
      <c r="P400">
        <v>1</v>
      </c>
      <c r="Q400" s="7">
        <v>0</v>
      </c>
    </row>
    <row r="401" spans="1:17" x14ac:dyDescent="0.25">
      <c r="A401" s="21" t="str" cm="1">
        <f t="array" ref="A401">UPPER(LOOKUP(2,1/(A$1:INDEX(A:A,ROW()-1)&lt;&gt;""),A$1:INDEX(A:A,ROW()-1)))</f>
        <v>PUR-ORD-2026-00049</v>
      </c>
      <c r="B401" s="21" t="str" cm="1">
        <f t="array" ref="B401">LOOKUP(2,1/(B$1:INDEX(B:B,ROW()-1)&lt;&gt;""),B$1:INDEX(B:B,ROW()-1))</f>
        <v>MR MD For Project Management Services EST</v>
      </c>
      <c r="H401" s="7">
        <v>400</v>
      </c>
      <c r="I401" t="s">
        <v>768</v>
      </c>
      <c r="J401" t="s">
        <v>769</v>
      </c>
      <c r="K401" s="9">
        <v>1</v>
      </c>
      <c r="L401" s="9">
        <v>400</v>
      </c>
      <c r="M401" s="20">
        <v>46112</v>
      </c>
      <c r="N401" t="s">
        <v>491</v>
      </c>
      <c r="O401" t="s">
        <v>491</v>
      </c>
      <c r="P401">
        <v>1</v>
      </c>
      <c r="Q401" s="7">
        <v>0</v>
      </c>
    </row>
    <row r="402" spans="1:17" x14ac:dyDescent="0.25">
      <c r="A402" s="21" t="str" cm="1">
        <f t="array" ref="A402">UPPER(LOOKUP(2,1/(A$1:INDEX(A:A,ROW()-1)&lt;&gt;""),A$1:INDEX(A:A,ROW()-1)))</f>
        <v>PUR-ORD-2026-00049</v>
      </c>
      <c r="B402" s="21" t="str" cm="1">
        <f t="array" ref="B402">LOOKUP(2,1/(B$1:INDEX(B:B,ROW()-1)&lt;&gt;""),B$1:INDEX(B:B,ROW()-1))</f>
        <v>MR MD For Project Management Services EST</v>
      </c>
      <c r="H402" s="7">
        <v>105</v>
      </c>
      <c r="I402" t="s">
        <v>770</v>
      </c>
      <c r="J402" t="s">
        <v>770</v>
      </c>
      <c r="K402" s="9">
        <v>3</v>
      </c>
      <c r="L402" s="9">
        <v>35</v>
      </c>
      <c r="M402" s="20">
        <v>46112</v>
      </c>
      <c r="N402" t="s">
        <v>209</v>
      </c>
      <c r="O402" t="s">
        <v>209</v>
      </c>
      <c r="P402">
        <v>1</v>
      </c>
      <c r="Q402" s="7">
        <v>0</v>
      </c>
    </row>
    <row r="403" spans="1:17" x14ac:dyDescent="0.25">
      <c r="A403" s="21" t="str" cm="1">
        <f t="array" ref="A403">UPPER(LOOKUP(2,1/(A$1:INDEX(A:A,ROW()-1)&lt;&gt;""),A$1:INDEX(A:A,ROW()-1)))</f>
        <v>PUR-ORD-2026-00049</v>
      </c>
      <c r="B403" s="21" t="str" cm="1">
        <f t="array" ref="B403">LOOKUP(2,1/(B$1:INDEX(B:B,ROW()-1)&lt;&gt;""),B$1:INDEX(B:B,ROW()-1))</f>
        <v>MR MD For Project Management Services EST</v>
      </c>
      <c r="H403" s="7">
        <v>240</v>
      </c>
      <c r="I403" t="s">
        <v>343</v>
      </c>
      <c r="J403" t="s">
        <v>344</v>
      </c>
      <c r="K403" s="9">
        <v>2</v>
      </c>
      <c r="L403" s="9">
        <v>120</v>
      </c>
      <c r="M403" s="20">
        <v>46112</v>
      </c>
      <c r="N403" t="s">
        <v>491</v>
      </c>
      <c r="O403" t="s">
        <v>491</v>
      </c>
      <c r="P403">
        <v>1</v>
      </c>
      <c r="Q403" s="7">
        <v>0</v>
      </c>
    </row>
    <row r="404" spans="1:17" x14ac:dyDescent="0.25">
      <c r="A404" s="21" t="str" cm="1">
        <f t="array" ref="A404">UPPER(LOOKUP(2,1/(A$1:INDEX(A:A,ROW()-1)&lt;&gt;""),A$1:INDEX(A:A,ROW()-1)))</f>
        <v>PUR-ORD-2026-00049</v>
      </c>
      <c r="B404" s="21" t="str" cm="1">
        <f t="array" ref="B404">LOOKUP(2,1/(B$1:INDEX(B:B,ROW()-1)&lt;&gt;""),B$1:INDEX(B:B,ROW()-1))</f>
        <v>MR MD For Project Management Services EST</v>
      </c>
      <c r="H404" s="7">
        <v>850</v>
      </c>
      <c r="I404" t="s">
        <v>497</v>
      </c>
      <c r="J404" t="s">
        <v>353</v>
      </c>
      <c r="K404" s="9">
        <v>1</v>
      </c>
      <c r="L404" s="9">
        <v>850</v>
      </c>
      <c r="M404" s="20">
        <v>46112</v>
      </c>
      <c r="N404" t="s">
        <v>441</v>
      </c>
      <c r="O404" t="s">
        <v>441</v>
      </c>
      <c r="P404">
        <v>1</v>
      </c>
      <c r="Q404" s="7">
        <v>0</v>
      </c>
    </row>
    <row r="405" spans="1:17" x14ac:dyDescent="0.25">
      <c r="A405" s="21" t="str" cm="1">
        <f t="array" ref="A405">UPPER(LOOKUP(2,1/(A$1:INDEX(A:A,ROW()-1)&lt;&gt;""),A$1:INDEX(A:A,ROW()-1)))</f>
        <v>PUR-ORD-2026-00049</v>
      </c>
      <c r="B405" s="21" t="str" cm="1">
        <f t="array" ref="B405">LOOKUP(2,1/(B$1:INDEX(B:B,ROW()-1)&lt;&gt;""),B$1:INDEX(B:B,ROW()-1))</f>
        <v>MR MD For Project Management Services EST</v>
      </c>
      <c r="H405" s="7">
        <v>15200</v>
      </c>
      <c r="I405" t="s">
        <v>771</v>
      </c>
      <c r="J405" t="s">
        <v>771</v>
      </c>
      <c r="K405" s="9">
        <v>80</v>
      </c>
      <c r="L405" s="9">
        <v>190</v>
      </c>
      <c r="M405" s="20">
        <v>46112</v>
      </c>
      <c r="N405" t="s">
        <v>209</v>
      </c>
      <c r="O405" t="s">
        <v>209</v>
      </c>
      <c r="P405">
        <v>1</v>
      </c>
      <c r="Q405" s="7">
        <v>0</v>
      </c>
    </row>
    <row r="406" spans="1:17" x14ac:dyDescent="0.25">
      <c r="A406" s="21" t="str" cm="1">
        <f t="array" ref="A406">UPPER(LOOKUP(2,1/(A$1:INDEX(A:A,ROW()-1)&lt;&gt;""),A$1:INDEX(A:A,ROW()-1)))</f>
        <v>PUR-ORD-2026-00049</v>
      </c>
      <c r="B406" s="21" t="str" cm="1">
        <f t="array" ref="B406">LOOKUP(2,1/(B$1:INDEX(B:B,ROW()-1)&lt;&gt;""),B$1:INDEX(B:B,ROW()-1))</f>
        <v>MR MD For Project Management Services EST</v>
      </c>
      <c r="H406" s="7">
        <v>6300</v>
      </c>
      <c r="I406" t="s">
        <v>347</v>
      </c>
      <c r="J406" t="s">
        <v>347</v>
      </c>
      <c r="K406" s="9">
        <v>350</v>
      </c>
      <c r="L406" s="9">
        <v>18</v>
      </c>
      <c r="M406" s="20">
        <v>46112</v>
      </c>
      <c r="N406" t="s">
        <v>509</v>
      </c>
      <c r="O406" t="s">
        <v>509</v>
      </c>
      <c r="P406">
        <v>1</v>
      </c>
      <c r="Q406" s="7">
        <v>0</v>
      </c>
    </row>
    <row r="407" spans="1:17" x14ac:dyDescent="0.25">
      <c r="A407" s="21" t="str" cm="1">
        <f t="array" ref="A407">UPPER(LOOKUP(2,1/(A$1:INDEX(A:A,ROW()-1)&lt;&gt;""),A$1:INDEX(A:A,ROW()-1)))</f>
        <v>PUR-ORD-2026-00049</v>
      </c>
      <c r="B407" s="21" t="str" cm="1">
        <f t="array" ref="B407">LOOKUP(2,1/(B$1:INDEX(B:B,ROW()-1)&lt;&gt;""),B$1:INDEX(B:B,ROW()-1))</f>
        <v>MR MD For Project Management Services EST</v>
      </c>
      <c r="H407" s="7">
        <v>51920</v>
      </c>
      <c r="I407" t="s">
        <v>248</v>
      </c>
      <c r="J407" t="s">
        <v>248</v>
      </c>
      <c r="K407" s="9">
        <v>20</v>
      </c>
      <c r="L407" s="9">
        <v>2596</v>
      </c>
      <c r="M407" s="20">
        <v>46285</v>
      </c>
      <c r="N407" t="s">
        <v>398</v>
      </c>
      <c r="O407" t="s">
        <v>18</v>
      </c>
      <c r="P407">
        <v>220</v>
      </c>
      <c r="Q407" s="7">
        <v>20</v>
      </c>
    </row>
    <row r="408" spans="1:17" x14ac:dyDescent="0.25">
      <c r="A408" s="21" t="str" cm="1">
        <f t="array" ref="A408">UPPER(LOOKUP(2,1/(A$1:INDEX(A:A,ROW()-1)&lt;&gt;""),A$1:INDEX(A:A,ROW()-1)))</f>
        <v>PUR-ORD-2026-00049</v>
      </c>
      <c r="B408" s="21" t="str" cm="1">
        <f t="array" ref="B408">LOOKUP(2,1/(B$1:INDEX(B:B,ROW()-1)&lt;&gt;""),B$1:INDEX(B:B,ROW()-1))</f>
        <v>MR MD For Project Management Services EST</v>
      </c>
      <c r="H408" s="7">
        <v>12980</v>
      </c>
      <c r="I408" t="s">
        <v>248</v>
      </c>
      <c r="J408" t="s">
        <v>248</v>
      </c>
      <c r="K408" s="9">
        <v>5</v>
      </c>
      <c r="L408" s="9">
        <v>2596</v>
      </c>
      <c r="M408" s="20">
        <v>46285</v>
      </c>
      <c r="N408" t="s">
        <v>398</v>
      </c>
      <c r="O408" t="s">
        <v>18</v>
      </c>
      <c r="P408">
        <v>220</v>
      </c>
      <c r="Q408" s="7">
        <v>5</v>
      </c>
    </row>
    <row r="409" spans="1:17" x14ac:dyDescent="0.25">
      <c r="A409" s="21" t="str" cm="1">
        <f t="array" ref="A409">UPPER(LOOKUP(2,1/(A$1:INDEX(A:A,ROW()-1)&lt;&gt;""),A$1:INDEX(A:A,ROW()-1)))</f>
        <v>PUR-ORD-2026-00049</v>
      </c>
      <c r="B409" s="21" t="str" cm="1">
        <f t="array" ref="B409">LOOKUP(2,1/(B$1:INDEX(B:B,ROW()-1)&lt;&gt;""),B$1:INDEX(B:B,ROW()-1))</f>
        <v>MR MD For Project Management Services EST</v>
      </c>
      <c r="H409" s="7">
        <v>9000</v>
      </c>
      <c r="I409" t="s">
        <v>254</v>
      </c>
      <c r="J409" t="s">
        <v>254</v>
      </c>
      <c r="K409" s="9">
        <v>150</v>
      </c>
      <c r="L409" s="9">
        <v>60</v>
      </c>
      <c r="M409" s="20">
        <v>46285</v>
      </c>
      <c r="N409" t="s">
        <v>402</v>
      </c>
      <c r="O409" t="s">
        <v>18</v>
      </c>
      <c r="P409">
        <v>1</v>
      </c>
      <c r="Q409" s="7">
        <v>0</v>
      </c>
    </row>
    <row r="410" spans="1:17" x14ac:dyDescent="0.25">
      <c r="A410" s="21" t="str" cm="1">
        <f t="array" ref="A410">UPPER(LOOKUP(2,1/(A$1:INDEX(A:A,ROW()-1)&lt;&gt;""),A$1:INDEX(A:A,ROW()-1)))</f>
        <v>PUR-ORD-2026-00049</v>
      </c>
      <c r="B410" s="21" t="str" cm="1">
        <f t="array" ref="B410">LOOKUP(2,1/(B$1:INDEX(B:B,ROW()-1)&lt;&gt;""),B$1:INDEX(B:B,ROW()-1))</f>
        <v>MR MD For Project Management Services EST</v>
      </c>
      <c r="H410" s="7">
        <v>75000</v>
      </c>
      <c r="I410" t="s">
        <v>52</v>
      </c>
      <c r="J410" t="s">
        <v>52</v>
      </c>
      <c r="K410" s="9">
        <v>24</v>
      </c>
      <c r="L410" s="9">
        <v>3125</v>
      </c>
      <c r="M410" s="20">
        <v>46173</v>
      </c>
      <c r="N410" t="s">
        <v>398</v>
      </c>
      <c r="O410" t="s">
        <v>441</v>
      </c>
      <c r="P410">
        <v>250</v>
      </c>
      <c r="Q410" s="7">
        <v>6</v>
      </c>
    </row>
    <row r="411" spans="1:17" x14ac:dyDescent="0.25">
      <c r="A411" s="21" t="str" cm="1">
        <f t="array" ref="A411">UPPER(LOOKUP(2,1/(A$1:INDEX(A:A,ROW()-1)&lt;&gt;""),A$1:INDEX(A:A,ROW()-1)))</f>
        <v>PUR-ORD-2026-00049</v>
      </c>
      <c r="B411" s="21" t="str" cm="1">
        <f t="array" ref="B411">LOOKUP(2,1/(B$1:INDEX(B:B,ROW()-1)&lt;&gt;""),B$1:INDEX(B:B,ROW()-1))</f>
        <v>MR MD For Project Management Services EST</v>
      </c>
      <c r="H411" s="7">
        <v>1350</v>
      </c>
      <c r="I411" t="s">
        <v>780</v>
      </c>
      <c r="J411" t="s">
        <v>781</v>
      </c>
      <c r="K411" s="9">
        <v>3</v>
      </c>
      <c r="L411" s="9">
        <v>450</v>
      </c>
      <c r="M411" s="20">
        <v>46275</v>
      </c>
      <c r="N411" t="s">
        <v>18</v>
      </c>
      <c r="O411" t="s">
        <v>18</v>
      </c>
      <c r="P411">
        <v>1</v>
      </c>
      <c r="Q411" s="7">
        <v>3</v>
      </c>
    </row>
    <row r="412" spans="1:17" x14ac:dyDescent="0.25">
      <c r="A412" s="21" t="str" cm="1">
        <f t="array" ref="A412">UPPER(LOOKUP(2,1/(A$1:INDEX(A:A,ROW()-1)&lt;&gt;""),A$1:INDEX(A:A,ROW()-1)))</f>
        <v>PUR-ORD-2026-00049</v>
      </c>
      <c r="B412" s="21" t="str" cm="1">
        <f t="array" ref="B412">LOOKUP(2,1/(B$1:INDEX(B:B,ROW()-1)&lt;&gt;""),B$1:INDEX(B:B,ROW()-1))</f>
        <v>MR MD For Project Management Services EST</v>
      </c>
      <c r="H412" s="7">
        <v>87491.25</v>
      </c>
      <c r="I412" t="s">
        <v>782</v>
      </c>
      <c r="J412" t="s">
        <v>783</v>
      </c>
      <c r="K412" s="9">
        <v>3333</v>
      </c>
      <c r="L412" s="9">
        <v>26.25</v>
      </c>
      <c r="M412" s="20">
        <v>46275</v>
      </c>
      <c r="N412" t="s">
        <v>18</v>
      </c>
      <c r="O412" t="s">
        <v>18</v>
      </c>
      <c r="P412">
        <v>1</v>
      </c>
      <c r="Q412" s="7">
        <v>2733</v>
      </c>
    </row>
    <row r="413" spans="1:17" x14ac:dyDescent="0.25">
      <c r="A413" s="21" t="str" cm="1">
        <f t="array" ref="A413">UPPER(LOOKUP(2,1/(A$1:INDEX(A:A,ROW()-1)&lt;&gt;""),A$1:INDEX(A:A,ROW()-1)))</f>
        <v>PUR-ORD-2026-00049</v>
      </c>
      <c r="B413" s="21" t="str" cm="1">
        <f t="array" ref="B413">LOOKUP(2,1/(B$1:INDEX(B:B,ROW()-1)&lt;&gt;""),B$1:INDEX(B:B,ROW()-1))</f>
        <v>MR MD For Project Management Services EST</v>
      </c>
      <c r="H413" s="7">
        <v>78000</v>
      </c>
      <c r="I413" t="s">
        <v>52</v>
      </c>
      <c r="J413" t="s">
        <v>52</v>
      </c>
      <c r="K413" s="9">
        <v>24</v>
      </c>
      <c r="L413" s="9">
        <v>3250</v>
      </c>
      <c r="M413" s="20">
        <v>46173</v>
      </c>
      <c r="N413" t="s">
        <v>398</v>
      </c>
      <c r="O413" t="s">
        <v>441</v>
      </c>
      <c r="P413">
        <v>250</v>
      </c>
      <c r="Q413" s="7">
        <v>8</v>
      </c>
    </row>
    <row r="414" spans="1:17" x14ac:dyDescent="0.25">
      <c r="A414" s="21" t="str" cm="1">
        <f t="array" ref="A414">UPPER(LOOKUP(2,1/(A$1:INDEX(A:A,ROW()-1)&lt;&gt;""),A$1:INDEX(A:A,ROW()-1)))</f>
        <v>PUR-ORD-2026-00049</v>
      </c>
      <c r="B414" s="21" t="str" cm="1">
        <f t="array" ref="B414">LOOKUP(2,1/(B$1:INDEX(B:B,ROW()-1)&lt;&gt;""),B$1:INDEX(B:B,ROW()-1))</f>
        <v>MR MD For Project Management Services EST</v>
      </c>
      <c r="H414" s="7">
        <v>425</v>
      </c>
      <c r="I414" t="s">
        <v>791</v>
      </c>
      <c r="J414" t="s">
        <v>791</v>
      </c>
      <c r="K414" s="9">
        <v>1</v>
      </c>
      <c r="L414" s="9">
        <v>425</v>
      </c>
      <c r="M414" s="20">
        <v>46022</v>
      </c>
      <c r="N414" t="s">
        <v>18</v>
      </c>
      <c r="O414" t="s">
        <v>18</v>
      </c>
      <c r="P414">
        <v>1</v>
      </c>
      <c r="Q414" s="7">
        <v>1</v>
      </c>
    </row>
    <row r="415" spans="1:17" x14ac:dyDescent="0.25">
      <c r="A415" s="21" t="str" cm="1">
        <f t="array" ref="A415">UPPER(LOOKUP(2,1/(A$1:INDEX(A:A,ROW()-1)&lt;&gt;""),A$1:INDEX(A:A,ROW()-1)))</f>
        <v>PUR-ORD-2026-00049</v>
      </c>
      <c r="B415" s="21" t="str" cm="1">
        <f t="array" ref="B415">LOOKUP(2,1/(B$1:INDEX(B:B,ROW()-1)&lt;&gt;""),B$1:INDEX(B:B,ROW()-1))</f>
        <v>MR MD For Project Management Services EST</v>
      </c>
      <c r="H415" s="7">
        <v>17250</v>
      </c>
      <c r="I415" t="s">
        <v>544</v>
      </c>
      <c r="J415" t="s">
        <v>544</v>
      </c>
      <c r="K415" s="9">
        <v>115</v>
      </c>
      <c r="L415" s="9">
        <v>150</v>
      </c>
      <c r="M415" s="20">
        <v>46257</v>
      </c>
      <c r="N415" t="s">
        <v>18</v>
      </c>
      <c r="O415" t="s">
        <v>18</v>
      </c>
      <c r="P415">
        <v>1</v>
      </c>
      <c r="Q415" s="7">
        <v>115</v>
      </c>
    </row>
    <row r="416" spans="1:17" x14ac:dyDescent="0.25">
      <c r="A416" s="21" t="str" cm="1">
        <f t="array" ref="A416">UPPER(LOOKUP(2,1/(A$1:INDEX(A:A,ROW()-1)&lt;&gt;""),A$1:INDEX(A:A,ROW()-1)))</f>
        <v>PUR-ORD-2026-00049</v>
      </c>
      <c r="B416" s="21" t="str" cm="1">
        <f t="array" ref="B416">LOOKUP(2,1/(B$1:INDEX(B:B,ROW()-1)&lt;&gt;""),B$1:INDEX(B:B,ROW()-1))</f>
        <v>MR MD For Project Management Services EST</v>
      </c>
      <c r="H416" s="7">
        <v>3920</v>
      </c>
      <c r="I416" t="s">
        <v>794</v>
      </c>
      <c r="J416" t="s">
        <v>795</v>
      </c>
      <c r="K416" s="9">
        <v>8</v>
      </c>
      <c r="L416" s="9">
        <v>490</v>
      </c>
      <c r="M416" s="20">
        <v>46257</v>
      </c>
      <c r="N416" t="s">
        <v>18</v>
      </c>
      <c r="O416" t="s">
        <v>18</v>
      </c>
      <c r="P416">
        <v>1</v>
      </c>
      <c r="Q416" s="7">
        <v>5</v>
      </c>
    </row>
    <row r="417" spans="1:17" x14ac:dyDescent="0.25">
      <c r="A417" s="21" t="str" cm="1">
        <f t="array" ref="A417">UPPER(LOOKUP(2,1/(A$1:INDEX(A:A,ROW()-1)&lt;&gt;""),A$1:INDEX(A:A,ROW()-1)))</f>
        <v>PUR-ORD-2026-00049</v>
      </c>
      <c r="B417" s="21" t="str" cm="1">
        <f t="array" ref="B417">LOOKUP(2,1/(B$1:INDEX(B:B,ROW()-1)&lt;&gt;""),B$1:INDEX(B:B,ROW()-1))</f>
        <v>MR MD For Project Management Services EST</v>
      </c>
      <c r="H417" s="7">
        <v>2860</v>
      </c>
      <c r="I417" t="s">
        <v>55</v>
      </c>
      <c r="J417" t="s">
        <v>55</v>
      </c>
      <c r="K417" s="9">
        <v>1</v>
      </c>
      <c r="L417" s="9">
        <v>2860</v>
      </c>
      <c r="M417" s="20">
        <v>46203</v>
      </c>
      <c r="N417" t="s">
        <v>398</v>
      </c>
      <c r="O417" t="s">
        <v>441</v>
      </c>
      <c r="P417">
        <v>220</v>
      </c>
      <c r="Q417" s="7">
        <v>1</v>
      </c>
    </row>
    <row r="418" spans="1:17" x14ac:dyDescent="0.25">
      <c r="A418" s="21" t="str" cm="1">
        <f t="array" ref="A418">UPPER(LOOKUP(2,1/(A$1:INDEX(A:A,ROW()-1)&lt;&gt;""),A$1:INDEX(A:A,ROW()-1)))</f>
        <v>PUR-ORD-2026-00049</v>
      </c>
      <c r="B418" s="21" t="str" cm="1">
        <f t="array" ref="B418">LOOKUP(2,1/(B$1:INDEX(B:B,ROW()-1)&lt;&gt;""),B$1:INDEX(B:B,ROW()-1))</f>
        <v>MR MD For Project Management Services EST</v>
      </c>
      <c r="H418" s="7">
        <v>65000</v>
      </c>
      <c r="I418" t="s">
        <v>52</v>
      </c>
      <c r="J418" t="s">
        <v>52</v>
      </c>
      <c r="K418" s="9">
        <v>20</v>
      </c>
      <c r="L418" s="9">
        <v>3250</v>
      </c>
      <c r="M418" s="20">
        <v>46203</v>
      </c>
      <c r="N418" t="s">
        <v>398</v>
      </c>
      <c r="O418" t="s">
        <v>441</v>
      </c>
      <c r="P418">
        <v>250</v>
      </c>
      <c r="Q418" s="7">
        <v>8</v>
      </c>
    </row>
    <row r="419" spans="1:17" x14ac:dyDescent="0.25">
      <c r="A419" s="21" t="str" cm="1">
        <f t="array" ref="A419">UPPER(LOOKUP(2,1/(A$1:INDEX(A:A,ROW()-1)&lt;&gt;""),A$1:INDEX(A:A,ROW()-1)))</f>
        <v>PUR-ORD-2026-00049</v>
      </c>
      <c r="B419" s="21" t="str" cm="1">
        <f t="array" ref="B419">LOOKUP(2,1/(B$1:INDEX(B:B,ROW()-1)&lt;&gt;""),B$1:INDEX(B:B,ROW()-1))</f>
        <v>MR MD For Project Management Services EST</v>
      </c>
      <c r="H419" s="7">
        <v>43296</v>
      </c>
      <c r="I419" t="s">
        <v>248</v>
      </c>
      <c r="J419" t="s">
        <v>248</v>
      </c>
      <c r="K419" s="9">
        <v>24</v>
      </c>
      <c r="L419" s="9">
        <v>1804</v>
      </c>
      <c r="M419" s="20">
        <v>46022</v>
      </c>
      <c r="N419" t="s">
        <v>398</v>
      </c>
      <c r="O419" t="s">
        <v>441</v>
      </c>
      <c r="P419">
        <v>220</v>
      </c>
      <c r="Q419" s="7">
        <v>10</v>
      </c>
    </row>
    <row r="420" spans="1:17" x14ac:dyDescent="0.25">
      <c r="A420" s="21" t="str" cm="1">
        <f t="array" ref="A420">UPPER(LOOKUP(2,1/(A$1:INDEX(A:A,ROW()-1)&lt;&gt;""),A$1:INDEX(A:A,ROW()-1)))</f>
        <v>PUR-ORD-2026-00049</v>
      </c>
      <c r="B420" s="21" t="str" cm="1">
        <f t="array" ref="B420">LOOKUP(2,1/(B$1:INDEX(B:B,ROW()-1)&lt;&gt;""),B$1:INDEX(B:B,ROW()-1))</f>
        <v>MR MD For Project Management Services EST</v>
      </c>
      <c r="H420" s="7">
        <v>8100</v>
      </c>
      <c r="I420" t="s">
        <v>255</v>
      </c>
      <c r="J420" t="s">
        <v>256</v>
      </c>
      <c r="K420" s="9">
        <v>150</v>
      </c>
      <c r="L420" s="9">
        <v>54</v>
      </c>
      <c r="M420" s="20">
        <v>46273</v>
      </c>
      <c r="N420" t="s">
        <v>18</v>
      </c>
      <c r="O420" t="s">
        <v>18</v>
      </c>
      <c r="P420">
        <v>1</v>
      </c>
      <c r="Q420" s="7">
        <v>0</v>
      </c>
    </row>
    <row r="421" spans="1:17" x14ac:dyDescent="0.25">
      <c r="A421" s="21" t="str" cm="1">
        <f t="array" ref="A421">UPPER(LOOKUP(2,1/(A$1:INDEX(A:A,ROW()-1)&lt;&gt;""),A$1:INDEX(A:A,ROW()-1)))</f>
        <v>PUR-ORD-2026-00049</v>
      </c>
      <c r="B421" s="21" t="str" cm="1">
        <f t="array" ref="B421">LOOKUP(2,1/(B$1:INDEX(B:B,ROW()-1)&lt;&gt;""),B$1:INDEX(B:B,ROW()-1))</f>
        <v>MR MD For Project Management Services EST</v>
      </c>
      <c r="H421" s="7">
        <v>5600</v>
      </c>
      <c r="I421" t="s">
        <v>273</v>
      </c>
      <c r="J421" t="s">
        <v>273</v>
      </c>
      <c r="K421" s="9">
        <v>50</v>
      </c>
      <c r="L421" s="9">
        <v>112</v>
      </c>
      <c r="M421" s="20">
        <v>46273</v>
      </c>
      <c r="N421" t="s">
        <v>394</v>
      </c>
      <c r="O421" t="s">
        <v>18</v>
      </c>
      <c r="P421">
        <v>1</v>
      </c>
      <c r="Q421" s="7">
        <v>0</v>
      </c>
    </row>
    <row r="422" spans="1:17" x14ac:dyDescent="0.25">
      <c r="A422" s="21" t="str" cm="1">
        <f t="array" ref="A422">UPPER(LOOKUP(2,1/(A$1:INDEX(A:A,ROW()-1)&lt;&gt;""),A$1:INDEX(A:A,ROW()-1)))</f>
        <v>PUR-ORD-2026-00049</v>
      </c>
      <c r="B422" s="21" t="str" cm="1">
        <f t="array" ref="B422">LOOKUP(2,1/(B$1:INDEX(B:B,ROW()-1)&lt;&gt;""),B$1:INDEX(B:B,ROW()-1))</f>
        <v>MR MD For Project Management Services EST</v>
      </c>
      <c r="H422" s="7">
        <v>4700</v>
      </c>
      <c r="I422" t="s">
        <v>257</v>
      </c>
      <c r="J422" t="s">
        <v>257</v>
      </c>
      <c r="K422" s="9">
        <v>100</v>
      </c>
      <c r="L422" s="9">
        <v>47</v>
      </c>
      <c r="M422" s="20">
        <v>46273</v>
      </c>
      <c r="N422" t="s">
        <v>394</v>
      </c>
      <c r="O422" t="s">
        <v>18</v>
      </c>
      <c r="P422">
        <v>1</v>
      </c>
      <c r="Q422" s="7">
        <v>50</v>
      </c>
    </row>
    <row r="423" spans="1:17" x14ac:dyDescent="0.25">
      <c r="A423" s="21" t="str" cm="1">
        <f t="array" ref="A423">UPPER(LOOKUP(2,1/(A$1:INDEX(A:A,ROW()-1)&lt;&gt;""),A$1:INDEX(A:A,ROW()-1)))</f>
        <v>PUR-ORD-2026-00049</v>
      </c>
      <c r="B423" s="21" t="str" cm="1">
        <f t="array" ref="B423">LOOKUP(2,1/(B$1:INDEX(B:B,ROW()-1)&lt;&gt;""),B$1:INDEX(B:B,ROW()-1))</f>
        <v>MR MD For Project Management Services EST</v>
      </c>
      <c r="H423" s="7">
        <v>3000</v>
      </c>
      <c r="I423" t="s">
        <v>759</v>
      </c>
      <c r="J423" t="s">
        <v>350</v>
      </c>
      <c r="K423" s="9">
        <v>30</v>
      </c>
      <c r="L423" s="9">
        <v>100</v>
      </c>
      <c r="M423" s="20">
        <v>46112</v>
      </c>
      <c r="N423" t="s">
        <v>209</v>
      </c>
      <c r="O423" t="s">
        <v>209</v>
      </c>
      <c r="P423">
        <v>1</v>
      </c>
      <c r="Q423" s="7">
        <v>5</v>
      </c>
    </row>
    <row r="424" spans="1:17" x14ac:dyDescent="0.25">
      <c r="A424" s="21" t="str" cm="1">
        <f t="array" ref="A424">UPPER(LOOKUP(2,1/(A$1:INDEX(A:A,ROW()-1)&lt;&gt;""),A$1:INDEX(A:A,ROW()-1)))</f>
        <v>PUR-ORD-2026-00049</v>
      </c>
      <c r="B424" s="21" t="str" cm="1">
        <f t="array" ref="B424">LOOKUP(2,1/(B$1:INDEX(B:B,ROW()-1)&lt;&gt;""),B$1:INDEX(B:B,ROW()-1))</f>
        <v>MR MD For Project Management Services EST</v>
      </c>
      <c r="H424" s="7">
        <v>55000</v>
      </c>
      <c r="I424" t="s">
        <v>191</v>
      </c>
      <c r="J424" t="s">
        <v>191</v>
      </c>
      <c r="K424" s="9">
        <v>20</v>
      </c>
      <c r="L424" s="9">
        <v>2750</v>
      </c>
      <c r="M424" s="20">
        <v>46142</v>
      </c>
      <c r="N424" t="s">
        <v>398</v>
      </c>
      <c r="O424" t="s">
        <v>441</v>
      </c>
      <c r="P424">
        <v>250</v>
      </c>
      <c r="Q424" s="7">
        <v>10</v>
      </c>
    </row>
    <row r="425" spans="1:17" x14ac:dyDescent="0.25">
      <c r="A425" s="21" t="str" cm="1">
        <f t="array" ref="A425">UPPER(LOOKUP(2,1/(A$1:INDEX(A:A,ROW()-1)&lt;&gt;""),A$1:INDEX(A:A,ROW()-1)))</f>
        <v>PUR-ORD-2026-00049</v>
      </c>
      <c r="B425" s="21" t="str" cm="1">
        <f t="array" ref="B425">LOOKUP(2,1/(B$1:INDEX(B:B,ROW()-1)&lt;&gt;""),B$1:INDEX(B:B,ROW()-1))</f>
        <v>MR MD For Project Management Services EST</v>
      </c>
      <c r="H425" s="7">
        <v>23000</v>
      </c>
      <c r="I425" t="s">
        <v>273</v>
      </c>
      <c r="J425" t="s">
        <v>273</v>
      </c>
      <c r="K425" s="9">
        <v>200</v>
      </c>
      <c r="L425" s="9">
        <v>115</v>
      </c>
      <c r="M425" s="20">
        <v>46203</v>
      </c>
      <c r="N425" t="s">
        <v>394</v>
      </c>
      <c r="O425" t="s">
        <v>394</v>
      </c>
      <c r="P425">
        <v>1</v>
      </c>
      <c r="Q425" s="7">
        <v>200</v>
      </c>
    </row>
    <row r="426" spans="1:17" x14ac:dyDescent="0.25">
      <c r="A426" s="21" t="str" cm="1">
        <f t="array" ref="A426">UPPER(LOOKUP(2,1/(A$1:INDEX(A:A,ROW()-1)&lt;&gt;""),A$1:INDEX(A:A,ROW()-1)))</f>
        <v>PUR-ORD-2026-00049</v>
      </c>
      <c r="B426" s="21" t="str" cm="1">
        <f t="array" ref="B426">LOOKUP(2,1/(B$1:INDEX(B:B,ROW()-1)&lt;&gt;""),B$1:INDEX(B:B,ROW()-1))</f>
        <v>MR MD For Project Management Services EST</v>
      </c>
      <c r="H426" s="7">
        <v>1845</v>
      </c>
      <c r="I426" t="s">
        <v>809</v>
      </c>
      <c r="J426" t="s">
        <v>810</v>
      </c>
      <c r="K426" s="9">
        <v>15</v>
      </c>
      <c r="L426" s="9">
        <v>123</v>
      </c>
      <c r="M426" s="20">
        <v>46268</v>
      </c>
      <c r="N426" t="s">
        <v>18</v>
      </c>
      <c r="O426" t="s">
        <v>18</v>
      </c>
      <c r="P426">
        <v>1</v>
      </c>
      <c r="Q426" s="7">
        <v>0</v>
      </c>
    </row>
    <row r="427" spans="1:17" x14ac:dyDescent="0.25">
      <c r="A427" s="21" t="str" cm="1">
        <f t="array" ref="A427">UPPER(LOOKUP(2,1/(A$1:INDEX(A:A,ROW()-1)&lt;&gt;""),A$1:INDEX(A:A,ROW()-1)))</f>
        <v>PUR-ORD-2026-00049</v>
      </c>
      <c r="B427" s="21" t="str" cm="1">
        <f t="array" ref="B427">LOOKUP(2,1/(B$1:INDEX(B:B,ROW()-1)&lt;&gt;""),B$1:INDEX(B:B,ROW()-1))</f>
        <v>MR MD For Project Management Services EST</v>
      </c>
      <c r="H427" s="7">
        <v>126500</v>
      </c>
      <c r="I427" t="s">
        <v>289</v>
      </c>
      <c r="J427" t="s">
        <v>289</v>
      </c>
      <c r="K427" s="9">
        <v>1012</v>
      </c>
      <c r="L427" s="9">
        <v>125</v>
      </c>
      <c r="M427" s="20">
        <v>46203</v>
      </c>
      <c r="N427" t="s">
        <v>388</v>
      </c>
      <c r="O427" t="s">
        <v>209</v>
      </c>
      <c r="P427">
        <v>10</v>
      </c>
      <c r="Q427" s="7">
        <v>437</v>
      </c>
    </row>
    <row r="428" spans="1:17" x14ac:dyDescent="0.25">
      <c r="A428" s="21" t="str" cm="1">
        <f t="array" ref="A428">UPPER(LOOKUP(2,1/(A$1:INDEX(A:A,ROW()-1)&lt;&gt;""),A$1:INDEX(A:A,ROW()-1)))</f>
        <v>PUR-ORD-2026-00049</v>
      </c>
      <c r="B428" s="21" t="str" cm="1">
        <f t="array" ref="B428">LOOKUP(2,1/(B$1:INDEX(B:B,ROW()-1)&lt;&gt;""),B$1:INDEX(B:B,ROW()-1))</f>
        <v>MR MD For Project Management Services EST</v>
      </c>
      <c r="H428" s="7">
        <v>550000</v>
      </c>
      <c r="I428" t="s">
        <v>286</v>
      </c>
      <c r="J428" t="s">
        <v>286</v>
      </c>
      <c r="K428" s="9">
        <v>5000</v>
      </c>
      <c r="L428" s="9">
        <v>110</v>
      </c>
      <c r="M428" s="20">
        <v>46203</v>
      </c>
      <c r="N428" t="s">
        <v>388</v>
      </c>
      <c r="O428" t="s">
        <v>209</v>
      </c>
      <c r="P428">
        <v>10</v>
      </c>
      <c r="Q428" s="7">
        <v>1272</v>
      </c>
    </row>
    <row r="429" spans="1:17" x14ac:dyDescent="0.25">
      <c r="A429" s="21" t="str" cm="1">
        <f t="array" ref="A429">UPPER(LOOKUP(2,1/(A$1:INDEX(A:A,ROW()-1)&lt;&gt;""),A$1:INDEX(A:A,ROW()-1)))</f>
        <v>PUR-ORD-2026-00049</v>
      </c>
      <c r="B429" s="21" t="str" cm="1">
        <f t="array" ref="B429">LOOKUP(2,1/(B$1:INDEX(B:B,ROW()-1)&lt;&gt;""),B$1:INDEX(B:B,ROW()-1))</f>
        <v>MR MD For Project Management Services EST</v>
      </c>
      <c r="H429" s="7">
        <v>14800</v>
      </c>
      <c r="I429" t="s">
        <v>569</v>
      </c>
      <c r="J429" t="s">
        <v>814</v>
      </c>
      <c r="K429" s="9">
        <v>200</v>
      </c>
      <c r="L429" s="9">
        <v>74</v>
      </c>
      <c r="M429" s="20">
        <v>46203</v>
      </c>
      <c r="N429" t="s">
        <v>394</v>
      </c>
      <c r="O429" t="s">
        <v>394</v>
      </c>
      <c r="P429">
        <v>1</v>
      </c>
      <c r="Q429" s="7">
        <v>200</v>
      </c>
    </row>
    <row r="430" spans="1:17" x14ac:dyDescent="0.25">
      <c r="A430" s="21" t="str" cm="1">
        <f t="array" ref="A430">UPPER(LOOKUP(2,1/(A$1:INDEX(A:A,ROW()-1)&lt;&gt;""),A$1:INDEX(A:A,ROW()-1)))</f>
        <v>PUR-ORD-2026-00049</v>
      </c>
      <c r="B430" s="21" t="str" cm="1">
        <f t="array" ref="B430">LOOKUP(2,1/(B$1:INDEX(B:B,ROW()-1)&lt;&gt;""),B$1:INDEX(B:B,ROW()-1))</f>
        <v>MR MD For Project Management Services EST</v>
      </c>
      <c r="H430" s="7">
        <v>6800</v>
      </c>
      <c r="I430" t="s">
        <v>227</v>
      </c>
      <c r="J430" t="s">
        <v>227</v>
      </c>
      <c r="K430" s="9">
        <v>100</v>
      </c>
      <c r="L430" s="9">
        <v>68</v>
      </c>
      <c r="M430" s="20">
        <v>46203</v>
      </c>
      <c r="N430" t="s">
        <v>394</v>
      </c>
      <c r="O430" t="s">
        <v>394</v>
      </c>
      <c r="P430">
        <v>1</v>
      </c>
      <c r="Q430" s="7">
        <v>100</v>
      </c>
    </row>
    <row r="431" spans="1:17" x14ac:dyDescent="0.25">
      <c r="A431" s="21" t="str" cm="1">
        <f t="array" ref="A431">UPPER(LOOKUP(2,1/(A$1:INDEX(A:A,ROW()-1)&lt;&gt;""),A$1:INDEX(A:A,ROW()-1)))</f>
        <v>PUR-ORD-2026-00049</v>
      </c>
      <c r="B431" s="21" t="str" cm="1">
        <f t="array" ref="B431">LOOKUP(2,1/(B$1:INDEX(B:B,ROW()-1)&lt;&gt;""),B$1:INDEX(B:B,ROW()-1))</f>
        <v>MR MD For Project Management Services EST</v>
      </c>
      <c r="H431" s="7">
        <v>37250</v>
      </c>
      <c r="I431" t="s">
        <v>122</v>
      </c>
      <c r="J431" t="s">
        <v>122</v>
      </c>
      <c r="K431" s="9">
        <v>50</v>
      </c>
      <c r="L431" s="9">
        <v>745</v>
      </c>
      <c r="M431" s="20">
        <v>46280</v>
      </c>
      <c r="N431" t="s">
        <v>388</v>
      </c>
      <c r="O431" t="s">
        <v>18</v>
      </c>
      <c r="P431">
        <v>1</v>
      </c>
      <c r="Q431" s="7">
        <v>0</v>
      </c>
    </row>
    <row r="432" spans="1:17" x14ac:dyDescent="0.25">
      <c r="A432" s="21" t="str" cm="1">
        <f t="array" ref="A432">UPPER(LOOKUP(2,1/(A$1:INDEX(A:A,ROW()-1)&lt;&gt;""),A$1:INDEX(A:A,ROW()-1)))</f>
        <v>PUR-ORD-2026-00049</v>
      </c>
      <c r="B432" s="21" t="str" cm="1">
        <f t="array" ref="B432">LOOKUP(2,1/(B$1:INDEX(B:B,ROW()-1)&lt;&gt;""),B$1:INDEX(B:B,ROW()-1))</f>
        <v>MR MD For Project Management Services EST</v>
      </c>
      <c r="H432" s="7">
        <v>15</v>
      </c>
      <c r="I432" t="s">
        <v>819</v>
      </c>
      <c r="J432" t="s">
        <v>819</v>
      </c>
      <c r="K432" s="9">
        <v>1</v>
      </c>
      <c r="L432" s="9">
        <v>15</v>
      </c>
      <c r="M432" s="20">
        <v>46265</v>
      </c>
      <c r="N432" t="s">
        <v>18</v>
      </c>
      <c r="O432" t="s">
        <v>38</v>
      </c>
      <c r="P432">
        <v>1</v>
      </c>
      <c r="Q432" s="7">
        <v>1</v>
      </c>
    </row>
    <row r="433" spans="1:17" x14ac:dyDescent="0.25">
      <c r="A433" s="21" t="str" cm="1">
        <f t="array" ref="A433">UPPER(LOOKUP(2,1/(A$1:INDEX(A:A,ROW()-1)&lt;&gt;""),A$1:INDEX(A:A,ROW()-1)))</f>
        <v>PUR-ORD-2026-00049</v>
      </c>
      <c r="B433" s="21" t="str" cm="1">
        <f t="array" ref="B433">LOOKUP(2,1/(B$1:INDEX(B:B,ROW()-1)&lt;&gt;""),B$1:INDEX(B:B,ROW()-1))</f>
        <v>MR MD For Project Management Services EST</v>
      </c>
      <c r="H433" s="7">
        <v>60</v>
      </c>
      <c r="I433" t="s">
        <v>37</v>
      </c>
      <c r="J433" t="s">
        <v>37</v>
      </c>
      <c r="K433" s="9">
        <v>1</v>
      </c>
      <c r="L433" s="9">
        <v>60</v>
      </c>
      <c r="M433" s="20">
        <v>46265</v>
      </c>
      <c r="N433" t="s">
        <v>38</v>
      </c>
      <c r="O433" t="s">
        <v>38</v>
      </c>
      <c r="P433">
        <v>1</v>
      </c>
      <c r="Q433" s="7">
        <v>0</v>
      </c>
    </row>
    <row r="434" spans="1:17" x14ac:dyDescent="0.25">
      <c r="A434" s="21" t="str" cm="1">
        <f t="array" ref="A434">UPPER(LOOKUP(2,1/(A$1:INDEX(A:A,ROW()-1)&lt;&gt;""),A$1:INDEX(A:A,ROW()-1)))</f>
        <v>PUR-ORD-2026-00049</v>
      </c>
      <c r="B434" s="21" t="str" cm="1">
        <f t="array" ref="B434">LOOKUP(2,1/(B$1:INDEX(B:B,ROW()-1)&lt;&gt;""),B$1:INDEX(B:B,ROW()-1))</f>
        <v>MR MD For Project Management Services EST</v>
      </c>
      <c r="H434" s="7">
        <v>60</v>
      </c>
      <c r="I434" t="s">
        <v>37</v>
      </c>
      <c r="J434" t="s">
        <v>37</v>
      </c>
      <c r="K434" s="9">
        <v>1</v>
      </c>
      <c r="L434" s="9">
        <v>60</v>
      </c>
      <c r="M434" s="20">
        <v>46265</v>
      </c>
      <c r="N434" t="s">
        <v>38</v>
      </c>
      <c r="O434" t="s">
        <v>38</v>
      </c>
      <c r="P434">
        <v>1</v>
      </c>
      <c r="Q434" s="7">
        <v>1</v>
      </c>
    </row>
    <row r="435" spans="1:17" x14ac:dyDescent="0.25">
      <c r="A435" s="21" t="str" cm="1">
        <f t="array" ref="A435">UPPER(LOOKUP(2,1/(A$1:INDEX(A:A,ROW()-1)&lt;&gt;""),A$1:INDEX(A:A,ROW()-1)))</f>
        <v>PUR-ORD-2026-00049</v>
      </c>
      <c r="B435" s="21" t="str" cm="1">
        <f t="array" ref="B435">LOOKUP(2,1/(B$1:INDEX(B:B,ROW()-1)&lt;&gt;""),B$1:INDEX(B:B,ROW()-1))</f>
        <v>MR MD For Project Management Services EST</v>
      </c>
      <c r="H435" s="7">
        <v>60</v>
      </c>
      <c r="I435" t="s">
        <v>37</v>
      </c>
      <c r="J435" t="s">
        <v>37</v>
      </c>
      <c r="K435" s="9">
        <v>1</v>
      </c>
      <c r="L435" s="9">
        <v>60</v>
      </c>
      <c r="M435" s="20">
        <v>46265</v>
      </c>
      <c r="N435" t="s">
        <v>38</v>
      </c>
      <c r="O435" t="s">
        <v>38</v>
      </c>
      <c r="P435">
        <v>1</v>
      </c>
      <c r="Q435" s="7">
        <v>2</v>
      </c>
    </row>
    <row r="436" spans="1:17" x14ac:dyDescent="0.25">
      <c r="A436" s="21" t="str" cm="1">
        <f t="array" ref="A436">UPPER(LOOKUP(2,1/(A$1:INDEX(A:A,ROW()-1)&lt;&gt;""),A$1:INDEX(A:A,ROW()-1)))</f>
        <v>PUR-ORD-2026-00049</v>
      </c>
      <c r="B436" s="21" t="str" cm="1">
        <f t="array" ref="B436">LOOKUP(2,1/(B$1:INDEX(B:B,ROW()-1)&lt;&gt;""),B$1:INDEX(B:B,ROW()-1))</f>
        <v>MR MD For Project Management Services EST</v>
      </c>
      <c r="H436" s="7">
        <v>1440</v>
      </c>
      <c r="I436" t="s">
        <v>37</v>
      </c>
      <c r="J436" t="s">
        <v>37</v>
      </c>
      <c r="K436" s="9">
        <v>24</v>
      </c>
      <c r="L436" s="9">
        <v>60</v>
      </c>
      <c r="M436" s="20">
        <v>46265</v>
      </c>
      <c r="N436" t="s">
        <v>38</v>
      </c>
      <c r="O436" t="s">
        <v>38</v>
      </c>
      <c r="P436">
        <v>1</v>
      </c>
      <c r="Q436" s="7">
        <v>12</v>
      </c>
    </row>
    <row r="437" spans="1:17" x14ac:dyDescent="0.25">
      <c r="A437" s="21" t="str" cm="1">
        <f t="array" ref="A437">UPPER(LOOKUP(2,1/(A$1:INDEX(A:A,ROW()-1)&lt;&gt;""),A$1:INDEX(A:A,ROW()-1)))</f>
        <v>PUR-ORD-2026-00049</v>
      </c>
      <c r="B437" s="21" t="str" cm="1">
        <f t="array" ref="B437">LOOKUP(2,1/(B$1:INDEX(B:B,ROW()-1)&lt;&gt;""),B$1:INDEX(B:B,ROW()-1))</f>
        <v>MR MD For Project Management Services EST</v>
      </c>
      <c r="H437" s="7">
        <v>60</v>
      </c>
      <c r="I437" t="s">
        <v>37</v>
      </c>
      <c r="J437" t="s">
        <v>37</v>
      </c>
      <c r="K437" s="9">
        <v>1</v>
      </c>
      <c r="L437" s="9">
        <v>60</v>
      </c>
      <c r="M437" s="20">
        <v>46265</v>
      </c>
      <c r="N437" t="s">
        <v>38</v>
      </c>
      <c r="O437" t="s">
        <v>38</v>
      </c>
      <c r="P437">
        <v>1</v>
      </c>
      <c r="Q437" s="7">
        <v>1</v>
      </c>
    </row>
    <row r="438" spans="1:17" x14ac:dyDescent="0.25">
      <c r="A438" s="21" t="str" cm="1">
        <f t="array" ref="A438">UPPER(LOOKUP(2,1/(A$1:INDEX(A:A,ROW()-1)&lt;&gt;""),A$1:INDEX(A:A,ROW()-1)))</f>
        <v>PUR-ORD-2026-00049</v>
      </c>
      <c r="B438" s="21" t="str" cm="1">
        <f t="array" ref="B438">LOOKUP(2,1/(B$1:INDEX(B:B,ROW()-1)&lt;&gt;""),B$1:INDEX(B:B,ROW()-1))</f>
        <v>MR MD For Project Management Services EST</v>
      </c>
      <c r="H438" s="7">
        <v>19300</v>
      </c>
      <c r="I438" t="s">
        <v>448</v>
      </c>
      <c r="J438" t="s">
        <v>448</v>
      </c>
      <c r="K438" s="9">
        <v>20</v>
      </c>
      <c r="L438" s="9">
        <v>965</v>
      </c>
      <c r="M438" s="20">
        <v>46288</v>
      </c>
      <c r="N438" t="s">
        <v>18</v>
      </c>
      <c r="O438" t="s">
        <v>18</v>
      </c>
      <c r="P438">
        <v>1</v>
      </c>
      <c r="Q438" s="7">
        <v>0</v>
      </c>
    </row>
    <row r="439" spans="1:17" x14ac:dyDescent="0.25">
      <c r="A439" s="21" t="str" cm="1">
        <f t="array" ref="A439">UPPER(LOOKUP(2,1/(A$1:INDEX(A:A,ROW()-1)&lt;&gt;""),A$1:INDEX(A:A,ROW()-1)))</f>
        <v>PUR-ORD-2026-00049</v>
      </c>
      <c r="B439" s="21" t="str" cm="1">
        <f t="array" ref="B439">LOOKUP(2,1/(B$1:INDEX(B:B,ROW()-1)&lt;&gt;""),B$1:INDEX(B:B,ROW()-1))</f>
        <v>MR MD For Project Management Services EST</v>
      </c>
      <c r="H439" s="7">
        <v>1320</v>
      </c>
      <c r="I439" t="s">
        <v>36</v>
      </c>
      <c r="J439" t="s">
        <v>36</v>
      </c>
      <c r="K439" s="9">
        <v>22</v>
      </c>
      <c r="L439" s="9">
        <v>60</v>
      </c>
      <c r="M439" s="20">
        <v>46112</v>
      </c>
      <c r="N439" t="s">
        <v>18</v>
      </c>
      <c r="O439" t="s">
        <v>18</v>
      </c>
      <c r="P439">
        <v>1</v>
      </c>
      <c r="Q439" s="7">
        <v>0</v>
      </c>
    </row>
    <row r="440" spans="1:17" x14ac:dyDescent="0.25">
      <c r="A440" s="21" t="str" cm="1">
        <f t="array" ref="A440">UPPER(LOOKUP(2,1/(A$1:INDEX(A:A,ROW()-1)&lt;&gt;""),A$1:INDEX(A:A,ROW()-1)))</f>
        <v>PUR-ORD-2026-00049</v>
      </c>
      <c r="B440" s="21" t="str" cm="1">
        <f t="array" ref="B440">LOOKUP(2,1/(B$1:INDEX(B:B,ROW()-1)&lt;&gt;""),B$1:INDEX(B:B,ROW()-1))</f>
        <v>MR MD For Project Management Services EST</v>
      </c>
      <c r="H440" s="7">
        <v>1320</v>
      </c>
      <c r="I440" t="s">
        <v>37</v>
      </c>
      <c r="J440" t="s">
        <v>37</v>
      </c>
      <c r="K440" s="9">
        <v>22</v>
      </c>
      <c r="L440" s="9">
        <v>60</v>
      </c>
      <c r="M440" s="20">
        <v>46112</v>
      </c>
      <c r="N440" t="s">
        <v>38</v>
      </c>
      <c r="O440" t="s">
        <v>38</v>
      </c>
      <c r="P440">
        <v>1</v>
      </c>
      <c r="Q440" s="7">
        <v>22</v>
      </c>
    </row>
    <row r="441" spans="1:17" x14ac:dyDescent="0.25">
      <c r="A441" s="21" t="str" cm="1">
        <f t="array" ref="A441">UPPER(LOOKUP(2,1/(A$1:INDEX(A:A,ROW()-1)&lt;&gt;""),A$1:INDEX(A:A,ROW()-1)))</f>
        <v>PUR-ORD-2026-00049</v>
      </c>
      <c r="B441" s="21" t="str" cm="1">
        <f t="array" ref="B441">LOOKUP(2,1/(B$1:INDEX(B:B,ROW()-1)&lt;&gt;""),B$1:INDEX(B:B,ROW()-1))</f>
        <v>MR MD For Project Management Services EST</v>
      </c>
      <c r="H441" s="7">
        <v>36000</v>
      </c>
      <c r="I441" t="s">
        <v>52</v>
      </c>
      <c r="J441" t="s">
        <v>52</v>
      </c>
      <c r="K441" s="9">
        <v>12</v>
      </c>
      <c r="L441" s="9">
        <v>3000</v>
      </c>
      <c r="M441" s="20">
        <v>46203</v>
      </c>
      <c r="N441" t="s">
        <v>398</v>
      </c>
      <c r="O441" t="s">
        <v>441</v>
      </c>
      <c r="P441">
        <v>250</v>
      </c>
      <c r="Q441" s="7">
        <v>8</v>
      </c>
    </row>
    <row r="442" spans="1:17" x14ac:dyDescent="0.25">
      <c r="A442" s="21" t="str" cm="1">
        <f t="array" ref="A442">UPPER(LOOKUP(2,1/(A$1:INDEX(A:A,ROW()-1)&lt;&gt;""),A$1:INDEX(A:A,ROW()-1)))</f>
        <v>PUR-ORD-2026-00049</v>
      </c>
      <c r="B442" s="21" t="str" cm="1">
        <f t="array" ref="B442">LOOKUP(2,1/(B$1:INDEX(B:B,ROW()-1)&lt;&gt;""),B$1:INDEX(B:B,ROW()-1))</f>
        <v>MR MD For Project Management Services EST</v>
      </c>
      <c r="H442" s="7">
        <v>16800</v>
      </c>
      <c r="I442" t="s">
        <v>122</v>
      </c>
      <c r="J442" t="s">
        <v>122</v>
      </c>
      <c r="K442" s="9">
        <v>30</v>
      </c>
      <c r="L442" s="9">
        <v>560</v>
      </c>
      <c r="M442" s="20">
        <v>46112</v>
      </c>
      <c r="N442" t="s">
        <v>388</v>
      </c>
      <c r="O442" t="s">
        <v>209</v>
      </c>
      <c r="P442">
        <v>300</v>
      </c>
      <c r="Q442" s="7">
        <v>0</v>
      </c>
    </row>
    <row r="443" spans="1:17" x14ac:dyDescent="0.25">
      <c r="A443" s="21" t="str" cm="1">
        <f t="array" ref="A443">UPPER(LOOKUP(2,1/(A$1:INDEX(A:A,ROW()-1)&lt;&gt;""),A$1:INDEX(A:A,ROW()-1)))</f>
        <v>PUR-ORD-2026-00049</v>
      </c>
      <c r="B443" s="21" t="str" cm="1">
        <f t="array" ref="B443">LOOKUP(2,1/(B$1:INDEX(B:B,ROW()-1)&lt;&gt;""),B$1:INDEX(B:B,ROW()-1))</f>
        <v>MR MD For Project Management Services EST</v>
      </c>
      <c r="H443" s="7">
        <v>2040</v>
      </c>
      <c r="I443" t="s">
        <v>37</v>
      </c>
      <c r="J443" t="s">
        <v>37</v>
      </c>
      <c r="K443" s="9">
        <v>34</v>
      </c>
      <c r="L443" s="9">
        <v>60</v>
      </c>
      <c r="M443" s="20">
        <v>46265</v>
      </c>
      <c r="N443" t="s">
        <v>38</v>
      </c>
      <c r="O443" t="s">
        <v>38</v>
      </c>
      <c r="P443">
        <v>1</v>
      </c>
      <c r="Q443" s="7">
        <v>1</v>
      </c>
    </row>
    <row r="444" spans="1:17" x14ac:dyDescent="0.25">
      <c r="A444" s="21" t="str" cm="1">
        <f t="array" ref="A444">UPPER(LOOKUP(2,1/(A$1:INDEX(A:A,ROW()-1)&lt;&gt;""),A$1:INDEX(A:A,ROW()-1)))</f>
        <v>PUR-ORD-2026-00049</v>
      </c>
      <c r="B444" s="21" t="str" cm="1">
        <f t="array" ref="B444">LOOKUP(2,1/(B$1:INDEX(B:B,ROW()-1)&lt;&gt;""),B$1:INDEX(B:B,ROW()-1))</f>
        <v>MR MD For Project Management Services EST</v>
      </c>
      <c r="H444" s="7">
        <v>1560</v>
      </c>
      <c r="I444" t="s">
        <v>37</v>
      </c>
      <c r="J444" t="s">
        <v>37</v>
      </c>
      <c r="K444" s="9">
        <v>26</v>
      </c>
      <c r="L444" s="9">
        <v>60</v>
      </c>
      <c r="M444" s="20">
        <v>46265</v>
      </c>
      <c r="N444" t="s">
        <v>38</v>
      </c>
      <c r="O444" t="s">
        <v>38</v>
      </c>
      <c r="P444">
        <v>1</v>
      </c>
      <c r="Q444" s="7">
        <v>26</v>
      </c>
    </row>
    <row r="445" spans="1:17" x14ac:dyDescent="0.25">
      <c r="A445" s="21" t="str" cm="1">
        <f t="array" ref="A445">UPPER(LOOKUP(2,1/(A$1:INDEX(A:A,ROW()-1)&lt;&gt;""),A$1:INDEX(A:A,ROW()-1)))</f>
        <v>PUR-ORD-2026-00049</v>
      </c>
      <c r="B445" s="21" t="str" cm="1">
        <f t="array" ref="B445">LOOKUP(2,1/(B$1:INDEX(B:B,ROW()-1)&lt;&gt;""),B$1:INDEX(B:B,ROW()-1))</f>
        <v>MR MD For Project Management Services EST</v>
      </c>
      <c r="H445" s="7">
        <v>1560</v>
      </c>
      <c r="I445" t="s">
        <v>37</v>
      </c>
      <c r="J445" t="s">
        <v>37</v>
      </c>
      <c r="K445" s="9">
        <v>26</v>
      </c>
      <c r="L445" s="9">
        <v>60</v>
      </c>
      <c r="M445" s="20">
        <v>46265</v>
      </c>
      <c r="N445" t="s">
        <v>38</v>
      </c>
      <c r="O445" t="s">
        <v>38</v>
      </c>
      <c r="P445">
        <v>1</v>
      </c>
      <c r="Q445" s="7">
        <v>26</v>
      </c>
    </row>
    <row r="446" spans="1:17" x14ac:dyDescent="0.25">
      <c r="A446" s="21" t="str" cm="1">
        <f t="array" ref="A446">UPPER(LOOKUP(2,1/(A$1:INDEX(A:A,ROW()-1)&lt;&gt;""),A$1:INDEX(A:A,ROW()-1)))</f>
        <v>PUR-ORD-2026-00049</v>
      </c>
      <c r="B446" s="21" t="str" cm="1">
        <f t="array" ref="B446">LOOKUP(2,1/(B$1:INDEX(B:B,ROW()-1)&lt;&gt;""),B$1:INDEX(B:B,ROW()-1))</f>
        <v>MR MD For Project Management Services EST</v>
      </c>
      <c r="H446" s="7">
        <v>360</v>
      </c>
      <c r="I446" t="s">
        <v>37</v>
      </c>
      <c r="J446" t="s">
        <v>37</v>
      </c>
      <c r="K446" s="9">
        <v>6</v>
      </c>
      <c r="L446" s="9">
        <v>60</v>
      </c>
      <c r="M446" s="20">
        <v>46265</v>
      </c>
      <c r="N446" t="s">
        <v>38</v>
      </c>
      <c r="O446" t="s">
        <v>38</v>
      </c>
      <c r="P446">
        <v>1</v>
      </c>
      <c r="Q446" s="7">
        <v>6</v>
      </c>
    </row>
    <row r="447" spans="1:17" x14ac:dyDescent="0.25">
      <c r="A447" s="21" t="str" cm="1">
        <f t="array" ref="A447">UPPER(LOOKUP(2,1/(A$1:INDEX(A:A,ROW()-1)&lt;&gt;""),A$1:INDEX(A:A,ROW()-1)))</f>
        <v>PUR-ORD-2026-00049</v>
      </c>
      <c r="B447" s="21" t="str" cm="1">
        <f t="array" ref="B447">LOOKUP(2,1/(B$1:INDEX(B:B,ROW()-1)&lt;&gt;""),B$1:INDEX(B:B,ROW()-1))</f>
        <v>MR MD For Project Management Services EST</v>
      </c>
      <c r="H447" s="7">
        <v>720</v>
      </c>
      <c r="I447" t="s">
        <v>37</v>
      </c>
      <c r="J447" t="s">
        <v>37</v>
      </c>
      <c r="K447" s="9">
        <v>12</v>
      </c>
      <c r="L447" s="9">
        <v>60</v>
      </c>
      <c r="M447" s="20">
        <v>46265</v>
      </c>
      <c r="N447" t="s">
        <v>38</v>
      </c>
      <c r="O447" t="s">
        <v>38</v>
      </c>
      <c r="P447">
        <v>1</v>
      </c>
      <c r="Q447" s="7">
        <v>0</v>
      </c>
    </row>
    <row r="448" spans="1:17" x14ac:dyDescent="0.25">
      <c r="A448" s="21" t="str" cm="1">
        <f t="array" ref="A448">UPPER(LOOKUP(2,1/(A$1:INDEX(A:A,ROW()-1)&lt;&gt;""),A$1:INDEX(A:A,ROW()-1)))</f>
        <v>PUR-ORD-2026-00049</v>
      </c>
      <c r="B448" s="21" t="str" cm="1">
        <f t="array" ref="B448">LOOKUP(2,1/(B$1:INDEX(B:B,ROW()-1)&lt;&gt;""),B$1:INDEX(B:B,ROW()-1))</f>
        <v>MR MD For Project Management Services EST</v>
      </c>
      <c r="H448" s="7">
        <v>1080</v>
      </c>
      <c r="I448" t="s">
        <v>37</v>
      </c>
      <c r="J448" t="s">
        <v>37</v>
      </c>
      <c r="K448" s="9">
        <v>18</v>
      </c>
      <c r="L448" s="9">
        <v>60</v>
      </c>
      <c r="M448" s="20">
        <v>46265</v>
      </c>
      <c r="N448" t="s">
        <v>38</v>
      </c>
      <c r="O448" t="s">
        <v>38</v>
      </c>
      <c r="P448">
        <v>1</v>
      </c>
      <c r="Q448" s="7">
        <v>30</v>
      </c>
    </row>
    <row r="449" spans="1:17" x14ac:dyDescent="0.25">
      <c r="A449" s="21" t="str" cm="1">
        <f t="array" ref="A449">UPPER(LOOKUP(2,1/(A$1:INDEX(A:A,ROW()-1)&lt;&gt;""),A$1:INDEX(A:A,ROW()-1)))</f>
        <v>PUR-ORD-2026-00049</v>
      </c>
      <c r="B449" s="21" t="str" cm="1">
        <f t="array" ref="B449">LOOKUP(2,1/(B$1:INDEX(B:B,ROW()-1)&lt;&gt;""),B$1:INDEX(B:B,ROW()-1))</f>
        <v>MR MD For Project Management Services EST</v>
      </c>
      <c r="H449" s="7">
        <v>240</v>
      </c>
      <c r="I449" t="s">
        <v>37</v>
      </c>
      <c r="J449" t="s">
        <v>37</v>
      </c>
      <c r="K449" s="9">
        <v>4</v>
      </c>
      <c r="L449" s="9">
        <v>60</v>
      </c>
      <c r="M449" s="20">
        <v>46265</v>
      </c>
      <c r="N449" t="s">
        <v>38</v>
      </c>
      <c r="O449" t="s">
        <v>38</v>
      </c>
      <c r="P449">
        <v>1</v>
      </c>
      <c r="Q449" s="7">
        <v>4</v>
      </c>
    </row>
    <row r="450" spans="1:17" x14ac:dyDescent="0.25">
      <c r="A450" s="21" t="str" cm="1">
        <f t="array" ref="A450">UPPER(LOOKUP(2,1/(A$1:INDEX(A:A,ROW()-1)&lt;&gt;""),A$1:INDEX(A:A,ROW()-1)))</f>
        <v>PUR-ORD-2026-00049</v>
      </c>
      <c r="B450" s="21" t="str" cm="1">
        <f t="array" ref="B450">LOOKUP(2,1/(B$1:INDEX(B:B,ROW()-1)&lt;&gt;""),B$1:INDEX(B:B,ROW()-1))</f>
        <v>MR MD For Project Management Services EST</v>
      </c>
      <c r="H450" s="7">
        <v>15</v>
      </c>
      <c r="I450" t="s">
        <v>817</v>
      </c>
      <c r="J450" t="s">
        <v>818</v>
      </c>
      <c r="K450" s="9">
        <v>1</v>
      </c>
      <c r="L450" s="9">
        <v>15</v>
      </c>
      <c r="M450" s="20">
        <v>46265</v>
      </c>
      <c r="N450" t="s">
        <v>18</v>
      </c>
      <c r="O450" t="s">
        <v>18</v>
      </c>
      <c r="P450">
        <v>1</v>
      </c>
      <c r="Q450" s="7">
        <v>1</v>
      </c>
    </row>
    <row r="451" spans="1:17" x14ac:dyDescent="0.25">
      <c r="A451" s="21" t="str" cm="1">
        <f t="array" ref="A451">UPPER(LOOKUP(2,1/(A$1:INDEX(A:A,ROW()-1)&lt;&gt;""),A$1:INDEX(A:A,ROW()-1)))</f>
        <v>PUR-ORD-2026-00049</v>
      </c>
      <c r="B451" s="21" t="str" cm="1">
        <f t="array" ref="B451">LOOKUP(2,1/(B$1:INDEX(B:B,ROW()-1)&lt;&gt;""),B$1:INDEX(B:B,ROW()-1))</f>
        <v>MR MD For Project Management Services EST</v>
      </c>
      <c r="H451" s="7">
        <v>40</v>
      </c>
      <c r="I451" t="s">
        <v>828</v>
      </c>
      <c r="J451" t="s">
        <v>828</v>
      </c>
      <c r="K451" s="9">
        <v>2</v>
      </c>
      <c r="L451" s="9">
        <v>20</v>
      </c>
      <c r="M451" s="20">
        <v>46265</v>
      </c>
      <c r="N451" t="s">
        <v>18</v>
      </c>
      <c r="O451" t="s">
        <v>18</v>
      </c>
      <c r="P451">
        <v>1</v>
      </c>
      <c r="Q451" s="7">
        <v>1</v>
      </c>
    </row>
    <row r="452" spans="1:17" x14ac:dyDescent="0.25">
      <c r="A452" s="21" t="str" cm="1">
        <f t="array" ref="A452">UPPER(LOOKUP(2,1/(A$1:INDEX(A:A,ROW()-1)&lt;&gt;""),A$1:INDEX(A:A,ROW()-1)))</f>
        <v>PUR-ORD-2026-00049</v>
      </c>
      <c r="B452" s="21" t="str" cm="1">
        <f t="array" ref="B452">LOOKUP(2,1/(B$1:INDEX(B:B,ROW()-1)&lt;&gt;""),B$1:INDEX(B:B,ROW()-1))</f>
        <v>MR MD For Project Management Services EST</v>
      </c>
      <c r="H452" s="7">
        <v>75</v>
      </c>
      <c r="I452" t="s">
        <v>819</v>
      </c>
      <c r="J452" t="s">
        <v>819</v>
      </c>
      <c r="K452" s="9">
        <v>5</v>
      </c>
      <c r="L452" s="9">
        <v>15</v>
      </c>
      <c r="M452" s="20">
        <v>46265</v>
      </c>
      <c r="N452" t="s">
        <v>18</v>
      </c>
      <c r="O452" t="s">
        <v>18</v>
      </c>
      <c r="P452">
        <v>1</v>
      </c>
      <c r="Q452" s="7">
        <v>5</v>
      </c>
    </row>
    <row r="453" spans="1:17" x14ac:dyDescent="0.25">
      <c r="A453" s="21" t="str" cm="1">
        <f t="array" ref="A453">UPPER(LOOKUP(2,1/(A$1:INDEX(A:A,ROW()-1)&lt;&gt;""),A$1:INDEX(A:A,ROW()-1)))</f>
        <v>PUR-ORD-2026-00049</v>
      </c>
      <c r="B453" s="21" t="str" cm="1">
        <f t="array" ref="B453">LOOKUP(2,1/(B$1:INDEX(B:B,ROW()-1)&lt;&gt;""),B$1:INDEX(B:B,ROW()-1))</f>
        <v>MR MD For Project Management Services EST</v>
      </c>
      <c r="H453" s="7">
        <v>15200</v>
      </c>
      <c r="I453" t="s">
        <v>61</v>
      </c>
      <c r="J453" t="s">
        <v>61</v>
      </c>
      <c r="K453" s="9">
        <v>400</v>
      </c>
      <c r="L453" s="9">
        <v>38</v>
      </c>
      <c r="M453" s="20">
        <v>46265</v>
      </c>
      <c r="N453" t="s">
        <v>402</v>
      </c>
      <c r="O453" t="s">
        <v>18</v>
      </c>
      <c r="P453">
        <v>1</v>
      </c>
      <c r="Q453" s="7">
        <v>300</v>
      </c>
    </row>
    <row r="454" spans="1:17" x14ac:dyDescent="0.25">
      <c r="A454" s="21" t="str" cm="1">
        <f t="array" ref="A454">UPPER(LOOKUP(2,1/(A$1:INDEX(A:A,ROW()-1)&lt;&gt;""),A$1:INDEX(A:A,ROW()-1)))</f>
        <v>PUR-ORD-2026-00049</v>
      </c>
      <c r="B454" s="21" t="str" cm="1">
        <f t="array" ref="B454">LOOKUP(2,1/(B$1:INDEX(B:B,ROW()-1)&lt;&gt;""),B$1:INDEX(B:B,ROW()-1))</f>
        <v>MR MD For Project Management Services EST</v>
      </c>
      <c r="H454" s="7">
        <v>62304</v>
      </c>
      <c r="I454" t="s">
        <v>248</v>
      </c>
      <c r="J454" t="s">
        <v>248</v>
      </c>
      <c r="K454" s="9">
        <v>24</v>
      </c>
      <c r="L454" s="9">
        <v>2596</v>
      </c>
      <c r="M454" s="20">
        <v>46292</v>
      </c>
      <c r="N454" t="s">
        <v>398</v>
      </c>
      <c r="O454" t="s">
        <v>18</v>
      </c>
      <c r="P454">
        <v>220</v>
      </c>
      <c r="Q454" s="7">
        <v>10</v>
      </c>
    </row>
    <row r="455" spans="1:17" x14ac:dyDescent="0.25">
      <c r="A455" s="21" t="str" cm="1">
        <f t="array" ref="A455">UPPER(LOOKUP(2,1/(A$1:INDEX(A:A,ROW()-1)&lt;&gt;""),A$1:INDEX(A:A,ROW()-1)))</f>
        <v>PUR-ORD-2026-00049</v>
      </c>
      <c r="B455" s="21" t="str" cm="1">
        <f t="array" ref="B455">LOOKUP(2,1/(B$1:INDEX(B:B,ROW()-1)&lt;&gt;""),B$1:INDEX(B:B,ROW()-1))</f>
        <v>MR MD For Project Management Services EST</v>
      </c>
      <c r="H455" s="7">
        <v>12980</v>
      </c>
      <c r="I455" t="s">
        <v>248</v>
      </c>
      <c r="J455" t="s">
        <v>248</v>
      </c>
      <c r="K455" s="9">
        <v>5</v>
      </c>
      <c r="L455" s="9">
        <v>2596</v>
      </c>
      <c r="M455" s="20">
        <v>46292</v>
      </c>
      <c r="N455" t="s">
        <v>398</v>
      </c>
      <c r="O455" t="s">
        <v>18</v>
      </c>
      <c r="P455">
        <v>220</v>
      </c>
      <c r="Q455" s="7">
        <v>0</v>
      </c>
    </row>
    <row r="456" spans="1:17" x14ac:dyDescent="0.25">
      <c r="A456" s="21" t="str" cm="1">
        <f t="array" ref="A456">UPPER(LOOKUP(2,1/(A$1:INDEX(A:A,ROW()-1)&lt;&gt;""),A$1:INDEX(A:A,ROW()-1)))</f>
        <v>PUR-ORD-2026-00049</v>
      </c>
      <c r="B456" s="21" t="str" cm="1">
        <f t="array" ref="B456">LOOKUP(2,1/(B$1:INDEX(B:B,ROW()-1)&lt;&gt;""),B$1:INDEX(B:B,ROW()-1))</f>
        <v>MR MD For Project Management Services EST</v>
      </c>
      <c r="H456" s="7">
        <v>47000</v>
      </c>
      <c r="I456" t="s">
        <v>242</v>
      </c>
      <c r="J456" t="s">
        <v>242</v>
      </c>
      <c r="K456" s="9">
        <v>1000</v>
      </c>
      <c r="L456" s="9">
        <v>47</v>
      </c>
      <c r="M456" s="20">
        <v>46292</v>
      </c>
      <c r="N456" t="s">
        <v>394</v>
      </c>
      <c r="O456" t="s">
        <v>18</v>
      </c>
      <c r="P456">
        <v>1</v>
      </c>
      <c r="Q456" s="7">
        <v>750</v>
      </c>
    </row>
    <row r="457" spans="1:17" x14ac:dyDescent="0.25">
      <c r="A457" s="21" t="str" cm="1">
        <f t="array" ref="A457">UPPER(LOOKUP(2,1/(A$1:INDEX(A:A,ROW()-1)&lt;&gt;""),A$1:INDEX(A:A,ROW()-1)))</f>
        <v>PUR-ORD-2026-00049</v>
      </c>
      <c r="B457" s="21" t="str" cm="1">
        <f t="array" ref="B457">LOOKUP(2,1/(B$1:INDEX(B:B,ROW()-1)&lt;&gt;""),B$1:INDEX(B:B,ROW()-1))</f>
        <v>MR MD For Project Management Services EST</v>
      </c>
      <c r="H457" s="7">
        <v>1940</v>
      </c>
      <c r="I457" t="s">
        <v>839</v>
      </c>
      <c r="J457" t="s">
        <v>839</v>
      </c>
      <c r="K457" s="9">
        <v>20</v>
      </c>
      <c r="L457" s="9">
        <v>97</v>
      </c>
      <c r="M457" s="20">
        <v>46292</v>
      </c>
      <c r="N457" t="s">
        <v>491</v>
      </c>
      <c r="O457" t="s">
        <v>18</v>
      </c>
      <c r="P457">
        <v>1</v>
      </c>
      <c r="Q457" s="7">
        <v>20</v>
      </c>
    </row>
    <row r="458" spans="1:17" x14ac:dyDescent="0.25">
      <c r="A458" s="21" t="str" cm="1">
        <f t="array" ref="A458">UPPER(LOOKUP(2,1/(A$1:INDEX(A:A,ROW()-1)&lt;&gt;""),A$1:INDEX(A:A,ROW()-1)))</f>
        <v>PUR-ORD-2026-00049</v>
      </c>
      <c r="B458" s="21" t="str" cm="1">
        <f t="array" ref="B458">LOOKUP(2,1/(B$1:INDEX(B:B,ROW()-1)&lt;&gt;""),B$1:INDEX(B:B,ROW()-1))</f>
        <v>MR MD For Project Management Services EST</v>
      </c>
      <c r="H458" s="7">
        <v>4850</v>
      </c>
      <c r="I458" t="s">
        <v>259</v>
      </c>
      <c r="J458" t="s">
        <v>259</v>
      </c>
      <c r="K458" s="9">
        <v>50</v>
      </c>
      <c r="L458" s="9">
        <v>97</v>
      </c>
      <c r="M458" s="20">
        <v>46292</v>
      </c>
      <c r="N458" t="s">
        <v>491</v>
      </c>
      <c r="O458" t="s">
        <v>18</v>
      </c>
      <c r="P458">
        <v>1</v>
      </c>
      <c r="Q458" s="7">
        <v>48</v>
      </c>
    </row>
    <row r="459" spans="1:17" x14ac:dyDescent="0.25">
      <c r="A459" s="21" t="str" cm="1">
        <f t="array" ref="A459">UPPER(LOOKUP(2,1/(A$1:INDEX(A:A,ROW()-1)&lt;&gt;""),A$1:INDEX(A:A,ROW()-1)))</f>
        <v>PUR-ORD-2026-00049</v>
      </c>
      <c r="B459" s="21" t="str" cm="1">
        <f t="array" ref="B459">LOOKUP(2,1/(B$1:INDEX(B:B,ROW()-1)&lt;&gt;""),B$1:INDEX(B:B,ROW()-1))</f>
        <v>MR MD For Project Management Services EST</v>
      </c>
      <c r="H459" s="7">
        <v>1020</v>
      </c>
      <c r="I459" t="s">
        <v>251</v>
      </c>
      <c r="J459" t="s">
        <v>251</v>
      </c>
      <c r="K459" s="9">
        <v>20</v>
      </c>
      <c r="L459" s="9">
        <v>51</v>
      </c>
      <c r="M459" s="20">
        <v>46292</v>
      </c>
      <c r="N459" t="s">
        <v>394</v>
      </c>
      <c r="O459" t="s">
        <v>18</v>
      </c>
      <c r="P459">
        <v>1</v>
      </c>
      <c r="Q459" s="7">
        <v>20</v>
      </c>
    </row>
    <row r="460" spans="1:17" x14ac:dyDescent="0.25">
      <c r="A460" s="21" t="str" cm="1">
        <f t="array" ref="A460">UPPER(LOOKUP(2,1/(A$1:INDEX(A:A,ROW()-1)&lt;&gt;""),A$1:INDEX(A:A,ROW()-1)))</f>
        <v>PUR-ORD-2026-00049</v>
      </c>
      <c r="B460" s="21" t="str" cm="1">
        <f t="array" ref="B460">LOOKUP(2,1/(B$1:INDEX(B:B,ROW()-1)&lt;&gt;""),B$1:INDEX(B:B,ROW()-1))</f>
        <v>MR MD For Project Management Services EST</v>
      </c>
      <c r="H460" s="7">
        <v>23500</v>
      </c>
      <c r="I460" t="s">
        <v>257</v>
      </c>
      <c r="J460" t="s">
        <v>257</v>
      </c>
      <c r="K460" s="9">
        <v>500</v>
      </c>
      <c r="L460" s="9">
        <v>47</v>
      </c>
      <c r="M460" s="20">
        <v>46283</v>
      </c>
      <c r="N460" t="s">
        <v>394</v>
      </c>
      <c r="O460" t="s">
        <v>18</v>
      </c>
      <c r="P460">
        <v>1</v>
      </c>
      <c r="Q460" s="7">
        <v>500</v>
      </c>
    </row>
    <row r="461" spans="1:17" x14ac:dyDescent="0.25">
      <c r="A461" s="21" t="str" cm="1">
        <f t="array" ref="A461">UPPER(LOOKUP(2,1/(A$1:INDEX(A:A,ROW()-1)&lt;&gt;""),A$1:INDEX(A:A,ROW()-1)))</f>
        <v>PUR-ORD-2026-00049</v>
      </c>
      <c r="B461" s="21" t="str" cm="1">
        <f t="array" ref="B461">LOOKUP(2,1/(B$1:INDEX(B:B,ROW()-1)&lt;&gt;""),B$1:INDEX(B:B,ROW()-1))</f>
        <v>MR MD For Project Management Services EST</v>
      </c>
      <c r="H461" s="7">
        <v>13200</v>
      </c>
      <c r="I461" t="s">
        <v>286</v>
      </c>
      <c r="J461" t="s">
        <v>286</v>
      </c>
      <c r="K461" s="9">
        <v>120</v>
      </c>
      <c r="L461" s="9">
        <v>110</v>
      </c>
      <c r="M461" s="20">
        <v>46203</v>
      </c>
      <c r="N461" t="s">
        <v>388</v>
      </c>
      <c r="O461" t="s">
        <v>209</v>
      </c>
      <c r="P461">
        <v>10</v>
      </c>
      <c r="Q461" s="7">
        <v>120</v>
      </c>
    </row>
    <row r="462" spans="1:17" x14ac:dyDescent="0.25">
      <c r="A462" s="21" t="str" cm="1">
        <f t="array" ref="A462">UPPER(LOOKUP(2,1/(A$1:INDEX(A:A,ROW()-1)&lt;&gt;""),A$1:INDEX(A:A,ROW()-1)))</f>
        <v>PUR-ORD-2026-00049</v>
      </c>
      <c r="B462" s="21" t="str" cm="1">
        <f t="array" ref="B462">LOOKUP(2,1/(B$1:INDEX(B:B,ROW()-1)&lt;&gt;""),B$1:INDEX(B:B,ROW()-1))</f>
        <v>MR MD For Project Management Services EST</v>
      </c>
      <c r="H462" s="7">
        <v>1800</v>
      </c>
      <c r="I462" t="s">
        <v>298</v>
      </c>
      <c r="J462" t="s">
        <v>298</v>
      </c>
      <c r="K462" s="9">
        <v>2</v>
      </c>
      <c r="L462" s="9">
        <v>900</v>
      </c>
      <c r="M462" s="20">
        <v>46203</v>
      </c>
      <c r="N462" t="s">
        <v>398</v>
      </c>
      <c r="O462" t="s">
        <v>441</v>
      </c>
      <c r="P462">
        <v>180</v>
      </c>
      <c r="Q462" s="7">
        <v>0</v>
      </c>
    </row>
    <row r="463" spans="1:17" x14ac:dyDescent="0.25">
      <c r="A463" s="21" t="str" cm="1">
        <f t="array" ref="A463">UPPER(LOOKUP(2,1/(A$1:INDEX(A:A,ROW()-1)&lt;&gt;""),A$1:INDEX(A:A,ROW()-1)))</f>
        <v>PUR-ORD-2026-00049</v>
      </c>
      <c r="B463" s="21" t="str" cm="1">
        <f t="array" ref="B463">LOOKUP(2,1/(B$1:INDEX(B:B,ROW()-1)&lt;&gt;""),B$1:INDEX(B:B,ROW()-1))</f>
        <v>MR MD For Project Management Services EST</v>
      </c>
      <c r="H463" s="7">
        <v>40</v>
      </c>
      <c r="I463" t="s">
        <v>844</v>
      </c>
      <c r="J463" t="s">
        <v>844</v>
      </c>
      <c r="K463" s="9">
        <v>1</v>
      </c>
      <c r="L463" s="9">
        <v>40</v>
      </c>
      <c r="M463" s="20">
        <v>46220</v>
      </c>
      <c r="N463" t="s">
        <v>18</v>
      </c>
      <c r="O463" t="s">
        <v>18</v>
      </c>
      <c r="P463">
        <v>1</v>
      </c>
      <c r="Q463" s="7">
        <v>1</v>
      </c>
    </row>
    <row r="464" spans="1:17" x14ac:dyDescent="0.25">
      <c r="A464" s="21" t="str" cm="1">
        <f t="array" ref="A464">UPPER(LOOKUP(2,1/(A$1:INDEX(A:A,ROW()-1)&lt;&gt;""),A$1:INDEX(A:A,ROW()-1)))</f>
        <v>PUR-ORD-2026-00049</v>
      </c>
      <c r="B464" s="21" t="str" cm="1">
        <f t="array" ref="B464">LOOKUP(2,1/(B$1:INDEX(B:B,ROW()-1)&lt;&gt;""),B$1:INDEX(B:B,ROW()-1))</f>
        <v>MR MD For Project Management Services EST</v>
      </c>
      <c r="H464" s="7">
        <v>260</v>
      </c>
      <c r="I464" t="s">
        <v>843</v>
      </c>
      <c r="J464" t="s">
        <v>843</v>
      </c>
      <c r="K464" s="9">
        <v>1</v>
      </c>
      <c r="L464" s="9">
        <v>260</v>
      </c>
      <c r="M464" s="20">
        <v>46220</v>
      </c>
      <c r="N464" t="s">
        <v>18</v>
      </c>
      <c r="O464" t="s">
        <v>18</v>
      </c>
      <c r="P464">
        <v>1</v>
      </c>
      <c r="Q464" s="7">
        <v>2</v>
      </c>
    </row>
    <row r="465" spans="1:17" x14ac:dyDescent="0.25">
      <c r="A465" s="21" t="str" cm="1">
        <f t="array" ref="A465">UPPER(LOOKUP(2,1/(A$1:INDEX(A:A,ROW()-1)&lt;&gt;""),A$1:INDEX(A:A,ROW()-1)))</f>
        <v>PUR-ORD-2026-00049</v>
      </c>
      <c r="B465" s="21" t="str" cm="1">
        <f t="array" ref="B465">LOOKUP(2,1/(B$1:INDEX(B:B,ROW()-1)&lt;&gt;""),B$1:INDEX(B:B,ROW()-1))</f>
        <v>MR MD For Project Management Services EST</v>
      </c>
      <c r="H465" s="7">
        <v>130</v>
      </c>
      <c r="I465" t="s">
        <v>843</v>
      </c>
      <c r="J465" t="s">
        <v>843</v>
      </c>
      <c r="K465" s="9">
        <v>1</v>
      </c>
      <c r="L465" s="9">
        <v>130</v>
      </c>
      <c r="M465" s="20">
        <v>46220</v>
      </c>
      <c r="N465" t="s">
        <v>18</v>
      </c>
      <c r="O465" t="s">
        <v>18</v>
      </c>
      <c r="P465">
        <v>1</v>
      </c>
      <c r="Q465" s="7">
        <v>0</v>
      </c>
    </row>
    <row r="466" spans="1:17" x14ac:dyDescent="0.25">
      <c r="A466" s="21" t="str" cm="1">
        <f t="array" ref="A466">UPPER(LOOKUP(2,1/(A$1:INDEX(A:A,ROW()-1)&lt;&gt;""),A$1:INDEX(A:A,ROW()-1)))</f>
        <v>PUR-ORD-2026-00049</v>
      </c>
      <c r="B466" s="21" t="str" cm="1">
        <f t="array" ref="B466">LOOKUP(2,1/(B$1:INDEX(B:B,ROW()-1)&lt;&gt;""),B$1:INDEX(B:B,ROW()-1))</f>
        <v>MR MD For Project Management Services EST</v>
      </c>
      <c r="H466" s="7">
        <v>200</v>
      </c>
      <c r="I466" t="s">
        <v>843</v>
      </c>
      <c r="J466" t="s">
        <v>843</v>
      </c>
      <c r="K466" s="9">
        <v>1</v>
      </c>
      <c r="L466" s="9">
        <v>200</v>
      </c>
      <c r="M466" s="20">
        <v>46220</v>
      </c>
      <c r="N466" t="s">
        <v>18</v>
      </c>
      <c r="O466" t="s">
        <v>18</v>
      </c>
      <c r="P466">
        <v>1</v>
      </c>
      <c r="Q466" s="7">
        <v>0</v>
      </c>
    </row>
    <row r="467" spans="1:17" x14ac:dyDescent="0.25">
      <c r="A467" s="21" t="str" cm="1">
        <f t="array" ref="A467">UPPER(LOOKUP(2,1/(A$1:INDEX(A:A,ROW()-1)&lt;&gt;""),A$1:INDEX(A:A,ROW()-1)))</f>
        <v>PUR-ORD-2026-00049</v>
      </c>
      <c r="B467" s="21" t="str" cm="1">
        <f t="array" ref="B467">LOOKUP(2,1/(B$1:INDEX(B:B,ROW()-1)&lt;&gt;""),B$1:INDEX(B:B,ROW()-1))</f>
        <v>MR MD For Project Management Services EST</v>
      </c>
      <c r="H467" s="7">
        <v>130</v>
      </c>
      <c r="I467" t="s">
        <v>843</v>
      </c>
      <c r="J467" t="s">
        <v>843</v>
      </c>
      <c r="K467" s="9">
        <v>1</v>
      </c>
      <c r="L467" s="9">
        <v>130</v>
      </c>
      <c r="M467" s="20">
        <v>46220</v>
      </c>
      <c r="N467" t="s">
        <v>18</v>
      </c>
      <c r="O467" t="s">
        <v>18</v>
      </c>
      <c r="P467">
        <v>1</v>
      </c>
      <c r="Q467" s="7">
        <v>2</v>
      </c>
    </row>
    <row r="468" spans="1:17" x14ac:dyDescent="0.25">
      <c r="A468" s="21" t="str" cm="1">
        <f t="array" ref="A468">UPPER(LOOKUP(2,1/(A$1:INDEX(A:A,ROW()-1)&lt;&gt;""),A$1:INDEX(A:A,ROW()-1)))</f>
        <v>PUR-ORD-2026-00049</v>
      </c>
      <c r="B468" s="21" t="str" cm="1">
        <f t="array" ref="B468">LOOKUP(2,1/(B$1:INDEX(B:B,ROW()-1)&lt;&gt;""),B$1:INDEX(B:B,ROW()-1))</f>
        <v>MR MD For Project Management Services EST</v>
      </c>
      <c r="H468" s="7">
        <v>130</v>
      </c>
      <c r="I468" t="s">
        <v>843</v>
      </c>
      <c r="J468" t="s">
        <v>843</v>
      </c>
      <c r="K468" s="9">
        <v>1</v>
      </c>
      <c r="L468" s="9">
        <v>130</v>
      </c>
      <c r="M468" s="20">
        <v>46220</v>
      </c>
      <c r="N468" t="s">
        <v>18</v>
      </c>
      <c r="O468" t="s">
        <v>18</v>
      </c>
      <c r="P468">
        <v>1</v>
      </c>
      <c r="Q468" s="7">
        <v>0</v>
      </c>
    </row>
    <row r="469" spans="1:17" x14ac:dyDescent="0.25">
      <c r="A469" s="21" t="str" cm="1">
        <f t="array" ref="A469">UPPER(LOOKUP(2,1/(A$1:INDEX(A:A,ROW()-1)&lt;&gt;""),A$1:INDEX(A:A,ROW()-1)))</f>
        <v>PUR-ORD-2026-00049</v>
      </c>
      <c r="B469" s="21" t="str" cm="1">
        <f t="array" ref="B469">LOOKUP(2,1/(B$1:INDEX(B:B,ROW()-1)&lt;&gt;""),B$1:INDEX(B:B,ROW()-1))</f>
        <v>MR MD For Project Management Services EST</v>
      </c>
      <c r="H469" s="7">
        <v>130</v>
      </c>
      <c r="I469" t="s">
        <v>843</v>
      </c>
      <c r="J469" t="s">
        <v>843</v>
      </c>
      <c r="K469" s="9">
        <v>1</v>
      </c>
      <c r="L469" s="9">
        <v>130</v>
      </c>
      <c r="M469" s="20">
        <v>46220</v>
      </c>
      <c r="N469" t="s">
        <v>18</v>
      </c>
      <c r="O469" t="s">
        <v>18</v>
      </c>
      <c r="P469">
        <v>1</v>
      </c>
      <c r="Q469" s="7">
        <v>1</v>
      </c>
    </row>
    <row r="470" spans="1:17" x14ac:dyDescent="0.25">
      <c r="A470" s="21" t="str" cm="1">
        <f t="array" ref="A470">UPPER(LOOKUP(2,1/(A$1:INDEX(A:A,ROW()-1)&lt;&gt;""),A$1:INDEX(A:A,ROW()-1)))</f>
        <v>PUR-ORD-2026-00049</v>
      </c>
      <c r="B470" s="21" t="str" cm="1">
        <f t="array" ref="B470">LOOKUP(2,1/(B$1:INDEX(B:B,ROW()-1)&lt;&gt;""),B$1:INDEX(B:B,ROW()-1))</f>
        <v>MR MD For Project Management Services EST</v>
      </c>
      <c r="H470" s="7">
        <v>260</v>
      </c>
      <c r="I470" t="s">
        <v>844</v>
      </c>
      <c r="J470" t="s">
        <v>844</v>
      </c>
      <c r="K470" s="9">
        <v>1</v>
      </c>
      <c r="L470" s="9">
        <v>260</v>
      </c>
      <c r="M470" s="20">
        <v>46220</v>
      </c>
      <c r="N470" t="s">
        <v>18</v>
      </c>
      <c r="O470" t="s">
        <v>18</v>
      </c>
      <c r="P470">
        <v>1</v>
      </c>
      <c r="Q470" s="7">
        <v>1</v>
      </c>
    </row>
    <row r="471" spans="1:17" x14ac:dyDescent="0.25">
      <c r="A471" s="21" t="str" cm="1">
        <f t="array" ref="A471">UPPER(LOOKUP(2,1/(A$1:INDEX(A:A,ROW()-1)&lt;&gt;""),A$1:INDEX(A:A,ROW()-1)))</f>
        <v>PUR-ORD-2026-00049</v>
      </c>
      <c r="B471" s="21" t="str" cm="1">
        <f t="array" ref="B471">LOOKUP(2,1/(B$1:INDEX(B:B,ROW()-1)&lt;&gt;""),B$1:INDEX(B:B,ROW()-1))</f>
        <v>MR MD For Project Management Services EST</v>
      </c>
      <c r="H471" s="7">
        <v>310</v>
      </c>
      <c r="I471" t="s">
        <v>843</v>
      </c>
      <c r="J471" t="s">
        <v>843</v>
      </c>
      <c r="K471" s="9">
        <v>1</v>
      </c>
      <c r="L471" s="9">
        <v>310</v>
      </c>
      <c r="M471" s="20">
        <v>46220</v>
      </c>
      <c r="N471" t="s">
        <v>18</v>
      </c>
      <c r="O471" t="s">
        <v>18</v>
      </c>
      <c r="P471">
        <v>1</v>
      </c>
      <c r="Q471" s="7">
        <v>1</v>
      </c>
    </row>
    <row r="472" spans="1:17" x14ac:dyDescent="0.25">
      <c r="A472" s="21" t="str" cm="1">
        <f t="array" ref="A472">UPPER(LOOKUP(2,1/(A$1:INDEX(A:A,ROW()-1)&lt;&gt;""),A$1:INDEX(A:A,ROW()-1)))</f>
        <v>PUR-ORD-2026-00049</v>
      </c>
      <c r="B472" s="21" t="str" cm="1">
        <f t="array" ref="B472">LOOKUP(2,1/(B$1:INDEX(B:B,ROW()-1)&lt;&gt;""),B$1:INDEX(B:B,ROW()-1))</f>
        <v>MR MD For Project Management Services EST</v>
      </c>
      <c r="H472" s="7">
        <v>780</v>
      </c>
      <c r="I472" t="s">
        <v>843</v>
      </c>
      <c r="J472" t="s">
        <v>843</v>
      </c>
      <c r="K472" s="9">
        <v>6</v>
      </c>
      <c r="L472" s="9">
        <v>130</v>
      </c>
      <c r="M472" s="20">
        <v>46220</v>
      </c>
      <c r="N472" t="s">
        <v>18</v>
      </c>
      <c r="O472" t="s">
        <v>18</v>
      </c>
      <c r="P472">
        <v>1</v>
      </c>
      <c r="Q472" s="7">
        <v>6</v>
      </c>
    </row>
    <row r="473" spans="1:17" x14ac:dyDescent="0.25">
      <c r="A473" s="21" t="str" cm="1">
        <f t="array" ref="A473">UPPER(LOOKUP(2,1/(A$1:INDEX(A:A,ROW()-1)&lt;&gt;""),A$1:INDEX(A:A,ROW()-1)))</f>
        <v>PUR-ORD-2026-00049</v>
      </c>
      <c r="B473" s="21" t="str" cm="1">
        <f t="array" ref="B473">LOOKUP(2,1/(B$1:INDEX(B:B,ROW()-1)&lt;&gt;""),B$1:INDEX(B:B,ROW()-1))</f>
        <v>MR MD For Project Management Services EST</v>
      </c>
      <c r="H473" s="7">
        <v>9600</v>
      </c>
      <c r="I473" t="s">
        <v>507</v>
      </c>
      <c r="J473" t="s">
        <v>507</v>
      </c>
      <c r="K473" s="9">
        <v>400</v>
      </c>
      <c r="L473" s="9">
        <v>24</v>
      </c>
      <c r="M473" s="20">
        <v>46247</v>
      </c>
      <c r="N473" t="s">
        <v>18</v>
      </c>
      <c r="O473" t="s">
        <v>18</v>
      </c>
      <c r="P473">
        <v>1</v>
      </c>
      <c r="Q473" s="7">
        <v>400</v>
      </c>
    </row>
    <row r="474" spans="1:17" x14ac:dyDescent="0.25">
      <c r="A474" s="21" t="str" cm="1">
        <f t="array" ref="A474">UPPER(LOOKUP(2,1/(A$1:INDEX(A:A,ROW()-1)&lt;&gt;""),A$1:INDEX(A:A,ROW()-1)))</f>
        <v>PUR-ORD-2026-00049</v>
      </c>
      <c r="B474" s="21" t="str" cm="1">
        <f t="array" ref="B474">LOOKUP(2,1/(B$1:INDEX(B:B,ROW()-1)&lt;&gt;""),B$1:INDEX(B:B,ROW()-1))</f>
        <v>MR MD For Project Management Services EST</v>
      </c>
      <c r="H474" s="7">
        <v>2580</v>
      </c>
      <c r="I474" t="s">
        <v>848</v>
      </c>
      <c r="J474" t="s">
        <v>849</v>
      </c>
      <c r="K474" s="9">
        <v>60</v>
      </c>
      <c r="L474" s="9">
        <v>43</v>
      </c>
      <c r="M474" s="20">
        <v>46112</v>
      </c>
      <c r="N474" t="s">
        <v>209</v>
      </c>
      <c r="O474" t="s">
        <v>209</v>
      </c>
      <c r="P474">
        <v>1</v>
      </c>
      <c r="Q474" s="7">
        <v>30</v>
      </c>
    </row>
    <row r="475" spans="1:17" x14ac:dyDescent="0.25">
      <c r="A475" s="21" t="str" cm="1">
        <f t="array" ref="A475">UPPER(LOOKUP(2,1/(A$1:INDEX(A:A,ROW()-1)&lt;&gt;""),A$1:INDEX(A:A,ROW()-1)))</f>
        <v>PUR-ORD-2026-00049</v>
      </c>
      <c r="B475" s="21" t="str" cm="1">
        <f t="array" ref="B475">LOOKUP(2,1/(B$1:INDEX(B:B,ROW()-1)&lt;&gt;""),B$1:INDEX(B:B,ROW()-1))</f>
        <v>MR MD For Project Management Services EST</v>
      </c>
      <c r="H475" s="7">
        <v>69560</v>
      </c>
      <c r="I475" t="s">
        <v>91</v>
      </c>
      <c r="J475" t="s">
        <v>91</v>
      </c>
      <c r="K475" s="9">
        <v>470</v>
      </c>
      <c r="L475" s="9">
        <v>148</v>
      </c>
      <c r="M475" s="20">
        <v>46198</v>
      </c>
      <c r="N475" t="s">
        <v>209</v>
      </c>
      <c r="O475" t="s">
        <v>209</v>
      </c>
      <c r="P475">
        <v>1</v>
      </c>
      <c r="Q475" s="7">
        <v>470</v>
      </c>
    </row>
    <row r="476" spans="1:17" x14ac:dyDescent="0.25">
      <c r="A476" s="21" t="str" cm="1">
        <f t="array" ref="A476">UPPER(LOOKUP(2,1/(A$1:INDEX(A:A,ROW()-1)&lt;&gt;""),A$1:INDEX(A:A,ROW()-1)))</f>
        <v>PUR-ORD-2026-00049</v>
      </c>
      <c r="B476" s="21" t="str" cm="1">
        <f t="array" ref="B476">LOOKUP(2,1/(B$1:INDEX(B:B,ROW()-1)&lt;&gt;""),B$1:INDEX(B:B,ROW()-1))</f>
        <v>MR MD For Project Management Services EST</v>
      </c>
      <c r="H476" s="7">
        <v>345</v>
      </c>
      <c r="I476" t="s">
        <v>94</v>
      </c>
      <c r="J476" t="s">
        <v>95</v>
      </c>
      <c r="K476" s="9">
        <v>3</v>
      </c>
      <c r="L476" s="9">
        <v>115</v>
      </c>
      <c r="M476" s="20">
        <v>46198</v>
      </c>
      <c r="N476" t="s">
        <v>491</v>
      </c>
      <c r="O476" t="s">
        <v>491</v>
      </c>
      <c r="P476">
        <v>1</v>
      </c>
      <c r="Q476" s="7">
        <v>1</v>
      </c>
    </row>
    <row r="477" spans="1:17" x14ac:dyDescent="0.25">
      <c r="A477" s="21" t="str" cm="1">
        <f t="array" ref="A477">UPPER(LOOKUP(2,1/(A$1:INDEX(A:A,ROW()-1)&lt;&gt;""),A$1:INDEX(A:A,ROW()-1)))</f>
        <v>PUR-ORD-2026-00049</v>
      </c>
      <c r="B477" s="21" t="str" cm="1">
        <f t="array" ref="B477">LOOKUP(2,1/(B$1:INDEX(B:B,ROW()-1)&lt;&gt;""),B$1:INDEX(B:B,ROW()-1))</f>
        <v>MR MD For Project Management Services EST</v>
      </c>
      <c r="H477" s="7">
        <v>33840</v>
      </c>
      <c r="I477" t="s">
        <v>98</v>
      </c>
      <c r="J477" t="s">
        <v>98</v>
      </c>
      <c r="K477" s="9">
        <v>235</v>
      </c>
      <c r="L477" s="9">
        <v>144</v>
      </c>
      <c r="M477" s="20">
        <v>46198</v>
      </c>
      <c r="N477" t="s">
        <v>209</v>
      </c>
      <c r="O477" t="s">
        <v>209</v>
      </c>
      <c r="P477">
        <v>1</v>
      </c>
      <c r="Q477" s="7">
        <v>123</v>
      </c>
    </row>
    <row r="478" spans="1:17" x14ac:dyDescent="0.25">
      <c r="A478" s="21" t="str" cm="1">
        <f t="array" ref="A478">UPPER(LOOKUP(2,1/(A$1:INDEX(A:A,ROW()-1)&lt;&gt;""),A$1:INDEX(A:A,ROW()-1)))</f>
        <v>PUR-ORD-2026-00049</v>
      </c>
      <c r="B478" s="21" t="str" cm="1">
        <f t="array" ref="B478">LOOKUP(2,1/(B$1:INDEX(B:B,ROW()-1)&lt;&gt;""),B$1:INDEX(B:B,ROW()-1))</f>
        <v>MR MD For Project Management Services EST</v>
      </c>
      <c r="H478" s="7">
        <v>3680</v>
      </c>
      <c r="I478" t="s">
        <v>852</v>
      </c>
      <c r="J478" t="s">
        <v>852</v>
      </c>
      <c r="K478" s="9">
        <v>23</v>
      </c>
      <c r="L478" s="9">
        <v>160</v>
      </c>
      <c r="M478" s="20">
        <v>46234</v>
      </c>
      <c r="N478" t="s">
        <v>388</v>
      </c>
      <c r="O478" t="s">
        <v>209</v>
      </c>
      <c r="P478">
        <v>1</v>
      </c>
      <c r="Q478" s="7">
        <v>23</v>
      </c>
    </row>
    <row r="479" spans="1:17" x14ac:dyDescent="0.25">
      <c r="A479" s="21" t="str" cm="1">
        <f t="array" ref="A479">UPPER(LOOKUP(2,1/(A$1:INDEX(A:A,ROW()-1)&lt;&gt;""),A$1:INDEX(A:A,ROW()-1)))</f>
        <v>PUR-ORD-2026-00049</v>
      </c>
      <c r="B479" s="21" t="str" cm="1">
        <f t="array" ref="B479">LOOKUP(2,1/(B$1:INDEX(B:B,ROW()-1)&lt;&gt;""),B$1:INDEX(B:B,ROW()-1))</f>
        <v>MR MD For Project Management Services EST</v>
      </c>
      <c r="H479" s="7">
        <v>1000</v>
      </c>
      <c r="I479" t="s">
        <v>853</v>
      </c>
      <c r="J479" t="s">
        <v>853</v>
      </c>
      <c r="K479" s="9">
        <v>1</v>
      </c>
      <c r="L479" s="9">
        <v>1000</v>
      </c>
      <c r="M479" s="20">
        <v>46234</v>
      </c>
      <c r="N479" t="s">
        <v>398</v>
      </c>
      <c r="O479" t="s">
        <v>441</v>
      </c>
      <c r="P479">
        <v>1</v>
      </c>
      <c r="Q479" s="7">
        <v>1</v>
      </c>
    </row>
    <row r="480" spans="1:17" x14ac:dyDescent="0.25">
      <c r="A480" s="21" t="str" cm="1">
        <f t="array" ref="A480">UPPER(LOOKUP(2,1/(A$1:INDEX(A:A,ROW()-1)&lt;&gt;""),A$1:INDEX(A:A,ROW()-1)))</f>
        <v>PUR-ORD-2026-00049</v>
      </c>
      <c r="B480" s="21" t="str" cm="1">
        <f t="array" ref="B480">LOOKUP(2,1/(B$1:INDEX(B:B,ROW()-1)&lt;&gt;""),B$1:INDEX(B:B,ROW()-1))</f>
        <v>MR MD For Project Management Services EST</v>
      </c>
      <c r="H480" s="7">
        <v>3200</v>
      </c>
      <c r="I480" t="s">
        <v>857</v>
      </c>
      <c r="J480" t="s">
        <v>857</v>
      </c>
      <c r="K480" s="9">
        <v>100</v>
      </c>
      <c r="L480" s="9">
        <v>32</v>
      </c>
      <c r="M480" s="20">
        <v>46219</v>
      </c>
      <c r="N480" t="s">
        <v>18</v>
      </c>
      <c r="O480" t="s">
        <v>18</v>
      </c>
      <c r="P480">
        <v>1</v>
      </c>
      <c r="Q480" s="7">
        <v>100</v>
      </c>
    </row>
    <row r="481" spans="1:17" x14ac:dyDescent="0.25">
      <c r="A481" s="21" t="str" cm="1">
        <f t="array" ref="A481">UPPER(LOOKUP(2,1/(A$1:INDEX(A:A,ROW()-1)&lt;&gt;""),A$1:INDEX(A:A,ROW()-1)))</f>
        <v>PUR-ORD-2026-00049</v>
      </c>
      <c r="B481" s="21" t="str" cm="1">
        <f t="array" ref="B481">LOOKUP(2,1/(B$1:INDEX(B:B,ROW()-1)&lt;&gt;""),B$1:INDEX(B:B,ROW()-1))</f>
        <v>MR MD For Project Management Services EST</v>
      </c>
      <c r="H481" s="7">
        <v>17250</v>
      </c>
      <c r="I481" t="s">
        <v>544</v>
      </c>
      <c r="J481" t="s">
        <v>544</v>
      </c>
      <c r="K481" s="9">
        <v>115</v>
      </c>
      <c r="L481" s="9">
        <v>150</v>
      </c>
      <c r="M481" s="20">
        <v>46295</v>
      </c>
      <c r="N481" t="s">
        <v>18</v>
      </c>
      <c r="O481" t="s">
        <v>18</v>
      </c>
      <c r="P481">
        <v>1</v>
      </c>
      <c r="Q481" s="7">
        <v>46</v>
      </c>
    </row>
    <row r="482" spans="1:17" x14ac:dyDescent="0.25">
      <c r="A482" s="21" t="str" cm="1">
        <f t="array" ref="A482">UPPER(LOOKUP(2,1/(A$1:INDEX(A:A,ROW()-1)&lt;&gt;""),A$1:INDEX(A:A,ROW()-1)))</f>
        <v>PUR-ORD-2026-00049</v>
      </c>
      <c r="B482" s="21" t="str" cm="1">
        <f t="array" ref="B482">LOOKUP(2,1/(B$1:INDEX(B:B,ROW()-1)&lt;&gt;""),B$1:INDEX(B:B,ROW()-1))</f>
        <v>MR MD For Project Management Services EST</v>
      </c>
      <c r="H482" s="7">
        <v>210</v>
      </c>
      <c r="I482" t="s">
        <v>843</v>
      </c>
      <c r="J482" t="s">
        <v>843</v>
      </c>
      <c r="K482" s="9">
        <v>1</v>
      </c>
      <c r="L482" s="9">
        <v>210</v>
      </c>
      <c r="M482" s="20">
        <v>46235</v>
      </c>
      <c r="N482" t="s">
        <v>18</v>
      </c>
      <c r="O482" t="s">
        <v>18</v>
      </c>
      <c r="P482">
        <v>1</v>
      </c>
      <c r="Q482" s="7">
        <v>1</v>
      </c>
    </row>
    <row r="483" spans="1:17" x14ac:dyDescent="0.25">
      <c r="A483" s="21" t="str" cm="1">
        <f t="array" ref="A483">UPPER(LOOKUP(2,1/(A$1:INDEX(A:A,ROW()-1)&lt;&gt;""),A$1:INDEX(A:A,ROW()-1)))</f>
        <v>PUR-ORD-2026-00049</v>
      </c>
      <c r="B483" s="21" t="str" cm="1">
        <f t="array" ref="B483">LOOKUP(2,1/(B$1:INDEX(B:B,ROW()-1)&lt;&gt;""),B$1:INDEX(B:B,ROW()-1))</f>
        <v>MR MD For Project Management Services EST</v>
      </c>
      <c r="H483" s="7">
        <v>260</v>
      </c>
      <c r="I483" t="s">
        <v>843</v>
      </c>
      <c r="J483" t="s">
        <v>843</v>
      </c>
      <c r="K483" s="9">
        <v>1</v>
      </c>
      <c r="L483" s="9">
        <v>260</v>
      </c>
      <c r="M483" s="20">
        <v>46235</v>
      </c>
      <c r="N483" t="s">
        <v>18</v>
      </c>
      <c r="O483" t="s">
        <v>18</v>
      </c>
      <c r="P483">
        <v>1</v>
      </c>
      <c r="Q483" s="7">
        <v>0</v>
      </c>
    </row>
    <row r="484" spans="1:17" x14ac:dyDescent="0.25">
      <c r="A484" s="21" t="str" cm="1">
        <f t="array" ref="A484">UPPER(LOOKUP(2,1/(A$1:INDEX(A:A,ROW()-1)&lt;&gt;""),A$1:INDEX(A:A,ROW()-1)))</f>
        <v>PUR-ORD-2026-00049</v>
      </c>
      <c r="B484" s="21" t="str" cm="1">
        <f t="array" ref="B484">LOOKUP(2,1/(B$1:INDEX(B:B,ROW()-1)&lt;&gt;""),B$1:INDEX(B:B,ROW()-1))</f>
        <v>MR MD For Project Management Services EST</v>
      </c>
      <c r="H484" s="7">
        <v>40</v>
      </c>
      <c r="I484" t="s">
        <v>844</v>
      </c>
      <c r="J484" t="s">
        <v>844</v>
      </c>
      <c r="K484" s="9">
        <v>1</v>
      </c>
      <c r="L484" s="9">
        <v>40</v>
      </c>
      <c r="M484" s="20">
        <v>46235</v>
      </c>
      <c r="N484" t="s">
        <v>18</v>
      </c>
      <c r="O484" t="s">
        <v>18</v>
      </c>
      <c r="P484">
        <v>1</v>
      </c>
      <c r="Q484" s="7">
        <v>1</v>
      </c>
    </row>
    <row r="485" spans="1:17" x14ac:dyDescent="0.25">
      <c r="A485" s="21" t="str" cm="1">
        <f t="array" ref="A485">UPPER(LOOKUP(2,1/(A$1:INDEX(A:A,ROW()-1)&lt;&gt;""),A$1:INDEX(A:A,ROW()-1)))</f>
        <v>PUR-ORD-2026-00049</v>
      </c>
      <c r="B485" s="21" t="str" cm="1">
        <f t="array" ref="B485">LOOKUP(2,1/(B$1:INDEX(B:B,ROW()-1)&lt;&gt;""),B$1:INDEX(B:B,ROW()-1))</f>
        <v>MR MD For Project Management Services EST</v>
      </c>
      <c r="H485" s="7">
        <v>600</v>
      </c>
      <c r="I485" t="s">
        <v>843</v>
      </c>
      <c r="J485" t="s">
        <v>843</v>
      </c>
      <c r="K485" s="9">
        <v>3</v>
      </c>
      <c r="L485" s="9">
        <v>200</v>
      </c>
      <c r="M485" s="20">
        <v>46235</v>
      </c>
      <c r="N485" t="s">
        <v>18</v>
      </c>
      <c r="O485" t="s">
        <v>18</v>
      </c>
      <c r="P485">
        <v>1</v>
      </c>
      <c r="Q485" s="7">
        <v>3</v>
      </c>
    </row>
    <row r="486" spans="1:17" x14ac:dyDescent="0.25">
      <c r="A486" s="21" t="str" cm="1">
        <f t="array" ref="A486">UPPER(LOOKUP(2,1/(A$1:INDEX(A:A,ROW()-1)&lt;&gt;""),A$1:INDEX(A:A,ROW()-1)))</f>
        <v>PUR-ORD-2026-00049</v>
      </c>
      <c r="B486" s="21" t="str" cm="1">
        <f t="array" ref="B486">LOOKUP(2,1/(B$1:INDEX(B:B,ROW()-1)&lt;&gt;""),B$1:INDEX(B:B,ROW()-1))</f>
        <v>MR MD For Project Management Services EST</v>
      </c>
      <c r="H486" s="7">
        <v>390</v>
      </c>
      <c r="I486" t="s">
        <v>843</v>
      </c>
      <c r="J486" t="s">
        <v>843</v>
      </c>
      <c r="K486" s="9">
        <v>3</v>
      </c>
      <c r="L486" s="9">
        <v>130</v>
      </c>
      <c r="M486" s="20">
        <v>46235</v>
      </c>
      <c r="N486" t="s">
        <v>18</v>
      </c>
      <c r="O486" t="s">
        <v>18</v>
      </c>
      <c r="P486">
        <v>1</v>
      </c>
      <c r="Q486" s="7">
        <v>3</v>
      </c>
    </row>
    <row r="487" spans="1:17" x14ac:dyDescent="0.25">
      <c r="A487" s="21" t="str" cm="1">
        <f t="array" ref="A487">UPPER(LOOKUP(2,1/(A$1:INDEX(A:A,ROW()-1)&lt;&gt;""),A$1:INDEX(A:A,ROW()-1)))</f>
        <v>PUR-ORD-2026-00049</v>
      </c>
      <c r="B487" s="21" t="str" cm="1">
        <f t="array" ref="B487">LOOKUP(2,1/(B$1:INDEX(B:B,ROW()-1)&lt;&gt;""),B$1:INDEX(B:B,ROW()-1))</f>
        <v>MR MD For Project Management Services EST</v>
      </c>
      <c r="H487" s="7">
        <v>520</v>
      </c>
      <c r="I487" t="s">
        <v>843</v>
      </c>
      <c r="J487" t="s">
        <v>843</v>
      </c>
      <c r="K487" s="9">
        <v>2</v>
      </c>
      <c r="L487" s="9">
        <v>260</v>
      </c>
      <c r="M487" s="20">
        <v>46235</v>
      </c>
      <c r="N487" t="s">
        <v>18</v>
      </c>
      <c r="O487" t="s">
        <v>18</v>
      </c>
      <c r="P487">
        <v>1</v>
      </c>
      <c r="Q487" s="7">
        <v>3</v>
      </c>
    </row>
    <row r="488" spans="1:17" x14ac:dyDescent="0.25">
      <c r="A488" s="21" t="str" cm="1">
        <f t="array" ref="A488">UPPER(LOOKUP(2,1/(A$1:INDEX(A:A,ROW()-1)&lt;&gt;""),A$1:INDEX(A:A,ROW()-1)))</f>
        <v>PUR-ORD-2026-00049</v>
      </c>
      <c r="B488" s="21" t="str" cm="1">
        <f t="array" ref="B488">LOOKUP(2,1/(B$1:INDEX(B:B,ROW()-1)&lt;&gt;""),B$1:INDEX(B:B,ROW()-1))</f>
        <v>MR MD For Project Management Services EST</v>
      </c>
      <c r="H488" s="7">
        <v>440</v>
      </c>
      <c r="I488" t="s">
        <v>843</v>
      </c>
      <c r="J488" t="s">
        <v>843</v>
      </c>
      <c r="K488" s="9">
        <v>1</v>
      </c>
      <c r="L488" s="9">
        <v>440</v>
      </c>
      <c r="M488" s="20">
        <v>46235</v>
      </c>
      <c r="N488" t="s">
        <v>18</v>
      </c>
      <c r="O488" t="s">
        <v>18</v>
      </c>
      <c r="P488">
        <v>1</v>
      </c>
      <c r="Q488" s="7">
        <v>1</v>
      </c>
    </row>
    <row r="489" spans="1:17" x14ac:dyDescent="0.25">
      <c r="A489" s="21" t="str" cm="1">
        <f t="array" ref="A489">UPPER(LOOKUP(2,1/(A$1:INDEX(A:A,ROW()-1)&lt;&gt;""),A$1:INDEX(A:A,ROW()-1)))</f>
        <v>PUR-ORD-2026-00049</v>
      </c>
      <c r="B489" s="21" t="str" cm="1">
        <f t="array" ref="B489">LOOKUP(2,1/(B$1:INDEX(B:B,ROW()-1)&lt;&gt;""),B$1:INDEX(B:B,ROW()-1))</f>
        <v>MR MD For Project Management Services EST</v>
      </c>
      <c r="H489" s="7">
        <v>250</v>
      </c>
      <c r="I489" t="s">
        <v>843</v>
      </c>
      <c r="J489" t="s">
        <v>843</v>
      </c>
      <c r="K489" s="9">
        <v>1</v>
      </c>
      <c r="L489" s="9">
        <v>250</v>
      </c>
      <c r="M489" s="20">
        <v>46235</v>
      </c>
      <c r="N489" t="s">
        <v>18</v>
      </c>
      <c r="O489" t="s">
        <v>18</v>
      </c>
      <c r="P489">
        <v>1</v>
      </c>
      <c r="Q489" s="7">
        <v>0</v>
      </c>
    </row>
    <row r="490" spans="1:17" x14ac:dyDescent="0.25">
      <c r="A490" s="21" t="str" cm="1">
        <f t="array" ref="A490">UPPER(LOOKUP(2,1/(A$1:INDEX(A:A,ROW()-1)&lt;&gt;""),A$1:INDEX(A:A,ROW()-1)))</f>
        <v>PUR-ORD-2026-00049</v>
      </c>
      <c r="B490" s="21" t="str" cm="1">
        <f t="array" ref="B490">LOOKUP(2,1/(B$1:INDEX(B:B,ROW()-1)&lt;&gt;""),B$1:INDEX(B:B,ROW()-1))</f>
        <v>MR MD For Project Management Services EST</v>
      </c>
      <c r="H490" s="7">
        <v>160</v>
      </c>
      <c r="I490" t="s">
        <v>862</v>
      </c>
      <c r="J490" t="s">
        <v>862</v>
      </c>
      <c r="K490" s="9">
        <v>1</v>
      </c>
      <c r="L490" s="9">
        <v>160</v>
      </c>
      <c r="M490" s="20">
        <v>46387</v>
      </c>
      <c r="N490" t="s">
        <v>18</v>
      </c>
      <c r="O490" t="s">
        <v>18</v>
      </c>
      <c r="P490">
        <v>1</v>
      </c>
      <c r="Q490" s="7">
        <v>0</v>
      </c>
    </row>
    <row r="491" spans="1:17" x14ac:dyDescent="0.25">
      <c r="A491" s="21" t="str" cm="1">
        <f t="array" ref="A491">UPPER(LOOKUP(2,1/(A$1:INDEX(A:A,ROW()-1)&lt;&gt;""),A$1:INDEX(A:A,ROW()-1)))</f>
        <v>PUR-ORD-2026-00049</v>
      </c>
      <c r="B491" s="21" t="str" cm="1">
        <f t="array" ref="B491">LOOKUP(2,1/(B$1:INDEX(B:B,ROW()-1)&lt;&gt;""),B$1:INDEX(B:B,ROW()-1))</f>
        <v>MR MD For Project Management Services EST</v>
      </c>
      <c r="H491" s="7">
        <v>400</v>
      </c>
      <c r="I491" t="s">
        <v>20</v>
      </c>
      <c r="J491" t="s">
        <v>21</v>
      </c>
      <c r="K491" s="9">
        <v>2</v>
      </c>
      <c r="L491" s="9">
        <v>200</v>
      </c>
      <c r="M491" s="20">
        <v>46387</v>
      </c>
      <c r="N491" t="s">
        <v>18</v>
      </c>
      <c r="O491" t="s">
        <v>18</v>
      </c>
      <c r="P491">
        <v>1</v>
      </c>
      <c r="Q491" s="7">
        <v>1</v>
      </c>
    </row>
    <row r="492" spans="1:17" x14ac:dyDescent="0.25">
      <c r="A492" s="21" t="str" cm="1">
        <f t="array" ref="A492">UPPER(LOOKUP(2,1/(A$1:INDEX(A:A,ROW()-1)&lt;&gt;""),A$1:INDEX(A:A,ROW()-1)))</f>
        <v>PUR-ORD-2026-00049</v>
      </c>
      <c r="B492" s="21" t="str" cm="1">
        <f t="array" ref="B492">LOOKUP(2,1/(B$1:INDEX(B:B,ROW()-1)&lt;&gt;""),B$1:INDEX(B:B,ROW()-1))</f>
        <v>MR MD For Project Management Services EST</v>
      </c>
      <c r="H492" s="7">
        <v>40</v>
      </c>
      <c r="I492" t="s">
        <v>863</v>
      </c>
      <c r="J492" t="s">
        <v>863</v>
      </c>
      <c r="K492" s="9">
        <v>1</v>
      </c>
      <c r="L492" s="9">
        <v>40</v>
      </c>
      <c r="M492" s="20">
        <v>46387</v>
      </c>
      <c r="N492" t="s">
        <v>18</v>
      </c>
      <c r="O492" t="s">
        <v>18</v>
      </c>
      <c r="P492">
        <v>1</v>
      </c>
      <c r="Q492" s="7">
        <v>1</v>
      </c>
    </row>
    <row r="493" spans="1:17" x14ac:dyDescent="0.25">
      <c r="A493" s="21" t="str" cm="1">
        <f t="array" ref="A493">UPPER(LOOKUP(2,1/(A$1:INDEX(A:A,ROW()-1)&lt;&gt;""),A$1:INDEX(A:A,ROW()-1)))</f>
        <v>PUR-ORD-2026-00049</v>
      </c>
      <c r="B493" s="21" t="str" cm="1">
        <f t="array" ref="B493">LOOKUP(2,1/(B$1:INDEX(B:B,ROW()-1)&lt;&gt;""),B$1:INDEX(B:B,ROW()-1))</f>
        <v>MR MD For Project Management Services EST</v>
      </c>
      <c r="H493" s="7">
        <v>2670</v>
      </c>
      <c r="I493" t="s">
        <v>865</v>
      </c>
      <c r="J493" t="s">
        <v>865</v>
      </c>
      <c r="K493" s="9">
        <v>300</v>
      </c>
      <c r="L493" s="9">
        <v>8.9</v>
      </c>
      <c r="M493" s="20">
        <v>46112</v>
      </c>
      <c r="N493" t="s">
        <v>467</v>
      </c>
      <c r="O493" t="s">
        <v>467</v>
      </c>
      <c r="P493">
        <v>1</v>
      </c>
      <c r="Q493" s="7">
        <v>300</v>
      </c>
    </row>
    <row r="494" spans="1:17" x14ac:dyDescent="0.25">
      <c r="A494" s="21" t="str" cm="1">
        <f t="array" ref="A494">UPPER(LOOKUP(2,1/(A$1:INDEX(A:A,ROW()-1)&lt;&gt;""),A$1:INDEX(A:A,ROW()-1)))</f>
        <v>PUR-ORD-2026-00049</v>
      </c>
      <c r="B494" s="21" t="str" cm="1">
        <f t="array" ref="B494">LOOKUP(2,1/(B$1:INDEX(B:B,ROW()-1)&lt;&gt;""),B$1:INDEX(B:B,ROW()-1))</f>
        <v>MR MD For Project Management Services EST</v>
      </c>
      <c r="H494" s="7">
        <v>22770</v>
      </c>
      <c r="I494" s="72" t="s">
        <v>868</v>
      </c>
      <c r="J494" s="72" t="s">
        <v>869</v>
      </c>
      <c r="K494" s="9">
        <v>207</v>
      </c>
      <c r="L494" s="9">
        <v>110</v>
      </c>
      <c r="M494" s="20">
        <v>46173</v>
      </c>
      <c r="N494" t="s">
        <v>209</v>
      </c>
      <c r="O494" t="s">
        <v>209</v>
      </c>
      <c r="P494">
        <v>1</v>
      </c>
      <c r="Q494" s="7">
        <v>207</v>
      </c>
    </row>
    <row r="495" spans="1:17" x14ac:dyDescent="0.25">
      <c r="A495" s="21" t="str" cm="1">
        <f t="array" ref="A495">UPPER(LOOKUP(2,1/(A$1:INDEX(A:A,ROW()-1)&lt;&gt;""),A$1:INDEX(A:A,ROW()-1)))</f>
        <v>PUR-ORD-2026-00049</v>
      </c>
      <c r="B495" s="21" t="str" cm="1">
        <f t="array" ref="B495">LOOKUP(2,1/(B$1:INDEX(B:B,ROW()-1)&lt;&gt;""),B$1:INDEX(B:B,ROW()-1))</f>
        <v>MR MD For Project Management Services EST</v>
      </c>
      <c r="H495" s="7">
        <v>3750</v>
      </c>
      <c r="I495" t="s">
        <v>872</v>
      </c>
      <c r="J495" t="s">
        <v>872</v>
      </c>
      <c r="K495" s="9">
        <v>150</v>
      </c>
      <c r="L495" s="9">
        <v>25</v>
      </c>
      <c r="M495" s="20">
        <v>46296</v>
      </c>
      <c r="N495" t="s">
        <v>18</v>
      </c>
      <c r="O495" t="s">
        <v>18</v>
      </c>
      <c r="P495">
        <v>1</v>
      </c>
      <c r="Q495" s="7">
        <v>150</v>
      </c>
    </row>
    <row r="496" spans="1:17" x14ac:dyDescent="0.25">
      <c r="A496" s="21" t="str" cm="1">
        <f t="array" ref="A496">UPPER(LOOKUP(2,1/(A$1:INDEX(A:A,ROW()-1)&lt;&gt;""),A$1:INDEX(A:A,ROW()-1)))</f>
        <v>PUR-ORD-2026-00049</v>
      </c>
      <c r="B496" s="21" t="str" cm="1">
        <f t="array" ref="B496">LOOKUP(2,1/(B$1:INDEX(B:B,ROW()-1)&lt;&gt;""),B$1:INDEX(B:B,ROW()-1))</f>
        <v>MR MD For Project Management Services EST</v>
      </c>
      <c r="H496" s="7">
        <v>890</v>
      </c>
      <c r="I496" t="s">
        <v>873</v>
      </c>
      <c r="J496" t="s">
        <v>874</v>
      </c>
      <c r="K496" s="9">
        <v>1</v>
      </c>
      <c r="L496" s="9">
        <v>890</v>
      </c>
      <c r="M496" s="20">
        <v>46296</v>
      </c>
      <c r="N496" t="s">
        <v>18</v>
      </c>
      <c r="O496" t="s">
        <v>18</v>
      </c>
      <c r="P496">
        <v>1</v>
      </c>
      <c r="Q496" s="7">
        <v>1</v>
      </c>
    </row>
    <row r="497" spans="1:17" x14ac:dyDescent="0.25">
      <c r="A497" s="21" t="str" cm="1">
        <f t="array" ref="A497">UPPER(LOOKUP(2,1/(A$1:INDEX(A:A,ROW()-1)&lt;&gt;""),A$1:INDEX(A:A,ROW()-1)))</f>
        <v>PUR-ORD-2026-00049</v>
      </c>
      <c r="B497" s="21" t="str" cm="1">
        <f t="array" ref="B497">LOOKUP(2,1/(B$1:INDEX(B:B,ROW()-1)&lt;&gt;""),B$1:INDEX(B:B,ROW()-1))</f>
        <v>MR MD For Project Management Services EST</v>
      </c>
      <c r="H497" s="7">
        <v>3105</v>
      </c>
      <c r="I497" t="s">
        <v>672</v>
      </c>
      <c r="J497" t="s">
        <v>672</v>
      </c>
      <c r="K497" s="9">
        <v>23</v>
      </c>
      <c r="L497" s="9">
        <v>135</v>
      </c>
      <c r="M497" s="20">
        <v>46296</v>
      </c>
      <c r="N497" t="s">
        <v>18</v>
      </c>
      <c r="O497" t="s">
        <v>18</v>
      </c>
      <c r="P497">
        <v>1</v>
      </c>
      <c r="Q497" s="7">
        <v>0</v>
      </c>
    </row>
    <row r="498" spans="1:17" x14ac:dyDescent="0.25">
      <c r="A498" s="21" t="str" cm="1">
        <f t="array" ref="A498">UPPER(LOOKUP(2,1/(A$1:INDEX(A:A,ROW()-1)&lt;&gt;""),A$1:INDEX(A:A,ROW()-1)))</f>
        <v>PUR-ORD-2026-00049</v>
      </c>
      <c r="B498" s="21" t="str" cm="1">
        <f t="array" ref="B498">LOOKUP(2,1/(B$1:INDEX(B:B,ROW()-1)&lt;&gt;""),B$1:INDEX(B:B,ROW()-1))</f>
        <v>MR MD For Project Management Services EST</v>
      </c>
      <c r="H498" s="7">
        <v>22350</v>
      </c>
      <c r="I498" t="s">
        <v>122</v>
      </c>
      <c r="J498" t="s">
        <v>122</v>
      </c>
      <c r="K498" s="9">
        <v>30</v>
      </c>
      <c r="L498" s="9">
        <v>745</v>
      </c>
      <c r="M498" s="20">
        <v>46199</v>
      </c>
      <c r="N498" t="s">
        <v>388</v>
      </c>
      <c r="O498" t="s">
        <v>209</v>
      </c>
      <c r="P498">
        <v>300</v>
      </c>
      <c r="Q498" s="7">
        <v>30</v>
      </c>
    </row>
    <row r="499" spans="1:17" x14ac:dyDescent="0.25">
      <c r="A499" s="21" t="str" cm="1">
        <f t="array" ref="A499">UPPER(LOOKUP(2,1/(A$1:INDEX(A:A,ROW()-1)&lt;&gt;""),A$1:INDEX(A:A,ROW()-1)))</f>
        <v>PUR-ORD-2026-00049</v>
      </c>
      <c r="B499" s="21" t="str" cm="1">
        <f t="array" ref="B499">LOOKUP(2,1/(B$1:INDEX(B:B,ROW()-1)&lt;&gt;""),B$1:INDEX(B:B,ROW()-1))</f>
        <v>MR MD For Project Management Services EST</v>
      </c>
      <c r="H499" s="7">
        <v>890</v>
      </c>
      <c r="I499" t="s">
        <v>877</v>
      </c>
      <c r="J499" t="s">
        <v>877</v>
      </c>
      <c r="K499" s="9">
        <v>1</v>
      </c>
      <c r="L499" s="9">
        <v>890</v>
      </c>
      <c r="M499" s="20">
        <v>46245</v>
      </c>
      <c r="N499" t="s">
        <v>441</v>
      </c>
      <c r="O499" t="s">
        <v>18</v>
      </c>
      <c r="P499">
        <v>1</v>
      </c>
      <c r="Q499" s="7">
        <v>1</v>
      </c>
    </row>
    <row r="500" spans="1:17" x14ac:dyDescent="0.25">
      <c r="A500" s="21" t="str" cm="1">
        <f t="array" ref="A500">UPPER(LOOKUP(2,1/(A$1:INDEX(A:A,ROW()-1)&lt;&gt;""),A$1:INDEX(A:A,ROW()-1)))</f>
        <v>PUR-ORD-2026-00049</v>
      </c>
      <c r="B500" s="21" t="str" cm="1">
        <f t="array" ref="B500">LOOKUP(2,1/(B$1:INDEX(B:B,ROW()-1)&lt;&gt;""),B$1:INDEX(B:B,ROW()-1))</f>
        <v>MR MD For Project Management Services EST</v>
      </c>
      <c r="H500" s="7">
        <v>59400</v>
      </c>
      <c r="I500" t="s">
        <v>881</v>
      </c>
      <c r="J500" t="s">
        <v>881</v>
      </c>
      <c r="K500" s="9">
        <v>440</v>
      </c>
      <c r="L500" s="9">
        <v>135</v>
      </c>
      <c r="M500" s="20">
        <v>46167</v>
      </c>
      <c r="N500" t="s">
        <v>388</v>
      </c>
      <c r="O500" t="s">
        <v>209</v>
      </c>
      <c r="P500">
        <v>10</v>
      </c>
      <c r="Q500" s="7">
        <v>440</v>
      </c>
    </row>
    <row r="501" spans="1:17" x14ac:dyDescent="0.25">
      <c r="A501" s="21" t="str" cm="1">
        <f t="array" ref="A501">UPPER(LOOKUP(2,1/(A$1:INDEX(A:A,ROW()-1)&lt;&gt;""),A$1:INDEX(A:A,ROW()-1)))</f>
        <v>PUR-ORD-2026-00049</v>
      </c>
      <c r="B501" s="21" t="str" cm="1">
        <f t="array" ref="B501">LOOKUP(2,1/(B$1:INDEX(B:B,ROW()-1)&lt;&gt;""),B$1:INDEX(B:B,ROW()-1))</f>
        <v>MR MD For Project Management Services EST</v>
      </c>
      <c r="H501" s="7">
        <v>15840</v>
      </c>
      <c r="I501" t="s">
        <v>315</v>
      </c>
      <c r="J501" t="s">
        <v>316</v>
      </c>
      <c r="K501" s="9">
        <v>440</v>
      </c>
      <c r="L501" s="9">
        <v>36</v>
      </c>
      <c r="M501" s="20">
        <v>46167</v>
      </c>
      <c r="N501" t="s">
        <v>509</v>
      </c>
      <c r="O501" t="s">
        <v>509</v>
      </c>
      <c r="P501">
        <v>1</v>
      </c>
      <c r="Q501" s="7">
        <v>375</v>
      </c>
    </row>
    <row r="502" spans="1:17" x14ac:dyDescent="0.25">
      <c r="A502" s="21" t="str" cm="1">
        <f t="array" ref="A502">UPPER(LOOKUP(2,1/(A$1:INDEX(A:A,ROW()-1)&lt;&gt;""),A$1:INDEX(A:A,ROW()-1)))</f>
        <v>PUR-ORD-2026-00049</v>
      </c>
      <c r="B502" s="21" t="str" cm="1">
        <f t="array" ref="B502">LOOKUP(2,1/(B$1:INDEX(B:B,ROW()-1)&lt;&gt;""),B$1:INDEX(B:B,ROW()-1))</f>
        <v>MR MD For Project Management Services EST</v>
      </c>
      <c r="H502" s="7">
        <v>2500</v>
      </c>
      <c r="I502" t="s">
        <v>251</v>
      </c>
      <c r="J502" t="s">
        <v>251</v>
      </c>
      <c r="K502" s="9">
        <v>50</v>
      </c>
      <c r="L502" s="9">
        <v>50</v>
      </c>
      <c r="M502" s="20">
        <v>46173</v>
      </c>
      <c r="N502" t="s">
        <v>394</v>
      </c>
      <c r="O502" t="s">
        <v>394</v>
      </c>
      <c r="P502">
        <v>1</v>
      </c>
      <c r="Q502" s="7">
        <v>50</v>
      </c>
    </row>
    <row r="503" spans="1:17" x14ac:dyDescent="0.25">
      <c r="A503" s="21" t="str" cm="1">
        <f t="array" ref="A503">UPPER(LOOKUP(2,1/(A$1:INDEX(A:A,ROW()-1)&lt;&gt;""),A$1:INDEX(A:A,ROW()-1)))</f>
        <v>PUR-ORD-2026-00049</v>
      </c>
      <c r="B503" s="21" t="str" cm="1">
        <f t="array" ref="B503">LOOKUP(2,1/(B$1:INDEX(B:B,ROW()-1)&lt;&gt;""),B$1:INDEX(B:B,ROW()-1))</f>
        <v>MR MD For Project Management Services EST</v>
      </c>
      <c r="H503" s="7">
        <v>7800</v>
      </c>
      <c r="I503" t="s">
        <v>255</v>
      </c>
      <c r="J503" t="s">
        <v>256</v>
      </c>
      <c r="K503" s="9">
        <v>200</v>
      </c>
      <c r="L503" s="9">
        <v>39</v>
      </c>
      <c r="M503" s="20">
        <v>46173</v>
      </c>
      <c r="N503" t="s">
        <v>18</v>
      </c>
      <c r="O503" t="s">
        <v>402</v>
      </c>
      <c r="P503">
        <v>1</v>
      </c>
      <c r="Q503" s="7">
        <v>100</v>
      </c>
    </row>
    <row r="504" spans="1:17" x14ac:dyDescent="0.25">
      <c r="A504" s="21" t="str" cm="1">
        <f t="array" ref="A504">UPPER(LOOKUP(2,1/(A$1:INDEX(A:A,ROW()-1)&lt;&gt;""),A$1:INDEX(A:A,ROW()-1)))</f>
        <v>PUR-ORD-2026-00049</v>
      </c>
      <c r="B504" s="21" t="str" cm="1">
        <f t="array" ref="B504">LOOKUP(2,1/(B$1:INDEX(B:B,ROW()-1)&lt;&gt;""),B$1:INDEX(B:B,ROW()-1))</f>
        <v>MR MD For Project Management Services EST</v>
      </c>
      <c r="H504" s="7">
        <v>10500</v>
      </c>
      <c r="I504" t="s">
        <v>865</v>
      </c>
      <c r="J504" t="s">
        <v>865</v>
      </c>
      <c r="K504" s="9">
        <v>1000</v>
      </c>
      <c r="L504" s="9">
        <v>10.5</v>
      </c>
      <c r="M504" s="20">
        <v>46173</v>
      </c>
      <c r="N504" t="s">
        <v>467</v>
      </c>
      <c r="O504" t="s">
        <v>467</v>
      </c>
      <c r="P504">
        <v>1</v>
      </c>
      <c r="Q504" s="7">
        <v>1000</v>
      </c>
    </row>
    <row r="505" spans="1:17" x14ac:dyDescent="0.25">
      <c r="A505" s="21" t="str" cm="1">
        <f t="array" ref="A505">UPPER(LOOKUP(2,1/(A$1:INDEX(A:A,ROW()-1)&lt;&gt;""),A$1:INDEX(A:A,ROW()-1)))</f>
        <v>PUR-ORD-2026-00049</v>
      </c>
      <c r="B505" s="21" t="str" cm="1">
        <f t="array" ref="B505">LOOKUP(2,1/(B$1:INDEX(B:B,ROW()-1)&lt;&gt;""),B$1:INDEX(B:B,ROW()-1))</f>
        <v>MR MD For Project Management Services EST</v>
      </c>
      <c r="H505" s="7">
        <v>5600</v>
      </c>
      <c r="I505" t="s">
        <v>265</v>
      </c>
      <c r="J505" t="s">
        <v>883</v>
      </c>
      <c r="K505" s="9">
        <v>50</v>
      </c>
      <c r="L505" s="9">
        <v>112</v>
      </c>
      <c r="M505" s="20">
        <v>46173</v>
      </c>
      <c r="N505" t="s">
        <v>394</v>
      </c>
      <c r="O505" t="s">
        <v>394</v>
      </c>
      <c r="P505">
        <v>1</v>
      </c>
      <c r="Q505" s="7">
        <v>50</v>
      </c>
    </row>
    <row r="506" spans="1:17" x14ac:dyDescent="0.25">
      <c r="A506" s="21" t="str" cm="1">
        <f t="array" ref="A506">UPPER(LOOKUP(2,1/(A$1:INDEX(A:A,ROW()-1)&lt;&gt;""),A$1:INDEX(A:A,ROW()-1)))</f>
        <v>PUR-ORD-2026-00049</v>
      </c>
      <c r="B506" s="21" t="str" cm="1">
        <f t="array" ref="B506">LOOKUP(2,1/(B$1:INDEX(B:B,ROW()-1)&lt;&gt;""),B$1:INDEX(B:B,ROW()-1))</f>
        <v>MR MD For Project Management Services EST</v>
      </c>
      <c r="H506" s="7">
        <v>256</v>
      </c>
      <c r="I506" t="s">
        <v>884</v>
      </c>
      <c r="J506" t="s">
        <v>267</v>
      </c>
      <c r="K506" s="9">
        <v>2</v>
      </c>
      <c r="L506" s="9">
        <v>128</v>
      </c>
      <c r="M506" s="20">
        <v>46173</v>
      </c>
      <c r="N506" t="s">
        <v>491</v>
      </c>
      <c r="O506" t="s">
        <v>491</v>
      </c>
      <c r="P506">
        <v>1</v>
      </c>
      <c r="Q506" s="7">
        <v>0</v>
      </c>
    </row>
    <row r="507" spans="1:17" x14ac:dyDescent="0.25">
      <c r="A507" s="21" t="str" cm="1">
        <f t="array" ref="A507">UPPER(LOOKUP(2,1/(A$1:INDEX(A:A,ROW()-1)&lt;&gt;""),A$1:INDEX(A:A,ROW()-1)))</f>
        <v>PUR-ORD-2026-00049</v>
      </c>
      <c r="B507" s="21" t="str" cm="1">
        <f t="array" ref="B507">LOOKUP(2,1/(B$1:INDEX(B:B,ROW()-1)&lt;&gt;""),B$1:INDEX(B:B,ROW()-1))</f>
        <v>MR MD For Project Management Services EST</v>
      </c>
      <c r="H507" s="7">
        <v>200</v>
      </c>
      <c r="I507" t="s">
        <v>885</v>
      </c>
      <c r="J507" t="s">
        <v>886</v>
      </c>
      <c r="K507" s="9">
        <v>10</v>
      </c>
      <c r="L507" s="9">
        <v>20</v>
      </c>
      <c r="M507" s="20">
        <v>46173</v>
      </c>
      <c r="N507" t="s">
        <v>765</v>
      </c>
      <c r="O507" t="s">
        <v>765</v>
      </c>
      <c r="P507">
        <v>1</v>
      </c>
      <c r="Q507" s="7">
        <v>10</v>
      </c>
    </row>
    <row r="508" spans="1:17" x14ac:dyDescent="0.25">
      <c r="A508" s="21" t="str" cm="1">
        <f t="array" ref="A508">UPPER(LOOKUP(2,1/(A$1:INDEX(A:A,ROW()-1)&lt;&gt;""),A$1:INDEX(A:A,ROW()-1)))</f>
        <v>PUR-ORD-2026-00049</v>
      </c>
      <c r="B508" s="21" t="str" cm="1">
        <f t="array" ref="B508">LOOKUP(2,1/(B$1:INDEX(B:B,ROW()-1)&lt;&gt;""),B$1:INDEX(B:B,ROW()-1))</f>
        <v>MR MD For Project Management Services EST</v>
      </c>
      <c r="H508" s="7">
        <v>46992</v>
      </c>
      <c r="I508" t="s">
        <v>248</v>
      </c>
      <c r="J508" t="s">
        <v>248</v>
      </c>
      <c r="K508" s="9">
        <v>24</v>
      </c>
      <c r="L508" s="9">
        <v>1958</v>
      </c>
      <c r="M508" s="20">
        <v>46112</v>
      </c>
      <c r="N508" t="s">
        <v>398</v>
      </c>
      <c r="O508" t="s">
        <v>441</v>
      </c>
      <c r="P508">
        <v>220</v>
      </c>
      <c r="Q508" s="7">
        <v>5</v>
      </c>
    </row>
    <row r="509" spans="1:17" x14ac:dyDescent="0.25">
      <c r="A509" s="21" t="str" cm="1">
        <f t="array" ref="A509">UPPER(LOOKUP(2,1/(A$1:INDEX(A:A,ROW()-1)&lt;&gt;""),A$1:INDEX(A:A,ROW()-1)))</f>
        <v>PUR-ORD-2026-00049</v>
      </c>
      <c r="B509" s="21" t="str" cm="1">
        <f t="array" ref="B509">LOOKUP(2,1/(B$1:INDEX(B:B,ROW()-1)&lt;&gt;""),B$1:INDEX(B:B,ROW()-1))</f>
        <v>MR MD For Project Management Services EST</v>
      </c>
      <c r="H509" s="7">
        <v>3600</v>
      </c>
      <c r="I509" t="s">
        <v>254</v>
      </c>
      <c r="J509" t="s">
        <v>254</v>
      </c>
      <c r="K509" s="9">
        <v>100</v>
      </c>
      <c r="L509" s="9">
        <v>36</v>
      </c>
      <c r="M509" s="20">
        <v>46112</v>
      </c>
      <c r="N509" t="s">
        <v>402</v>
      </c>
      <c r="O509" t="s">
        <v>402</v>
      </c>
      <c r="P509">
        <v>1</v>
      </c>
      <c r="Q509" s="7">
        <v>100</v>
      </c>
    </row>
    <row r="510" spans="1:17" x14ac:dyDescent="0.25">
      <c r="A510" s="21" t="str" cm="1">
        <f t="array" ref="A510">UPPER(LOOKUP(2,1/(A$1:INDEX(A:A,ROW()-1)&lt;&gt;""),A$1:INDEX(A:A,ROW()-1)))</f>
        <v>PUR-ORD-2026-00049</v>
      </c>
      <c r="B510" s="21" t="str" cm="1">
        <f t="array" ref="B510">LOOKUP(2,1/(B$1:INDEX(B:B,ROW()-1)&lt;&gt;""),B$1:INDEX(B:B,ROW()-1))</f>
        <v>MR MD For Project Management Services EST</v>
      </c>
      <c r="H510" s="7">
        <v>18800</v>
      </c>
      <c r="I510" t="s">
        <v>242</v>
      </c>
      <c r="J510" t="s">
        <v>242</v>
      </c>
      <c r="K510" s="9">
        <v>400</v>
      </c>
      <c r="L510" s="9">
        <v>47</v>
      </c>
      <c r="M510" s="20">
        <v>46112</v>
      </c>
      <c r="N510" t="s">
        <v>394</v>
      </c>
      <c r="O510" t="s">
        <v>394</v>
      </c>
      <c r="P510">
        <v>1</v>
      </c>
      <c r="Q510" s="7">
        <v>400</v>
      </c>
    </row>
    <row r="511" spans="1:17" x14ac:dyDescent="0.25">
      <c r="A511" s="21" t="str" cm="1">
        <f t="array" ref="A511">UPPER(LOOKUP(2,1/(A$1:INDEX(A:A,ROW()-1)&lt;&gt;""),A$1:INDEX(A:A,ROW()-1)))</f>
        <v>PUR-ORD-2026-00049</v>
      </c>
      <c r="B511" s="21" t="str" cm="1">
        <f t="array" ref="B511">LOOKUP(2,1/(B$1:INDEX(B:B,ROW()-1)&lt;&gt;""),B$1:INDEX(B:B,ROW()-1))</f>
        <v>MR MD For Project Management Services EST</v>
      </c>
      <c r="H511" s="7">
        <v>2350</v>
      </c>
      <c r="I511" t="s">
        <v>257</v>
      </c>
      <c r="J511" t="s">
        <v>257</v>
      </c>
      <c r="K511" s="9">
        <v>50</v>
      </c>
      <c r="L511" s="9">
        <v>47</v>
      </c>
      <c r="M511" s="20">
        <v>46112</v>
      </c>
      <c r="N511" t="s">
        <v>394</v>
      </c>
      <c r="O511" t="s">
        <v>394</v>
      </c>
      <c r="P511">
        <v>1</v>
      </c>
      <c r="Q511" s="7">
        <v>50</v>
      </c>
    </row>
    <row r="512" spans="1:17" x14ac:dyDescent="0.25">
      <c r="A512" s="21" t="str" cm="1">
        <f t="array" ref="A512">UPPER(LOOKUP(2,1/(A$1:INDEX(A:A,ROW()-1)&lt;&gt;""),A$1:INDEX(A:A,ROW()-1)))</f>
        <v>PUR-ORD-2026-00049</v>
      </c>
      <c r="B512" s="21" t="str" cm="1">
        <f t="array" ref="B512">LOOKUP(2,1/(B$1:INDEX(B:B,ROW()-1)&lt;&gt;""),B$1:INDEX(B:B,ROW()-1))</f>
        <v>MR MD For Project Management Services EST</v>
      </c>
      <c r="H512" s="7">
        <v>2500</v>
      </c>
      <c r="I512" t="s">
        <v>251</v>
      </c>
      <c r="J512" t="s">
        <v>251</v>
      </c>
      <c r="K512" s="9">
        <v>50</v>
      </c>
      <c r="L512" s="9">
        <v>50</v>
      </c>
      <c r="M512" s="20">
        <v>46112</v>
      </c>
      <c r="N512" t="s">
        <v>394</v>
      </c>
      <c r="O512" t="s">
        <v>394</v>
      </c>
      <c r="P512">
        <v>1</v>
      </c>
      <c r="Q512" s="7">
        <v>50</v>
      </c>
    </row>
    <row r="513" spans="1:17" x14ac:dyDescent="0.25">
      <c r="A513" s="21" t="str" cm="1">
        <f t="array" ref="A513">UPPER(LOOKUP(2,1/(A$1:INDEX(A:A,ROW()-1)&lt;&gt;""),A$1:INDEX(A:A,ROW()-1)))</f>
        <v>PUR-ORD-2026-00049</v>
      </c>
      <c r="B513" s="21" t="str" cm="1">
        <f t="array" ref="B513">LOOKUP(2,1/(B$1:INDEX(B:B,ROW()-1)&lt;&gt;""),B$1:INDEX(B:B,ROW()-1))</f>
        <v>MR MD For Project Management Services EST</v>
      </c>
      <c r="H513" s="7">
        <v>4000</v>
      </c>
      <c r="I513" t="s">
        <v>259</v>
      </c>
      <c r="J513" t="s">
        <v>259</v>
      </c>
      <c r="K513" s="9">
        <v>50</v>
      </c>
      <c r="L513" s="9">
        <v>80</v>
      </c>
      <c r="M513" s="20">
        <v>46112</v>
      </c>
      <c r="N513" t="s">
        <v>491</v>
      </c>
      <c r="O513" t="s">
        <v>491</v>
      </c>
      <c r="P513">
        <v>1</v>
      </c>
      <c r="Q513" s="7">
        <v>50</v>
      </c>
    </row>
    <row r="514" spans="1:17" x14ac:dyDescent="0.25">
      <c r="A514" s="21" t="str" cm="1">
        <f t="array" ref="A514">UPPER(LOOKUP(2,1/(A$1:INDEX(A:A,ROW()-1)&lt;&gt;""),A$1:INDEX(A:A,ROW()-1)))</f>
        <v>PUR-ORD-2026-00049</v>
      </c>
      <c r="B514" s="21" t="str" cm="1">
        <f t="array" ref="B514">LOOKUP(2,1/(B$1:INDEX(B:B,ROW()-1)&lt;&gt;""),B$1:INDEX(B:B,ROW()-1))</f>
        <v>MR MD For Project Management Services EST</v>
      </c>
      <c r="H514" s="7">
        <v>4000</v>
      </c>
      <c r="I514" t="s">
        <v>839</v>
      </c>
      <c r="J514" t="s">
        <v>839</v>
      </c>
      <c r="K514" s="9">
        <v>50</v>
      </c>
      <c r="L514" s="9">
        <v>80</v>
      </c>
      <c r="M514" s="20">
        <v>46112</v>
      </c>
      <c r="N514" t="s">
        <v>491</v>
      </c>
      <c r="O514" t="s">
        <v>491</v>
      </c>
      <c r="P514">
        <v>1</v>
      </c>
      <c r="Q514" s="7">
        <v>50</v>
      </c>
    </row>
    <row r="515" spans="1:17" x14ac:dyDescent="0.25">
      <c r="A515" s="21" t="str" cm="1">
        <f t="array" ref="A515">UPPER(LOOKUP(2,1/(A$1:INDEX(A:A,ROW()-1)&lt;&gt;""),A$1:INDEX(A:A,ROW()-1)))</f>
        <v>PUR-ORD-2026-00049</v>
      </c>
      <c r="B515" s="21" t="str" cm="1">
        <f t="array" ref="B515">LOOKUP(2,1/(B$1:INDEX(B:B,ROW()-1)&lt;&gt;""),B$1:INDEX(B:B,ROW()-1))</f>
        <v>MR MD For Project Management Services EST</v>
      </c>
      <c r="H515" s="7">
        <v>220000</v>
      </c>
      <c r="I515" t="s">
        <v>248</v>
      </c>
      <c r="J515" t="s">
        <v>248</v>
      </c>
      <c r="K515" s="9">
        <v>80</v>
      </c>
      <c r="L515" s="9">
        <v>2750</v>
      </c>
      <c r="M515" s="20">
        <v>46203</v>
      </c>
      <c r="N515" t="s">
        <v>398</v>
      </c>
      <c r="O515" t="s">
        <v>441</v>
      </c>
      <c r="P515">
        <v>220</v>
      </c>
      <c r="Q515" s="7">
        <v>40</v>
      </c>
    </row>
    <row r="516" spans="1:17" x14ac:dyDescent="0.25">
      <c r="A516" s="21" t="str" cm="1">
        <f t="array" ref="A516">UPPER(LOOKUP(2,1/(A$1:INDEX(A:A,ROW()-1)&lt;&gt;""),A$1:INDEX(A:A,ROW()-1)))</f>
        <v>PUR-ORD-2026-00049</v>
      </c>
      <c r="B516" s="21" t="str" cm="1">
        <f t="array" ref="B516">LOOKUP(2,1/(B$1:INDEX(B:B,ROW()-1)&lt;&gt;""),B$1:INDEX(B:B,ROW()-1))</f>
        <v>MR MD For Project Management Services EST</v>
      </c>
      <c r="H516" s="7">
        <v>250000</v>
      </c>
      <c r="I516" t="s">
        <v>245</v>
      </c>
      <c r="J516" t="s">
        <v>245</v>
      </c>
      <c r="K516" s="9">
        <v>80</v>
      </c>
      <c r="L516" s="9">
        <v>3125</v>
      </c>
      <c r="M516" s="20">
        <v>46203</v>
      </c>
      <c r="N516" t="s">
        <v>398</v>
      </c>
      <c r="O516" t="s">
        <v>441</v>
      </c>
      <c r="P516">
        <v>250</v>
      </c>
      <c r="Q516" s="7">
        <v>40</v>
      </c>
    </row>
    <row r="517" spans="1:17" x14ac:dyDescent="0.25">
      <c r="A517" s="21" t="str" cm="1">
        <f t="array" ref="A517">UPPER(LOOKUP(2,1/(A$1:INDEX(A:A,ROW()-1)&lt;&gt;""),A$1:INDEX(A:A,ROW()-1)))</f>
        <v>PUR-ORD-2026-00049</v>
      </c>
      <c r="B517" s="21" t="str" cm="1">
        <f t="array" ref="B517">LOOKUP(2,1/(B$1:INDEX(B:B,ROW()-1)&lt;&gt;""),B$1:INDEX(B:B,ROW()-1))</f>
        <v>MR MD For Project Management Services EST</v>
      </c>
      <c r="H517" s="7">
        <v>7840</v>
      </c>
      <c r="I517" t="s">
        <v>254</v>
      </c>
      <c r="J517" t="s">
        <v>254</v>
      </c>
      <c r="K517" s="9">
        <v>140</v>
      </c>
      <c r="L517" s="9">
        <v>56</v>
      </c>
      <c r="M517" s="20">
        <v>46203</v>
      </c>
      <c r="N517" t="s">
        <v>402</v>
      </c>
      <c r="O517" t="s">
        <v>402</v>
      </c>
      <c r="P517">
        <v>1</v>
      </c>
      <c r="Q517" s="7">
        <v>140</v>
      </c>
    </row>
    <row r="518" spans="1:17" x14ac:dyDescent="0.25">
      <c r="A518" s="21" t="str" cm="1">
        <f t="array" ref="A518">UPPER(LOOKUP(2,1/(A$1:INDEX(A:A,ROW()-1)&lt;&gt;""),A$1:INDEX(A:A,ROW()-1)))</f>
        <v>PUR-ORD-2026-00049</v>
      </c>
      <c r="B518" s="21" t="str" cm="1">
        <f t="array" ref="B518">LOOKUP(2,1/(B$1:INDEX(B:B,ROW()-1)&lt;&gt;""),B$1:INDEX(B:B,ROW()-1))</f>
        <v>MR MD For Project Management Services EST</v>
      </c>
      <c r="H518" s="7">
        <v>450</v>
      </c>
      <c r="I518" t="s">
        <v>889</v>
      </c>
      <c r="J518" t="s">
        <v>889</v>
      </c>
      <c r="K518" s="9">
        <v>5</v>
      </c>
      <c r="L518" s="9">
        <v>90</v>
      </c>
      <c r="M518" s="20">
        <v>46203</v>
      </c>
      <c r="N518" t="s">
        <v>564</v>
      </c>
      <c r="O518" t="s">
        <v>564</v>
      </c>
      <c r="P518">
        <v>1</v>
      </c>
      <c r="Q518" s="7">
        <v>5</v>
      </c>
    </row>
    <row r="519" spans="1:17" x14ac:dyDescent="0.25">
      <c r="A519" s="21" t="str" cm="1">
        <f t="array" ref="A519">UPPER(LOOKUP(2,1/(A$1:INDEX(A:A,ROW()-1)&lt;&gt;""),A$1:INDEX(A:A,ROW()-1)))</f>
        <v>PUR-ORD-2026-00049</v>
      </c>
      <c r="B519" s="21" t="str" cm="1">
        <f t="array" ref="B519">LOOKUP(2,1/(B$1:INDEX(B:B,ROW()-1)&lt;&gt;""),B$1:INDEX(B:B,ROW()-1))</f>
        <v>MR MD For Project Management Services EST</v>
      </c>
      <c r="H519" s="7">
        <v>1760</v>
      </c>
      <c r="I519" s="71" t="s">
        <v>890</v>
      </c>
      <c r="J519" s="71" t="str" cm="1">
        <f t="array" ref="J519">IF(TRIM(I519)="","",_xlfn.XLOOKUP(TRIM(I519), TRIM('[1]MRG LPO''S ( Received Qty )'!$J$1:$J$4997), '[1]MRG LPO''S ( Received Qty )'!$J$1:$J$4997, "Not Found"))</f>
        <v>BACKING ROD 20MM (200 LM/BAG) SHERIDAN</v>
      </c>
      <c r="K519" s="9">
        <v>20</v>
      </c>
      <c r="L519" s="9">
        <v>88</v>
      </c>
      <c r="M519" s="20">
        <v>46203</v>
      </c>
      <c r="N519" t="s">
        <v>564</v>
      </c>
      <c r="O519" t="s">
        <v>564</v>
      </c>
      <c r="P519">
        <v>1</v>
      </c>
      <c r="Q519" s="7">
        <v>20</v>
      </c>
    </row>
    <row r="520" spans="1:17" x14ac:dyDescent="0.25">
      <c r="A520" s="21" t="str" cm="1">
        <f t="array" ref="A520">UPPER(LOOKUP(2,1/(A$1:INDEX(A:A,ROW()-1)&lt;&gt;""),A$1:INDEX(A:A,ROW()-1)))</f>
        <v>PUR-ORD-2026-00049</v>
      </c>
      <c r="B520" s="21" t="str" cm="1">
        <f t="array" ref="B520">LOOKUP(2,1/(B$1:INDEX(B:B,ROW()-1)&lt;&gt;""),B$1:INDEX(B:B,ROW()-1))</f>
        <v>MR MD For Project Management Services EST</v>
      </c>
      <c r="H520" s="7">
        <v>10500</v>
      </c>
      <c r="I520" t="s">
        <v>865</v>
      </c>
      <c r="J520" t="s">
        <v>865</v>
      </c>
      <c r="K520" s="9">
        <v>1000</v>
      </c>
      <c r="L520" s="9">
        <v>10.5</v>
      </c>
      <c r="M520" s="20">
        <v>46203</v>
      </c>
      <c r="N520" t="s">
        <v>467</v>
      </c>
      <c r="O520" t="s">
        <v>467</v>
      </c>
      <c r="P520">
        <v>1</v>
      </c>
      <c r="Q520" s="7">
        <v>1000</v>
      </c>
    </row>
    <row r="521" spans="1:17" x14ac:dyDescent="0.25">
      <c r="A521" s="21" t="str" cm="1">
        <f t="array" ref="A521">UPPER(LOOKUP(2,1/(A$1:INDEX(A:A,ROW()-1)&lt;&gt;""),A$1:INDEX(A:A,ROW()-1)))</f>
        <v>PUR-ORD-2026-00049</v>
      </c>
      <c r="B521" s="21" t="str" cm="1">
        <f t="array" ref="B521">LOOKUP(2,1/(B$1:INDEX(B:B,ROW()-1)&lt;&gt;""),B$1:INDEX(B:B,ROW()-1))</f>
        <v>MR MD For Project Management Services EST</v>
      </c>
      <c r="H521" s="7">
        <v>27600</v>
      </c>
      <c r="I521" t="s">
        <v>58</v>
      </c>
      <c r="J521" t="s">
        <v>58</v>
      </c>
      <c r="K521" s="9">
        <v>200</v>
      </c>
      <c r="L521" s="9">
        <v>138</v>
      </c>
      <c r="M521" s="20">
        <v>46203</v>
      </c>
      <c r="N521" t="s">
        <v>388</v>
      </c>
      <c r="O521" t="s">
        <v>209</v>
      </c>
      <c r="P521">
        <v>10</v>
      </c>
      <c r="Q521" s="7">
        <v>184</v>
      </c>
    </row>
    <row r="522" spans="1:17" x14ac:dyDescent="0.25">
      <c r="A522" s="21" t="str" cm="1">
        <f t="array" ref="A522">UPPER(LOOKUP(2,1/(A$1:INDEX(A:A,ROW()-1)&lt;&gt;""),A$1:INDEX(A:A,ROW()-1)))</f>
        <v>PUR-ORD-2026-00049</v>
      </c>
      <c r="B522" s="21" t="str" cm="1">
        <f t="array" ref="B522">LOOKUP(2,1/(B$1:INDEX(B:B,ROW()-1)&lt;&gt;""),B$1:INDEX(B:B,ROW()-1))</f>
        <v>MR MD For Project Management Services EST</v>
      </c>
      <c r="H522" s="7">
        <v>3800</v>
      </c>
      <c r="I522" t="s">
        <v>61</v>
      </c>
      <c r="J522" t="s">
        <v>61</v>
      </c>
      <c r="K522" s="9">
        <v>100</v>
      </c>
      <c r="L522" s="9">
        <v>38</v>
      </c>
      <c r="M522" s="20">
        <v>46203</v>
      </c>
      <c r="N522" t="s">
        <v>402</v>
      </c>
      <c r="O522" t="s">
        <v>402</v>
      </c>
      <c r="P522">
        <v>1</v>
      </c>
      <c r="Q522" s="7">
        <v>100</v>
      </c>
    </row>
    <row r="523" spans="1:17" x14ac:dyDescent="0.25">
      <c r="A523" s="21" t="str" cm="1">
        <f t="array" ref="A523">UPPER(LOOKUP(2,1/(A$1:INDEX(A:A,ROW()-1)&lt;&gt;""),A$1:INDEX(A:A,ROW()-1)))</f>
        <v>PUR-ORD-2026-00049</v>
      </c>
      <c r="B523" s="21" t="str" cm="1">
        <f t="array" ref="B523">LOOKUP(2,1/(B$1:INDEX(B:B,ROW()-1)&lt;&gt;""),B$1:INDEX(B:B,ROW()-1))</f>
        <v>MR MD For Project Management Services EST</v>
      </c>
      <c r="H523" s="7">
        <v>108675.874</v>
      </c>
      <c r="I523" t="s">
        <v>735</v>
      </c>
      <c r="J523" t="s">
        <v>736</v>
      </c>
      <c r="K523" s="9">
        <v>5333</v>
      </c>
      <c r="L523" s="9">
        <v>20.378</v>
      </c>
      <c r="M523" s="20">
        <v>46228</v>
      </c>
      <c r="N523" t="s">
        <v>18</v>
      </c>
      <c r="O523" t="s">
        <v>18</v>
      </c>
      <c r="P523">
        <v>1</v>
      </c>
      <c r="Q523" s="7">
        <v>5096</v>
      </c>
    </row>
    <row r="524" spans="1:17" x14ac:dyDescent="0.25">
      <c r="A524" s="21" t="str" cm="1">
        <f t="array" ref="A524">UPPER(LOOKUP(2,1/(A$1:INDEX(A:A,ROW()-1)&lt;&gt;""),A$1:INDEX(A:A,ROW()-1)))</f>
        <v>PUR-ORD-2026-00049</v>
      </c>
      <c r="B524" s="21" t="str" cm="1">
        <f t="array" ref="B524">LOOKUP(2,1/(B$1:INDEX(B:B,ROW()-1)&lt;&gt;""),B$1:INDEX(B:B,ROW()-1))</f>
        <v>MR MD For Project Management Services EST</v>
      </c>
      <c r="H524" s="7">
        <v>54912</v>
      </c>
      <c r="I524" t="s">
        <v>248</v>
      </c>
      <c r="J524" t="s">
        <v>248</v>
      </c>
      <c r="K524" s="9">
        <v>24</v>
      </c>
      <c r="L524" s="9">
        <v>2288</v>
      </c>
      <c r="M524" s="20">
        <v>46128</v>
      </c>
      <c r="N524" t="s">
        <v>398</v>
      </c>
      <c r="O524" t="s">
        <v>441</v>
      </c>
      <c r="P524">
        <v>220</v>
      </c>
      <c r="Q524" s="7">
        <v>24</v>
      </c>
    </row>
    <row r="525" spans="1:17" x14ac:dyDescent="0.25">
      <c r="A525" s="21" t="str" cm="1">
        <f t="array" ref="A525">UPPER(LOOKUP(2,1/(A$1:INDEX(A:A,ROW()-1)&lt;&gt;""),A$1:INDEX(A:A,ROW()-1)))</f>
        <v>PUR-ORD-2026-00049</v>
      </c>
      <c r="B525" s="21" t="str" cm="1">
        <f t="array" ref="B525">LOOKUP(2,1/(B$1:INDEX(B:B,ROW()-1)&lt;&gt;""),B$1:INDEX(B:B,ROW()-1))</f>
        <v>MR MD For Project Management Services EST</v>
      </c>
      <c r="H525" s="7">
        <v>5460</v>
      </c>
      <c r="I525" t="s">
        <v>254</v>
      </c>
      <c r="J525" t="s">
        <v>254</v>
      </c>
      <c r="K525" s="9">
        <v>140</v>
      </c>
      <c r="L525" s="9">
        <v>39</v>
      </c>
      <c r="M525" s="20">
        <v>46128</v>
      </c>
      <c r="N525" t="s">
        <v>402</v>
      </c>
      <c r="O525" t="s">
        <v>402</v>
      </c>
      <c r="P525">
        <v>1</v>
      </c>
      <c r="Q525" s="7">
        <v>110</v>
      </c>
    </row>
    <row r="526" spans="1:17" x14ac:dyDescent="0.25">
      <c r="A526" s="21" t="str" cm="1">
        <f t="array" ref="A526">UPPER(LOOKUP(2,1/(A$1:INDEX(A:A,ROW()-1)&lt;&gt;""),A$1:INDEX(A:A,ROW()-1)))</f>
        <v>PUR-ORD-2026-00049</v>
      </c>
      <c r="B526" s="21" t="str" cm="1">
        <f t="array" ref="B526">LOOKUP(2,1/(B$1:INDEX(B:B,ROW()-1)&lt;&gt;""),B$1:INDEX(B:B,ROW()-1))</f>
        <v>MR MD For Project Management Services EST</v>
      </c>
      <c r="H526" s="7">
        <v>5250</v>
      </c>
      <c r="I526" t="s">
        <v>865</v>
      </c>
      <c r="J526" t="s">
        <v>865</v>
      </c>
      <c r="K526" s="9">
        <v>500</v>
      </c>
      <c r="L526" s="9">
        <v>10.5</v>
      </c>
      <c r="M526" s="20">
        <v>46128</v>
      </c>
      <c r="N526" t="s">
        <v>467</v>
      </c>
      <c r="O526" t="s">
        <v>467</v>
      </c>
      <c r="P526">
        <v>1</v>
      </c>
      <c r="Q526" s="7">
        <v>500</v>
      </c>
    </row>
    <row r="527" spans="1:17" x14ac:dyDescent="0.25">
      <c r="A527" s="21" t="str" cm="1">
        <f t="array" ref="A527">UPPER(LOOKUP(2,1/(A$1:INDEX(A:A,ROW()-1)&lt;&gt;""),A$1:INDEX(A:A,ROW()-1)))</f>
        <v>PUR-ORD-2026-00049</v>
      </c>
      <c r="B527" s="21" t="str" cm="1">
        <f t="array" ref="B527">LOOKUP(2,1/(B$1:INDEX(B:B,ROW()-1)&lt;&gt;""),B$1:INDEX(B:B,ROW()-1))</f>
        <v>MR MD For Project Management Services EST</v>
      </c>
      <c r="H527" s="7">
        <v>12900</v>
      </c>
      <c r="I527" t="s">
        <v>262</v>
      </c>
      <c r="J527" t="s">
        <v>262</v>
      </c>
      <c r="K527" s="9">
        <v>60</v>
      </c>
      <c r="L527" s="9">
        <v>215</v>
      </c>
      <c r="M527" s="20">
        <v>46142</v>
      </c>
      <c r="N527" t="s">
        <v>394</v>
      </c>
      <c r="O527" t="s">
        <v>394</v>
      </c>
      <c r="P527">
        <v>1</v>
      </c>
      <c r="Q527" s="7">
        <v>50</v>
      </c>
    </row>
    <row r="528" spans="1:17" x14ac:dyDescent="0.25">
      <c r="A528" s="21" t="str" cm="1">
        <f t="array" ref="A528">UPPER(LOOKUP(2,1/(A$1:INDEX(A:A,ROW()-1)&lt;&gt;""),A$1:INDEX(A:A,ROW()-1)))</f>
        <v>PUR-ORD-2026-00049</v>
      </c>
      <c r="B528" s="21" t="str" cm="1">
        <f t="array" ref="B528">LOOKUP(2,1/(B$1:INDEX(B:B,ROW()-1)&lt;&gt;""),B$1:INDEX(B:B,ROW()-1))</f>
        <v>MR MD For Project Management Services EST</v>
      </c>
      <c r="H528" s="7">
        <v>1250</v>
      </c>
      <c r="I528" t="s">
        <v>235</v>
      </c>
      <c r="J528" t="s">
        <v>235</v>
      </c>
      <c r="K528" s="9">
        <v>500</v>
      </c>
      <c r="L528" s="9">
        <v>2.5</v>
      </c>
      <c r="M528" s="20">
        <v>46219</v>
      </c>
      <c r="N528" t="s">
        <v>18</v>
      </c>
      <c r="O528" t="s">
        <v>18</v>
      </c>
      <c r="P528">
        <v>1</v>
      </c>
      <c r="Q528" s="7">
        <v>500</v>
      </c>
    </row>
    <row r="529" spans="1:17" x14ac:dyDescent="0.25">
      <c r="A529" s="21" t="str" cm="1">
        <f t="array" ref="A529">UPPER(LOOKUP(2,1/(A$1:INDEX(A:A,ROW()-1)&lt;&gt;""),A$1:INDEX(A:A,ROW()-1)))</f>
        <v>PUR-ORD-2026-00049</v>
      </c>
      <c r="B529" s="21" t="str" cm="1">
        <f t="array" ref="B529">LOOKUP(2,1/(B$1:INDEX(B:B,ROW()-1)&lt;&gt;""),B$1:INDEX(B:B,ROW()-1))</f>
        <v>MR MD For Project Management Services EST</v>
      </c>
      <c r="H529" s="7">
        <v>26</v>
      </c>
      <c r="I529" t="s">
        <v>211</v>
      </c>
      <c r="J529" t="s">
        <v>211</v>
      </c>
      <c r="K529" s="9">
        <v>20</v>
      </c>
      <c r="L529" s="9">
        <v>1.3</v>
      </c>
      <c r="M529" s="20">
        <v>46219</v>
      </c>
      <c r="N529" t="s">
        <v>18</v>
      </c>
      <c r="O529" t="s">
        <v>18</v>
      </c>
      <c r="P529">
        <v>1</v>
      </c>
      <c r="Q529" s="7">
        <v>20</v>
      </c>
    </row>
    <row r="530" spans="1:17" x14ac:dyDescent="0.25">
      <c r="A530" s="21" t="str" cm="1">
        <f t="array" ref="A530">UPPER(LOOKUP(2,1/(A$1:INDEX(A:A,ROW()-1)&lt;&gt;""),A$1:INDEX(A:A,ROW()-1)))</f>
        <v>PUR-ORD-2026-00049</v>
      </c>
      <c r="B530" s="21" t="str" cm="1">
        <f t="array" ref="B530">LOOKUP(2,1/(B$1:INDEX(B:B,ROW()-1)&lt;&gt;""),B$1:INDEX(B:B,ROW()-1))</f>
        <v>MR MD For Project Management Services EST</v>
      </c>
      <c r="H530" s="7">
        <v>30</v>
      </c>
      <c r="I530" t="s">
        <v>212</v>
      </c>
      <c r="J530" t="s">
        <v>212</v>
      </c>
      <c r="K530" s="9">
        <v>20</v>
      </c>
      <c r="L530" s="9">
        <v>1.5</v>
      </c>
      <c r="M530" s="20">
        <v>46219</v>
      </c>
      <c r="N530" t="s">
        <v>18</v>
      </c>
      <c r="O530" t="s">
        <v>18</v>
      </c>
      <c r="P530">
        <v>1</v>
      </c>
      <c r="Q530" s="7">
        <v>20</v>
      </c>
    </row>
    <row r="531" spans="1:17" x14ac:dyDescent="0.25">
      <c r="A531" s="21" t="str" cm="1">
        <f t="array" ref="A531">UPPER(LOOKUP(2,1/(A$1:INDEX(A:A,ROW()-1)&lt;&gt;""),A$1:INDEX(A:A,ROW()-1)))</f>
        <v>PUR-ORD-2026-00049</v>
      </c>
      <c r="B531" s="21" t="str" cm="1">
        <f t="array" ref="B531">LOOKUP(2,1/(B$1:INDEX(B:B,ROW()-1)&lt;&gt;""),B$1:INDEX(B:B,ROW()-1))</f>
        <v>MR MD For Project Management Services EST</v>
      </c>
      <c r="H531" s="7">
        <v>400</v>
      </c>
      <c r="I531" t="s">
        <v>539</v>
      </c>
      <c r="J531" t="s">
        <v>539</v>
      </c>
      <c r="K531" s="9">
        <v>200</v>
      </c>
      <c r="L531" s="9">
        <v>2</v>
      </c>
      <c r="M531" s="20">
        <v>46219</v>
      </c>
      <c r="N531" t="s">
        <v>143</v>
      </c>
      <c r="O531" t="s">
        <v>18</v>
      </c>
      <c r="P531">
        <v>1</v>
      </c>
      <c r="Q531" s="7">
        <v>200</v>
      </c>
    </row>
    <row r="532" spans="1:17" x14ac:dyDescent="0.25">
      <c r="A532" s="21" t="str" cm="1">
        <f t="array" ref="A532">UPPER(LOOKUP(2,1/(A$1:INDEX(A:A,ROW()-1)&lt;&gt;""),A$1:INDEX(A:A,ROW()-1)))</f>
        <v>PUR-ORD-2026-00049</v>
      </c>
      <c r="B532" s="21" t="str" cm="1">
        <f t="array" ref="B532">LOOKUP(2,1/(B$1:INDEX(B:B,ROW()-1)&lt;&gt;""),B$1:INDEX(B:B,ROW()-1))</f>
        <v>MR MD For Project Management Services EST</v>
      </c>
      <c r="H532" s="7">
        <v>180</v>
      </c>
      <c r="I532" t="s">
        <v>182</v>
      </c>
      <c r="J532" t="s">
        <v>182</v>
      </c>
      <c r="K532" s="9">
        <v>30</v>
      </c>
      <c r="L532" s="9">
        <v>6</v>
      </c>
      <c r="M532" s="20">
        <v>46219</v>
      </c>
      <c r="N532" t="s">
        <v>18</v>
      </c>
      <c r="O532" t="s">
        <v>18</v>
      </c>
      <c r="P532">
        <v>1</v>
      </c>
      <c r="Q532" s="7">
        <v>0</v>
      </c>
    </row>
    <row r="533" spans="1:17" x14ac:dyDescent="0.25">
      <c r="A533" s="21" t="str" cm="1">
        <f t="array" ref="A533">UPPER(LOOKUP(2,1/(A$1:INDEX(A:A,ROW()-1)&lt;&gt;""),A$1:INDEX(A:A,ROW()-1)))</f>
        <v>PUR-ORD-2026-00049</v>
      </c>
      <c r="B533" s="21" t="str" cm="1">
        <f t="array" ref="B533">LOOKUP(2,1/(B$1:INDEX(B:B,ROW()-1)&lt;&gt;""),B$1:INDEX(B:B,ROW()-1))</f>
        <v>MR MD For Project Management Services EST</v>
      </c>
      <c r="H533" s="7">
        <v>268.75</v>
      </c>
      <c r="I533" t="s">
        <v>900</v>
      </c>
      <c r="J533" t="s">
        <v>900</v>
      </c>
      <c r="K533" s="9">
        <v>5</v>
      </c>
      <c r="L533" s="9">
        <v>53.75</v>
      </c>
      <c r="M533" s="20">
        <v>46219</v>
      </c>
      <c r="N533" t="s">
        <v>18</v>
      </c>
      <c r="O533" t="s">
        <v>18</v>
      </c>
      <c r="P533">
        <v>1</v>
      </c>
      <c r="Q533" s="7">
        <v>5</v>
      </c>
    </row>
    <row r="534" spans="1:17" x14ac:dyDescent="0.25">
      <c r="A534" s="21" t="str" cm="1">
        <f t="array" ref="A534">UPPER(LOOKUP(2,1/(A$1:INDEX(A:A,ROW()-1)&lt;&gt;""),A$1:INDEX(A:A,ROW()-1)))</f>
        <v>PUR-ORD-2026-00049</v>
      </c>
      <c r="B534" s="21" t="str" cm="1">
        <f t="array" ref="B534">LOOKUP(2,1/(B$1:INDEX(B:B,ROW()-1)&lt;&gt;""),B$1:INDEX(B:B,ROW()-1))</f>
        <v>MR MD For Project Management Services EST</v>
      </c>
      <c r="H534" s="7">
        <v>45</v>
      </c>
      <c r="I534" t="s">
        <v>901</v>
      </c>
      <c r="J534" t="s">
        <v>902</v>
      </c>
      <c r="K534" s="9">
        <v>10</v>
      </c>
      <c r="L534" s="9">
        <v>4.5</v>
      </c>
      <c r="M534" s="20">
        <v>46219</v>
      </c>
      <c r="N534" t="s">
        <v>209</v>
      </c>
      <c r="O534" t="s">
        <v>209</v>
      </c>
      <c r="P534">
        <v>1</v>
      </c>
      <c r="Q534" s="7">
        <v>10</v>
      </c>
    </row>
    <row r="535" spans="1:17" x14ac:dyDescent="0.25">
      <c r="A535" s="21" t="str" cm="1">
        <f t="array" ref="A535">UPPER(LOOKUP(2,1/(A$1:INDEX(A:A,ROW()-1)&lt;&gt;""),A$1:INDEX(A:A,ROW()-1)))</f>
        <v>PUR-ORD-2026-00049</v>
      </c>
      <c r="B535" s="21" t="str" cm="1">
        <f t="array" ref="B535">LOOKUP(2,1/(B$1:INDEX(B:B,ROW()-1)&lt;&gt;""),B$1:INDEX(B:B,ROW()-1))</f>
        <v>MR MD For Project Management Services EST</v>
      </c>
      <c r="H535" s="7">
        <v>145</v>
      </c>
      <c r="I535" t="s">
        <v>903</v>
      </c>
      <c r="J535" t="s">
        <v>903</v>
      </c>
      <c r="K535" s="9">
        <v>10</v>
      </c>
      <c r="L535" s="9">
        <v>14.5</v>
      </c>
      <c r="M535" s="20">
        <v>46219</v>
      </c>
      <c r="N535" t="s">
        <v>209</v>
      </c>
      <c r="O535" t="s">
        <v>209</v>
      </c>
      <c r="P535">
        <v>1</v>
      </c>
      <c r="Q535" s="7">
        <v>10</v>
      </c>
    </row>
    <row r="536" spans="1:17" x14ac:dyDescent="0.25">
      <c r="A536" s="21" t="str" cm="1">
        <f t="array" ref="A536">UPPER(LOOKUP(2,1/(A$1:INDEX(A:A,ROW()-1)&lt;&gt;""),A$1:INDEX(A:A,ROW()-1)))</f>
        <v>PUR-ORD-2026-00049</v>
      </c>
      <c r="B536" s="21" t="str" cm="1">
        <f t="array" ref="B536">LOOKUP(2,1/(B$1:INDEX(B:B,ROW()-1)&lt;&gt;""),B$1:INDEX(B:B,ROW()-1))</f>
        <v>MR MD For Project Management Services EST</v>
      </c>
      <c r="H536" s="7">
        <v>900</v>
      </c>
      <c r="I536" t="s">
        <v>904</v>
      </c>
      <c r="J536" t="s">
        <v>904</v>
      </c>
      <c r="K536" s="9">
        <v>200</v>
      </c>
      <c r="L536" s="9">
        <v>4.5</v>
      </c>
      <c r="M536" s="20">
        <v>46219</v>
      </c>
      <c r="N536" t="s">
        <v>18</v>
      </c>
      <c r="O536" t="s">
        <v>18</v>
      </c>
      <c r="P536">
        <v>1</v>
      </c>
      <c r="Q536" s="7">
        <v>200</v>
      </c>
    </row>
    <row r="537" spans="1:17" x14ac:dyDescent="0.25">
      <c r="A537" s="21" t="str" cm="1">
        <f t="array" ref="A537">UPPER(LOOKUP(2,1/(A$1:INDEX(A:A,ROW()-1)&lt;&gt;""),A$1:INDEX(A:A,ROW()-1)))</f>
        <v>PUR-ORD-2026-00049</v>
      </c>
      <c r="B537" s="21" t="str" cm="1">
        <f t="array" ref="B537">LOOKUP(2,1/(B$1:INDEX(B:B,ROW()-1)&lt;&gt;""),B$1:INDEX(B:B,ROW()-1))</f>
        <v>MR MD For Project Management Services EST</v>
      </c>
      <c r="H537" s="7">
        <v>91520</v>
      </c>
      <c r="I537" t="s">
        <v>248</v>
      </c>
      <c r="J537" t="s">
        <v>248</v>
      </c>
      <c r="K537" s="9">
        <v>40</v>
      </c>
      <c r="L537" s="9">
        <v>2288</v>
      </c>
      <c r="M537" s="20">
        <v>46142</v>
      </c>
      <c r="N537" t="s">
        <v>398</v>
      </c>
      <c r="O537" t="s">
        <v>441</v>
      </c>
      <c r="P537">
        <v>220</v>
      </c>
      <c r="Q537" s="7">
        <v>39</v>
      </c>
    </row>
    <row r="538" spans="1:17" x14ac:dyDescent="0.25">
      <c r="A538" s="21" t="str" cm="1">
        <f t="array" ref="A538">UPPER(LOOKUP(2,1/(A$1:INDEX(A:A,ROW()-1)&lt;&gt;""),A$1:INDEX(A:A,ROW()-1)))</f>
        <v>PUR-ORD-2026-00049</v>
      </c>
      <c r="B538" s="21" t="str" cm="1">
        <f t="array" ref="B538">LOOKUP(2,1/(B$1:INDEX(B:B,ROW()-1)&lt;&gt;""),B$1:INDEX(B:B,ROW()-1))</f>
        <v>MR MD For Project Management Services EST</v>
      </c>
      <c r="H538" s="7">
        <v>550000</v>
      </c>
      <c r="I538" t="s">
        <v>286</v>
      </c>
      <c r="J538" t="s">
        <v>286</v>
      </c>
      <c r="K538" s="9">
        <v>5000</v>
      </c>
      <c r="L538" s="9">
        <v>110</v>
      </c>
      <c r="M538" s="20">
        <v>46142</v>
      </c>
      <c r="N538" t="s">
        <v>388</v>
      </c>
      <c r="O538" t="s">
        <v>209</v>
      </c>
      <c r="P538">
        <v>10</v>
      </c>
      <c r="Q538" s="7">
        <v>4989</v>
      </c>
    </row>
    <row r="539" spans="1:17" x14ac:dyDescent="0.25">
      <c r="A539" s="21" t="str" cm="1">
        <f t="array" ref="A539">UPPER(LOOKUP(2,1/(A$1:INDEX(A:A,ROW()-1)&lt;&gt;""),A$1:INDEX(A:A,ROW()-1)))</f>
        <v>PUR-ORD-2026-00049</v>
      </c>
      <c r="B539" s="21" t="str" cm="1">
        <f t="array" ref="B539">LOOKUP(2,1/(B$1:INDEX(B:B,ROW()-1)&lt;&gt;""),B$1:INDEX(B:B,ROW()-1))</f>
        <v>MR MD For Project Management Services EST</v>
      </c>
      <c r="H539" s="7">
        <v>230000</v>
      </c>
      <c r="I539" t="s">
        <v>908</v>
      </c>
      <c r="J539" t="s">
        <v>292</v>
      </c>
      <c r="K539" s="9">
        <v>2000</v>
      </c>
      <c r="L539" s="9">
        <v>115</v>
      </c>
      <c r="M539" s="20">
        <v>46142</v>
      </c>
      <c r="N539" t="s">
        <v>394</v>
      </c>
      <c r="O539" t="s">
        <v>394</v>
      </c>
      <c r="P539">
        <v>1</v>
      </c>
      <c r="Q539" s="7">
        <v>1936</v>
      </c>
    </row>
    <row r="540" spans="1:17" x14ac:dyDescent="0.25">
      <c r="A540" s="21" t="str" cm="1">
        <f t="array" ref="A540">UPPER(LOOKUP(2,1/(A$1:INDEX(A:A,ROW()-1)&lt;&gt;""),A$1:INDEX(A:A,ROW()-1)))</f>
        <v>PUR-ORD-2026-00049</v>
      </c>
      <c r="B540" s="21" t="str" cm="1">
        <f t="array" ref="B540">LOOKUP(2,1/(B$1:INDEX(B:B,ROW()-1)&lt;&gt;""),B$1:INDEX(B:B,ROW()-1))</f>
        <v>MR MD For Project Management Services EST</v>
      </c>
      <c r="H540" s="7">
        <v>28800</v>
      </c>
      <c r="I540" t="s">
        <v>295</v>
      </c>
      <c r="J540" t="s">
        <v>295</v>
      </c>
      <c r="K540" s="9">
        <v>100</v>
      </c>
      <c r="L540" s="9">
        <v>288</v>
      </c>
      <c r="M540" s="20">
        <v>46142</v>
      </c>
      <c r="N540" t="s">
        <v>583</v>
      </c>
      <c r="O540" t="s">
        <v>909</v>
      </c>
      <c r="P540">
        <v>20</v>
      </c>
      <c r="Q540" s="7">
        <v>50</v>
      </c>
    </row>
    <row r="541" spans="1:17" x14ac:dyDescent="0.25">
      <c r="A541" s="21" t="str" cm="1">
        <f t="array" ref="A541">UPPER(LOOKUP(2,1/(A$1:INDEX(A:A,ROW()-1)&lt;&gt;""),A$1:INDEX(A:A,ROW()-1)))</f>
        <v>PUR-ORD-2026-00049</v>
      </c>
      <c r="B541" s="21" t="str" cm="1">
        <f t="array" ref="B541">LOOKUP(2,1/(B$1:INDEX(B:B,ROW()-1)&lt;&gt;""),B$1:INDEX(B:B,ROW()-1))</f>
        <v>MR MD For Project Management Services EST</v>
      </c>
      <c r="H541" s="7">
        <v>62500</v>
      </c>
      <c r="I541" t="s">
        <v>245</v>
      </c>
      <c r="J541" t="s">
        <v>245</v>
      </c>
      <c r="K541" s="9">
        <v>20</v>
      </c>
      <c r="L541" s="9">
        <v>3125</v>
      </c>
      <c r="M541" s="20">
        <v>46203</v>
      </c>
      <c r="N541" t="s">
        <v>398</v>
      </c>
      <c r="O541" t="s">
        <v>441</v>
      </c>
      <c r="P541">
        <v>250</v>
      </c>
      <c r="Q541" s="7">
        <v>7</v>
      </c>
    </row>
    <row r="542" spans="1:17" x14ac:dyDescent="0.25">
      <c r="A542" s="21" t="str" cm="1">
        <f t="array" ref="A542">UPPER(LOOKUP(2,1/(A$1:INDEX(A:A,ROW()-1)&lt;&gt;""),A$1:INDEX(A:A,ROW()-1)))</f>
        <v>PUR-ORD-2026-00049</v>
      </c>
      <c r="B542" s="21" t="str" cm="1">
        <f t="array" ref="B542">LOOKUP(2,1/(B$1:INDEX(B:B,ROW()-1)&lt;&gt;""),B$1:INDEX(B:B,ROW()-1))</f>
        <v>MR MD For Project Management Services EST</v>
      </c>
      <c r="H542" s="7">
        <v>5600</v>
      </c>
      <c r="I542" t="s">
        <v>913</v>
      </c>
      <c r="J542" t="s">
        <v>913</v>
      </c>
      <c r="K542" s="9">
        <v>10</v>
      </c>
      <c r="L542" s="9">
        <v>560</v>
      </c>
      <c r="M542" s="20">
        <v>46203</v>
      </c>
      <c r="N542" t="s">
        <v>556</v>
      </c>
      <c r="O542" t="s">
        <v>441</v>
      </c>
      <c r="P542">
        <v>200</v>
      </c>
      <c r="Q542" s="7">
        <v>10</v>
      </c>
    </row>
    <row r="543" spans="1:17" x14ac:dyDescent="0.25">
      <c r="A543" s="21" t="str" cm="1">
        <f t="array" ref="A543">UPPER(LOOKUP(2,1/(A$1:INDEX(A:A,ROW()-1)&lt;&gt;""),A$1:INDEX(A:A,ROW()-1)))</f>
        <v>PUR-ORD-2026-00049</v>
      </c>
      <c r="B543" s="21" t="str" cm="1">
        <f t="array" ref="B543">LOOKUP(2,1/(B$1:INDEX(B:B,ROW()-1)&lt;&gt;""),B$1:INDEX(B:B,ROW()-1))</f>
        <v>MR MD For Project Management Services EST</v>
      </c>
      <c r="H543" s="7">
        <v>20700</v>
      </c>
      <c r="I543" t="s">
        <v>270</v>
      </c>
      <c r="J543" t="s">
        <v>270</v>
      </c>
      <c r="K543" s="9">
        <v>50</v>
      </c>
      <c r="L543" s="9">
        <v>414</v>
      </c>
      <c r="M543" s="20">
        <v>46203</v>
      </c>
      <c r="N543" t="s">
        <v>388</v>
      </c>
      <c r="O543" t="s">
        <v>209</v>
      </c>
      <c r="P543">
        <v>300</v>
      </c>
      <c r="Q543" s="7">
        <v>4</v>
      </c>
    </row>
    <row r="544" spans="1:17" x14ac:dyDescent="0.25">
      <c r="A544" s="21" t="str" cm="1">
        <f t="array" ref="A544">UPPER(LOOKUP(2,1/(A$1:INDEX(A:A,ROW()-1)&lt;&gt;""),A$1:INDEX(A:A,ROW()-1)))</f>
        <v>PUR-ORD-2026-00049</v>
      </c>
      <c r="B544" s="21" t="str" cm="1">
        <f t="array" ref="B544">LOOKUP(2,1/(B$1:INDEX(B:B,ROW()-1)&lt;&gt;""),B$1:INDEX(B:B,ROW()-1))</f>
        <v>MR MD For Project Management Services EST</v>
      </c>
      <c r="H544" s="7">
        <v>22500</v>
      </c>
      <c r="I544" t="s">
        <v>914</v>
      </c>
      <c r="J544" t="s">
        <v>914</v>
      </c>
      <c r="K544" s="9">
        <v>9000</v>
      </c>
      <c r="L544" s="9">
        <v>2.5</v>
      </c>
      <c r="M544" s="20">
        <v>46203</v>
      </c>
      <c r="N544" t="s">
        <v>388</v>
      </c>
      <c r="O544" t="s">
        <v>388</v>
      </c>
      <c r="P544">
        <v>1</v>
      </c>
      <c r="Q544" s="7">
        <v>9000</v>
      </c>
    </row>
    <row r="545" spans="1:17" x14ac:dyDescent="0.25">
      <c r="A545" s="21" t="str" cm="1">
        <f t="array" ref="A545">UPPER(LOOKUP(2,1/(A$1:INDEX(A:A,ROW()-1)&lt;&gt;""),A$1:INDEX(A:A,ROW()-1)))</f>
        <v>PUR-ORD-2026-00049</v>
      </c>
      <c r="B545" s="21" t="str" cm="1">
        <f t="array" ref="B545">LOOKUP(2,1/(B$1:INDEX(B:B,ROW()-1)&lt;&gt;""),B$1:INDEX(B:B,ROW()-1))</f>
        <v>MR MD For Project Management Services EST</v>
      </c>
      <c r="H545" s="7">
        <v>55000</v>
      </c>
      <c r="I545" t="s">
        <v>248</v>
      </c>
      <c r="J545" t="s">
        <v>248</v>
      </c>
      <c r="K545" s="9">
        <v>20</v>
      </c>
      <c r="L545" s="9">
        <v>2750</v>
      </c>
      <c r="M545" s="20">
        <v>46203</v>
      </c>
      <c r="N545" t="s">
        <v>398</v>
      </c>
      <c r="O545" t="s">
        <v>441</v>
      </c>
      <c r="P545">
        <v>220</v>
      </c>
      <c r="Q545" s="7">
        <v>7</v>
      </c>
    </row>
    <row r="546" spans="1:17" x14ac:dyDescent="0.25">
      <c r="A546" s="21" t="str" cm="1">
        <f t="array" ref="A546">UPPER(LOOKUP(2,1/(A$1:INDEX(A:A,ROW()-1)&lt;&gt;""),A$1:INDEX(A:A,ROW()-1)))</f>
        <v>PUR-ORD-2026-00049</v>
      </c>
      <c r="B546" s="21" t="str" cm="1">
        <f t="array" ref="B546">LOOKUP(2,1/(B$1:INDEX(B:B,ROW()-1)&lt;&gt;""),B$1:INDEX(B:B,ROW()-1))</f>
        <v>MR MD For Project Management Services EST</v>
      </c>
      <c r="H546" s="7">
        <v>4900</v>
      </c>
      <c r="I546" t="s">
        <v>257</v>
      </c>
      <c r="J546" t="s">
        <v>257</v>
      </c>
      <c r="K546" s="9">
        <v>100</v>
      </c>
      <c r="L546" s="9">
        <v>49</v>
      </c>
      <c r="M546" s="20">
        <v>46203</v>
      </c>
      <c r="N546" t="s">
        <v>394</v>
      </c>
      <c r="O546" t="s">
        <v>394</v>
      </c>
      <c r="P546">
        <v>1</v>
      </c>
      <c r="Q546" s="7">
        <v>100</v>
      </c>
    </row>
    <row r="547" spans="1:17" x14ac:dyDescent="0.25">
      <c r="A547" s="21" t="str" cm="1">
        <f t="array" ref="A547">UPPER(LOOKUP(2,1/(A$1:INDEX(A:A,ROW()-1)&lt;&gt;""),A$1:INDEX(A:A,ROW()-1)))</f>
        <v>PUR-ORD-2026-00049</v>
      </c>
      <c r="B547" s="21" t="str" cm="1">
        <f t="array" ref="B547">LOOKUP(2,1/(B$1:INDEX(B:B,ROW()-1)&lt;&gt;""),B$1:INDEX(B:B,ROW()-1))</f>
        <v>MR MD For Project Management Services EST</v>
      </c>
      <c r="H547" s="7">
        <v>4900</v>
      </c>
      <c r="I547" t="s">
        <v>242</v>
      </c>
      <c r="J547" t="s">
        <v>242</v>
      </c>
      <c r="K547" s="9">
        <v>100</v>
      </c>
      <c r="L547" s="9">
        <v>49</v>
      </c>
      <c r="M547" s="20">
        <v>46203</v>
      </c>
      <c r="N547" t="s">
        <v>394</v>
      </c>
      <c r="O547" t="s">
        <v>394</v>
      </c>
      <c r="P547">
        <v>1</v>
      </c>
      <c r="Q547" s="7">
        <v>100</v>
      </c>
    </row>
    <row r="548" spans="1:17" x14ac:dyDescent="0.25">
      <c r="A548" s="21" t="str" cm="1">
        <f t="array" ref="A548">UPPER(LOOKUP(2,1/(A$1:INDEX(A:A,ROW()-1)&lt;&gt;""),A$1:INDEX(A:A,ROW()-1)))</f>
        <v>PUR-ORD-2026-00049</v>
      </c>
      <c r="B548" s="21" t="str" cm="1">
        <f t="array" ref="B548">LOOKUP(2,1/(B$1:INDEX(B:B,ROW()-1)&lt;&gt;""),B$1:INDEX(B:B,ROW()-1))</f>
        <v>MR MD For Project Management Services EST</v>
      </c>
      <c r="H548" s="7">
        <v>7300</v>
      </c>
      <c r="I548" t="s">
        <v>916</v>
      </c>
      <c r="J548" t="s">
        <v>916</v>
      </c>
      <c r="K548" s="9">
        <v>20</v>
      </c>
      <c r="L548" s="9">
        <v>365</v>
      </c>
      <c r="M548" s="20">
        <v>46173</v>
      </c>
      <c r="N548" t="s">
        <v>556</v>
      </c>
      <c r="O548" t="s">
        <v>441</v>
      </c>
      <c r="P548">
        <v>200</v>
      </c>
      <c r="Q548" s="7">
        <v>20</v>
      </c>
    </row>
    <row r="549" spans="1:17" x14ac:dyDescent="0.25">
      <c r="A549" s="21" t="str" cm="1">
        <f t="array" ref="A549">UPPER(LOOKUP(2,1/(A$1:INDEX(A:A,ROW()-1)&lt;&gt;""),A$1:INDEX(A:A,ROW()-1)))</f>
        <v>PUR-ORD-2026-00049</v>
      </c>
      <c r="B549" s="21" t="str" cm="1">
        <f t="array" ref="B549">LOOKUP(2,1/(B$1:INDEX(B:B,ROW()-1)&lt;&gt;""),B$1:INDEX(B:B,ROW()-1))</f>
        <v>MR MD For Project Management Services EST</v>
      </c>
      <c r="H549" s="7">
        <v>2816</v>
      </c>
      <c r="I549" t="s">
        <v>219</v>
      </c>
      <c r="J549" t="s">
        <v>219</v>
      </c>
      <c r="K549" s="9">
        <v>22</v>
      </c>
      <c r="L549" s="9">
        <v>128</v>
      </c>
      <c r="M549" s="20">
        <v>46173</v>
      </c>
      <c r="N549" t="s">
        <v>209</v>
      </c>
      <c r="O549" t="s">
        <v>209</v>
      </c>
      <c r="P549">
        <v>1</v>
      </c>
      <c r="Q549" s="7">
        <v>21</v>
      </c>
    </row>
    <row r="550" spans="1:17" x14ac:dyDescent="0.25">
      <c r="A550" s="21" t="str" cm="1">
        <f t="array" ref="A550">UPPER(LOOKUP(2,1/(A$1:INDEX(A:A,ROW()-1)&lt;&gt;""),A$1:INDEX(A:A,ROW()-1)))</f>
        <v>PUR-ORD-2026-00049</v>
      </c>
      <c r="B550" s="21" t="str" cm="1">
        <f t="array" ref="B550">LOOKUP(2,1/(B$1:INDEX(B:B,ROW()-1)&lt;&gt;""),B$1:INDEX(B:B,ROW()-1))</f>
        <v>MR MD For Project Management Services EST</v>
      </c>
      <c r="H550" s="7">
        <v>29440</v>
      </c>
      <c r="I550" t="s">
        <v>219</v>
      </c>
      <c r="J550" t="s">
        <v>219</v>
      </c>
      <c r="K550" s="9">
        <v>230</v>
      </c>
      <c r="L550" s="9">
        <v>128</v>
      </c>
      <c r="M550" s="20">
        <v>46173</v>
      </c>
      <c r="N550" t="s">
        <v>209</v>
      </c>
      <c r="O550" t="s">
        <v>209</v>
      </c>
      <c r="P550">
        <v>1</v>
      </c>
      <c r="Q550" s="7">
        <v>230</v>
      </c>
    </row>
    <row r="551" spans="1:17" x14ac:dyDescent="0.25">
      <c r="A551" s="21" t="str" cm="1">
        <f t="array" ref="A551">UPPER(LOOKUP(2,1/(A$1:INDEX(A:A,ROW()-1)&lt;&gt;""),A$1:INDEX(A:A,ROW()-1)))</f>
        <v>PUR-ORD-2026-00049</v>
      </c>
      <c r="B551" s="21" t="str" cm="1">
        <f t="array" ref="B551">LOOKUP(2,1/(B$1:INDEX(B:B,ROW()-1)&lt;&gt;""),B$1:INDEX(B:B,ROW()-1))</f>
        <v>MR MD For Project Management Services EST</v>
      </c>
      <c r="H551" s="7">
        <v>73062.5</v>
      </c>
      <c r="I551" t="s">
        <v>399</v>
      </c>
      <c r="J551" t="s">
        <v>130</v>
      </c>
      <c r="K551" s="9">
        <v>8750</v>
      </c>
      <c r="L551" s="9">
        <v>8.35</v>
      </c>
      <c r="M551" s="20">
        <v>46112</v>
      </c>
      <c r="N551" t="s">
        <v>398</v>
      </c>
      <c r="O551" t="s">
        <v>398</v>
      </c>
      <c r="P551">
        <v>1</v>
      </c>
      <c r="Q551" s="7">
        <v>8750</v>
      </c>
    </row>
    <row r="552" spans="1:17" x14ac:dyDescent="0.25">
      <c r="A552" s="21" t="str" cm="1">
        <f t="array" ref="A552">UPPER(LOOKUP(2,1/(A$1:INDEX(A:A,ROW()-1)&lt;&gt;""),A$1:INDEX(A:A,ROW()-1)))</f>
        <v>PUR-ORD-2026-00049</v>
      </c>
      <c r="B552" s="21" t="str" cm="1">
        <f t="array" ref="B552">LOOKUP(2,1/(B$1:INDEX(B:B,ROW()-1)&lt;&gt;""),B$1:INDEX(B:B,ROW()-1))</f>
        <v>MR MD For Project Management Services EST</v>
      </c>
      <c r="H552" s="7">
        <v>24360</v>
      </c>
      <c r="I552" t="s">
        <v>920</v>
      </c>
      <c r="J552" t="s">
        <v>920</v>
      </c>
      <c r="K552" s="9">
        <v>580</v>
      </c>
      <c r="L552" s="9">
        <v>42</v>
      </c>
      <c r="M552" s="20">
        <v>46112</v>
      </c>
      <c r="N552" t="s">
        <v>825</v>
      </c>
      <c r="O552" t="s">
        <v>825</v>
      </c>
      <c r="P552">
        <v>1</v>
      </c>
      <c r="Q552" s="7">
        <v>930</v>
      </c>
    </row>
    <row r="553" spans="1:17" x14ac:dyDescent="0.25">
      <c r="A553" s="21" t="str" cm="1">
        <f t="array" ref="A553">UPPER(LOOKUP(2,1/(A$1:INDEX(A:A,ROW()-1)&lt;&gt;""),A$1:INDEX(A:A,ROW()-1)))</f>
        <v>PUR-ORD-2026-00049</v>
      </c>
      <c r="B553" s="21" t="str" cm="1">
        <f t="array" ref="B553">LOOKUP(2,1/(B$1:INDEX(B:B,ROW()-1)&lt;&gt;""),B$1:INDEX(B:B,ROW()-1))</f>
        <v>MR MD For Project Management Services EST</v>
      </c>
      <c r="H553" s="7">
        <v>300</v>
      </c>
      <c r="I553" t="s">
        <v>478</v>
      </c>
      <c r="J553" t="s">
        <v>478</v>
      </c>
      <c r="K553" s="9">
        <v>3</v>
      </c>
      <c r="L553" s="9">
        <v>100</v>
      </c>
      <c r="M553" s="20">
        <v>46153</v>
      </c>
      <c r="N553" t="s">
        <v>18</v>
      </c>
      <c r="O553" t="s">
        <v>18</v>
      </c>
      <c r="P553">
        <v>1</v>
      </c>
      <c r="Q553" s="7">
        <v>3</v>
      </c>
    </row>
    <row r="554" spans="1:17" x14ac:dyDescent="0.25">
      <c r="A554" s="21" t="str" cm="1">
        <f t="array" ref="A554">UPPER(LOOKUP(2,1/(A$1:INDEX(A:A,ROW()-1)&lt;&gt;""),A$1:INDEX(A:A,ROW()-1)))</f>
        <v>PUR-ORD-2026-00049</v>
      </c>
      <c r="B554" s="21" t="str" cm="1">
        <f t="array" ref="B554">LOOKUP(2,1/(B$1:INDEX(B:B,ROW()-1)&lt;&gt;""),B$1:INDEX(B:B,ROW()-1))</f>
        <v>MR MD For Project Management Services EST</v>
      </c>
      <c r="H554" s="7">
        <v>200</v>
      </c>
      <c r="I554" t="s">
        <v>473</v>
      </c>
      <c r="J554" t="s">
        <v>474</v>
      </c>
      <c r="K554" s="9">
        <v>1</v>
      </c>
      <c r="L554" s="9">
        <v>200</v>
      </c>
      <c r="M554" s="20">
        <v>46153</v>
      </c>
      <c r="N554" t="s">
        <v>18</v>
      </c>
      <c r="O554" t="s">
        <v>18</v>
      </c>
      <c r="P554">
        <v>1</v>
      </c>
      <c r="Q554" s="7">
        <v>1</v>
      </c>
    </row>
    <row r="555" spans="1:17" x14ac:dyDescent="0.25">
      <c r="A555" s="21" t="str" cm="1">
        <f t="array" ref="A555">UPPER(LOOKUP(2,1/(A$1:INDEX(A:A,ROW()-1)&lt;&gt;""),A$1:INDEX(A:A,ROW()-1)))</f>
        <v>PUR-ORD-2026-00049</v>
      </c>
      <c r="B555" s="21" t="str" cm="1">
        <f t="array" ref="B555">LOOKUP(2,1/(B$1:INDEX(B:B,ROW()-1)&lt;&gt;""),B$1:INDEX(B:B,ROW()-1))</f>
        <v>MR MD For Project Management Services EST</v>
      </c>
      <c r="H555" s="7">
        <v>37620</v>
      </c>
      <c r="I555" t="s">
        <v>248</v>
      </c>
      <c r="J555" t="s">
        <v>248</v>
      </c>
      <c r="K555" s="9">
        <v>15</v>
      </c>
      <c r="L555" s="9">
        <v>2508</v>
      </c>
      <c r="M555" s="20">
        <v>46265</v>
      </c>
      <c r="N555" t="s">
        <v>398</v>
      </c>
      <c r="O555" t="s">
        <v>18</v>
      </c>
      <c r="P555">
        <v>220</v>
      </c>
      <c r="Q555" s="7">
        <v>15</v>
      </c>
    </row>
    <row r="556" spans="1:17" x14ac:dyDescent="0.25">
      <c r="A556" s="21" t="str" cm="1">
        <f t="array" ref="A556">UPPER(LOOKUP(2,1/(A$1:INDEX(A:A,ROW()-1)&lt;&gt;""),A$1:INDEX(A:A,ROW()-1)))</f>
        <v>PUR-ORD-2026-00049</v>
      </c>
      <c r="B556" s="21" t="str" cm="1">
        <f t="array" ref="B556">LOOKUP(2,1/(B$1:INDEX(B:B,ROW()-1)&lt;&gt;""),B$1:INDEX(B:B,ROW()-1))</f>
        <v>MR MD For Project Management Services EST</v>
      </c>
      <c r="H556" s="7">
        <v>10500</v>
      </c>
      <c r="I556" t="s">
        <v>865</v>
      </c>
      <c r="J556" t="s">
        <v>865</v>
      </c>
      <c r="K556" s="9">
        <v>1000</v>
      </c>
      <c r="L556" s="9">
        <v>10.5</v>
      </c>
      <c r="M556" s="20">
        <v>46285</v>
      </c>
      <c r="N556" t="s">
        <v>467</v>
      </c>
      <c r="O556" t="s">
        <v>18</v>
      </c>
      <c r="P556">
        <v>20</v>
      </c>
      <c r="Q556" s="7">
        <v>1000</v>
      </c>
    </row>
    <row r="557" spans="1:17" x14ac:dyDescent="0.25">
      <c r="A557" s="21" t="str" cm="1">
        <f t="array" ref="A557">UPPER(LOOKUP(2,1/(A$1:INDEX(A:A,ROW()-1)&lt;&gt;""),A$1:INDEX(A:A,ROW()-1)))</f>
        <v>PUR-ORD-2026-00049</v>
      </c>
      <c r="B557" s="21" t="str" cm="1">
        <f t="array" ref="B557">LOOKUP(2,1/(B$1:INDEX(B:B,ROW()-1)&lt;&gt;""),B$1:INDEX(B:B,ROW()-1))</f>
        <v>MR MD For Project Management Services EST</v>
      </c>
      <c r="H557" s="7">
        <v>20400</v>
      </c>
      <c r="I557" t="s">
        <v>227</v>
      </c>
      <c r="J557" t="s">
        <v>227</v>
      </c>
      <c r="K557" s="9">
        <v>300</v>
      </c>
      <c r="L557" s="9">
        <v>68</v>
      </c>
      <c r="M557" s="20">
        <v>46292</v>
      </c>
      <c r="N557" t="s">
        <v>394</v>
      </c>
      <c r="O557" t="s">
        <v>18</v>
      </c>
      <c r="P557">
        <v>1</v>
      </c>
      <c r="Q557" s="7">
        <v>300</v>
      </c>
    </row>
    <row r="558" spans="1:17" x14ac:dyDescent="0.25">
      <c r="A558" s="21" t="str" cm="1">
        <f t="array" ref="A558">UPPER(LOOKUP(2,1/(A$1:INDEX(A:A,ROW()-1)&lt;&gt;""),A$1:INDEX(A:A,ROW()-1)))</f>
        <v>PUR-ORD-2026-00049</v>
      </c>
      <c r="B558" s="21" t="str" cm="1">
        <f t="array" ref="B558">LOOKUP(2,1/(B$1:INDEX(B:B,ROW()-1)&lt;&gt;""),B$1:INDEX(B:B,ROW()-1))</f>
        <v>MR MD For Project Management Services EST</v>
      </c>
      <c r="H558" s="7">
        <v>3740</v>
      </c>
      <c r="I558" t="s">
        <v>429</v>
      </c>
      <c r="J558" t="s">
        <v>429</v>
      </c>
      <c r="K558" s="9">
        <v>748</v>
      </c>
      <c r="L558" s="9">
        <v>5</v>
      </c>
      <c r="M558" s="20">
        <v>46326</v>
      </c>
      <c r="N558" t="s">
        <v>18</v>
      </c>
      <c r="O558" t="s">
        <v>388</v>
      </c>
      <c r="P558">
        <v>1</v>
      </c>
      <c r="Q558" s="7">
        <v>748</v>
      </c>
    </row>
    <row r="559" spans="1:17" x14ac:dyDescent="0.25">
      <c r="A559" s="21" t="str" cm="1">
        <f t="array" ref="A559">UPPER(LOOKUP(2,1/(A$1:INDEX(A:A,ROW()-1)&lt;&gt;""),A$1:INDEX(A:A,ROW()-1)))</f>
        <v>PUR-ORD-2026-00049</v>
      </c>
      <c r="B559" s="21" t="str" cm="1">
        <f t="array" ref="B559">LOOKUP(2,1/(B$1:INDEX(B:B,ROW()-1)&lt;&gt;""),B$1:INDEX(B:B,ROW()-1))</f>
        <v>MR MD For Project Management Services EST</v>
      </c>
      <c r="H559" s="7">
        <v>2890</v>
      </c>
      <c r="I559" t="s">
        <v>429</v>
      </c>
      <c r="J559" t="s">
        <v>429</v>
      </c>
      <c r="K559" s="9">
        <v>578</v>
      </c>
      <c r="L559" s="9">
        <v>5</v>
      </c>
      <c r="M559" s="20">
        <v>46326</v>
      </c>
      <c r="N559" t="s">
        <v>18</v>
      </c>
      <c r="O559" t="s">
        <v>388</v>
      </c>
      <c r="P559">
        <v>1</v>
      </c>
      <c r="Q559" s="7">
        <v>578</v>
      </c>
    </row>
    <row r="560" spans="1:17" x14ac:dyDescent="0.25">
      <c r="A560" s="21" t="str" cm="1">
        <f t="array" ref="A560">UPPER(LOOKUP(2,1/(A$1:INDEX(A:A,ROW()-1)&lt;&gt;""),A$1:INDEX(A:A,ROW()-1)))</f>
        <v>PUR-ORD-2026-00049</v>
      </c>
      <c r="B560" s="21" t="str" cm="1">
        <f t="array" ref="B560">LOOKUP(2,1/(B$1:INDEX(B:B,ROW()-1)&lt;&gt;""),B$1:INDEX(B:B,ROW()-1))</f>
        <v>MR MD For Project Management Services EST</v>
      </c>
      <c r="H560" s="7">
        <v>1400</v>
      </c>
      <c r="I560" t="s">
        <v>429</v>
      </c>
      <c r="J560" t="s">
        <v>429</v>
      </c>
      <c r="K560" s="9">
        <v>400</v>
      </c>
      <c r="L560" s="9">
        <v>3.5</v>
      </c>
      <c r="M560" s="20">
        <v>46326</v>
      </c>
      <c r="N560" t="s">
        <v>18</v>
      </c>
      <c r="O560" t="s">
        <v>388</v>
      </c>
      <c r="P560">
        <v>1</v>
      </c>
      <c r="Q560" s="7">
        <v>400</v>
      </c>
    </row>
    <row r="561" spans="1:17" x14ac:dyDescent="0.25">
      <c r="A561" s="21" t="str" cm="1">
        <f t="array" ref="A561">UPPER(LOOKUP(2,1/(A$1:INDEX(A:A,ROW()-1)&lt;&gt;""),A$1:INDEX(A:A,ROW()-1)))</f>
        <v>PUR-ORD-2026-00049</v>
      </c>
      <c r="B561" s="21" t="str" cm="1">
        <f t="array" ref="B561">LOOKUP(2,1/(B$1:INDEX(B:B,ROW()-1)&lt;&gt;""),B$1:INDEX(B:B,ROW()-1))</f>
        <v>MR MD For Project Management Services EST</v>
      </c>
      <c r="H561" s="7">
        <v>212.5</v>
      </c>
      <c r="I561" t="s">
        <v>429</v>
      </c>
      <c r="J561" t="s">
        <v>429</v>
      </c>
      <c r="K561" s="9">
        <v>42.5</v>
      </c>
      <c r="L561" s="9">
        <v>5</v>
      </c>
      <c r="M561" s="20">
        <v>46326</v>
      </c>
      <c r="N561" t="s">
        <v>18</v>
      </c>
      <c r="O561" t="s">
        <v>388</v>
      </c>
      <c r="P561">
        <v>1</v>
      </c>
      <c r="Q561" s="7">
        <v>42.5</v>
      </c>
    </row>
    <row r="562" spans="1:17" x14ac:dyDescent="0.25">
      <c r="A562" s="21" t="str" cm="1">
        <f t="array" ref="A562">UPPER(LOOKUP(2,1/(A$1:INDEX(A:A,ROW()-1)&lt;&gt;""),A$1:INDEX(A:A,ROW()-1)))</f>
        <v>PUR-ORD-2026-00049</v>
      </c>
      <c r="B562" s="21" t="str" cm="1">
        <f t="array" ref="B562">LOOKUP(2,1/(B$1:INDEX(B:B,ROW()-1)&lt;&gt;""),B$1:INDEX(B:B,ROW()-1))</f>
        <v>MR MD For Project Management Services EST</v>
      </c>
      <c r="H562" s="7">
        <v>935</v>
      </c>
      <c r="I562" t="s">
        <v>429</v>
      </c>
      <c r="J562" t="s">
        <v>429</v>
      </c>
      <c r="K562" s="9">
        <v>187</v>
      </c>
      <c r="L562" s="9">
        <v>5</v>
      </c>
      <c r="M562" s="20">
        <v>46326</v>
      </c>
      <c r="N562" t="s">
        <v>18</v>
      </c>
      <c r="O562" t="s">
        <v>388</v>
      </c>
      <c r="P562">
        <v>1</v>
      </c>
      <c r="Q562" s="7">
        <v>187</v>
      </c>
    </row>
    <row r="563" spans="1:17" x14ac:dyDescent="0.25">
      <c r="A563" s="21" t="str" cm="1">
        <f t="array" ref="A563">UPPER(LOOKUP(2,1/(A$1:INDEX(A:A,ROW()-1)&lt;&gt;""),A$1:INDEX(A:A,ROW()-1)))</f>
        <v>PUR-ORD-2026-00049</v>
      </c>
      <c r="B563" s="21" t="str" cm="1">
        <f t="array" ref="B563">LOOKUP(2,1/(B$1:INDEX(B:B,ROW()-1)&lt;&gt;""),B$1:INDEX(B:B,ROW()-1))</f>
        <v>MR MD For Project Management Services EST</v>
      </c>
      <c r="H563" s="7">
        <v>635</v>
      </c>
      <c r="I563" t="s">
        <v>429</v>
      </c>
      <c r="J563" t="s">
        <v>429</v>
      </c>
      <c r="K563" s="9">
        <v>127</v>
      </c>
      <c r="L563" s="9">
        <v>5</v>
      </c>
      <c r="M563" s="20">
        <v>46326</v>
      </c>
      <c r="N563" t="s">
        <v>18</v>
      </c>
      <c r="O563" t="s">
        <v>388</v>
      </c>
      <c r="P563">
        <v>1</v>
      </c>
      <c r="Q563" s="7">
        <v>127</v>
      </c>
    </row>
    <row r="564" spans="1:17" x14ac:dyDescent="0.25">
      <c r="A564" s="21" t="str" cm="1">
        <f t="array" ref="A564">UPPER(LOOKUP(2,1/(A$1:INDEX(A:A,ROW()-1)&lt;&gt;""),A$1:INDEX(A:A,ROW()-1)))</f>
        <v>PUR-ORD-2026-00049</v>
      </c>
      <c r="B564" s="21" t="str" cm="1">
        <f t="array" ref="B564">LOOKUP(2,1/(B$1:INDEX(B:B,ROW()-1)&lt;&gt;""),B$1:INDEX(B:B,ROW()-1))</f>
        <v>MR MD For Project Management Services EST</v>
      </c>
      <c r="H564" s="7">
        <v>700</v>
      </c>
      <c r="I564" t="s">
        <v>429</v>
      </c>
      <c r="J564" t="s">
        <v>429</v>
      </c>
      <c r="K564" s="9">
        <v>200</v>
      </c>
      <c r="L564" s="9">
        <v>3.5</v>
      </c>
      <c r="M564" s="20">
        <v>46326</v>
      </c>
      <c r="N564" t="s">
        <v>18</v>
      </c>
      <c r="O564" t="s">
        <v>388</v>
      </c>
      <c r="P564">
        <v>1</v>
      </c>
      <c r="Q564" s="7">
        <v>200</v>
      </c>
    </row>
    <row r="565" spans="1:17" x14ac:dyDescent="0.25">
      <c r="A565" s="21" t="str" cm="1">
        <f t="array" ref="A565">UPPER(LOOKUP(2,1/(A$1:INDEX(A:A,ROW()-1)&lt;&gt;""),A$1:INDEX(A:A,ROW()-1)))</f>
        <v>PUR-ORD-2026-00049</v>
      </c>
      <c r="B565" s="21" t="str" cm="1">
        <f t="array" ref="B565">LOOKUP(2,1/(B$1:INDEX(B:B,ROW()-1)&lt;&gt;""),B$1:INDEX(B:B,ROW()-1))</f>
        <v>MR MD For Project Management Services EST</v>
      </c>
      <c r="H565" s="7">
        <v>510</v>
      </c>
      <c r="I565" t="s">
        <v>429</v>
      </c>
      <c r="J565" t="s">
        <v>429</v>
      </c>
      <c r="K565" s="9">
        <v>102</v>
      </c>
      <c r="L565" s="9">
        <v>5</v>
      </c>
      <c r="M565" s="20">
        <v>46326</v>
      </c>
      <c r="N565" t="s">
        <v>18</v>
      </c>
      <c r="O565" t="s">
        <v>388</v>
      </c>
      <c r="P565">
        <v>1</v>
      </c>
      <c r="Q565" s="7">
        <v>102</v>
      </c>
    </row>
    <row r="566" spans="1:17" x14ac:dyDescent="0.25">
      <c r="A566" s="21" t="str" cm="1">
        <f t="array" ref="A566">UPPER(LOOKUP(2,1/(A$1:INDEX(A:A,ROW()-1)&lt;&gt;""),A$1:INDEX(A:A,ROW()-1)))</f>
        <v>PUR-ORD-2026-00049</v>
      </c>
      <c r="B566" s="21" t="str" cm="1">
        <f t="array" ref="B566">LOOKUP(2,1/(B$1:INDEX(B:B,ROW()-1)&lt;&gt;""),B$1:INDEX(B:B,ROW()-1))</f>
        <v>MR MD For Project Management Services EST</v>
      </c>
      <c r="H566" s="7">
        <v>340</v>
      </c>
      <c r="I566" t="s">
        <v>410</v>
      </c>
      <c r="J566" t="s">
        <v>410</v>
      </c>
      <c r="K566" s="9">
        <v>68</v>
      </c>
      <c r="L566" s="9">
        <v>5</v>
      </c>
      <c r="M566" s="20">
        <v>46326</v>
      </c>
      <c r="N566" t="s">
        <v>18</v>
      </c>
      <c r="O566" t="s">
        <v>388</v>
      </c>
      <c r="P566">
        <v>1</v>
      </c>
      <c r="Q566" s="7">
        <v>68</v>
      </c>
    </row>
    <row r="567" spans="1:17" x14ac:dyDescent="0.25">
      <c r="A567" s="21" t="str" cm="1">
        <f t="array" ref="A567">UPPER(LOOKUP(2,1/(A$1:INDEX(A:A,ROW()-1)&lt;&gt;""),A$1:INDEX(A:A,ROW()-1)))</f>
        <v>PUR-ORD-2026-00049</v>
      </c>
      <c r="B567" s="21" t="str" cm="1">
        <f t="array" ref="B567">LOOKUP(2,1/(B$1:INDEX(B:B,ROW()-1)&lt;&gt;""),B$1:INDEX(B:B,ROW()-1))</f>
        <v>MR MD For Project Management Services EST</v>
      </c>
      <c r="H567" s="7">
        <v>425</v>
      </c>
      <c r="I567" t="s">
        <v>429</v>
      </c>
      <c r="J567" t="s">
        <v>429</v>
      </c>
      <c r="K567" s="9">
        <v>85</v>
      </c>
      <c r="L567" s="9">
        <v>5</v>
      </c>
      <c r="M567" s="20">
        <v>46326</v>
      </c>
      <c r="N567" t="s">
        <v>18</v>
      </c>
      <c r="O567" t="s">
        <v>388</v>
      </c>
      <c r="P567">
        <v>1</v>
      </c>
      <c r="Q567" s="7">
        <v>85</v>
      </c>
    </row>
    <row r="568" spans="1:17" x14ac:dyDescent="0.25">
      <c r="A568" s="21" t="str" cm="1">
        <f t="array" ref="A568">UPPER(LOOKUP(2,1/(A$1:INDEX(A:A,ROW()-1)&lt;&gt;""),A$1:INDEX(A:A,ROW()-1)))</f>
        <v>PUR-ORD-2026-00049</v>
      </c>
      <c r="B568" s="21" t="str" cm="1">
        <f t="array" ref="B568">LOOKUP(2,1/(B$1:INDEX(B:B,ROW()-1)&lt;&gt;""),B$1:INDEX(B:B,ROW()-1))</f>
        <v>MR MD For Project Management Services EST</v>
      </c>
      <c r="H568" s="7">
        <v>382.5</v>
      </c>
      <c r="I568" t="s">
        <v>429</v>
      </c>
      <c r="J568" t="s">
        <v>429</v>
      </c>
      <c r="K568" s="9">
        <v>76.5</v>
      </c>
      <c r="L568" s="9">
        <v>5</v>
      </c>
      <c r="M568" s="20">
        <v>46326</v>
      </c>
      <c r="N568" t="s">
        <v>18</v>
      </c>
      <c r="O568" t="s">
        <v>388</v>
      </c>
      <c r="P568">
        <v>1</v>
      </c>
      <c r="Q568" s="7">
        <v>76.5</v>
      </c>
    </row>
    <row r="569" spans="1:17" x14ac:dyDescent="0.25">
      <c r="A569" s="21" t="str" cm="1">
        <f t="array" ref="A569">UPPER(LOOKUP(2,1/(A$1:INDEX(A:A,ROW()-1)&lt;&gt;""),A$1:INDEX(A:A,ROW()-1)))</f>
        <v>PUR-ORD-2026-00049</v>
      </c>
      <c r="B569" s="21" t="str" cm="1">
        <f t="array" ref="B569">LOOKUP(2,1/(B$1:INDEX(B:B,ROW()-1)&lt;&gt;""),B$1:INDEX(B:B,ROW()-1))</f>
        <v>MR MD For Project Management Services EST</v>
      </c>
      <c r="H569" s="7">
        <v>700</v>
      </c>
      <c r="I569" t="s">
        <v>429</v>
      </c>
      <c r="J569" t="s">
        <v>429</v>
      </c>
      <c r="K569" s="9">
        <v>200</v>
      </c>
      <c r="L569" s="9">
        <v>3.5</v>
      </c>
      <c r="M569" s="20">
        <v>46326</v>
      </c>
      <c r="N569" t="s">
        <v>18</v>
      </c>
      <c r="O569" t="s">
        <v>388</v>
      </c>
      <c r="P569">
        <v>1</v>
      </c>
      <c r="Q569" s="7">
        <v>200</v>
      </c>
    </row>
    <row r="570" spans="1:17" x14ac:dyDescent="0.25">
      <c r="A570" s="21" t="str" cm="1">
        <f t="array" ref="A570">UPPER(LOOKUP(2,1/(A$1:INDEX(A:A,ROW()-1)&lt;&gt;""),A$1:INDEX(A:A,ROW()-1)))</f>
        <v>PUR-ORD-2026-00049</v>
      </c>
      <c r="B570" s="21" t="str" cm="1">
        <f t="array" ref="B570">LOOKUP(2,1/(B$1:INDEX(B:B,ROW()-1)&lt;&gt;""),B$1:INDEX(B:B,ROW()-1))</f>
        <v>MR MD For Project Management Services EST</v>
      </c>
      <c r="H570" s="7">
        <v>1190</v>
      </c>
      <c r="I570" t="s">
        <v>429</v>
      </c>
      <c r="J570" t="s">
        <v>429</v>
      </c>
      <c r="K570" s="9">
        <v>238</v>
      </c>
      <c r="L570" s="9">
        <v>5</v>
      </c>
      <c r="M570" s="20">
        <v>46326</v>
      </c>
      <c r="N570" t="s">
        <v>18</v>
      </c>
      <c r="O570" t="s">
        <v>388</v>
      </c>
      <c r="P570">
        <v>1</v>
      </c>
      <c r="Q570" s="7">
        <v>238</v>
      </c>
    </row>
    <row r="571" spans="1:17" x14ac:dyDescent="0.25">
      <c r="A571" s="21" t="str" cm="1">
        <f t="array" ref="A571">UPPER(LOOKUP(2,1/(A$1:INDEX(A:A,ROW()-1)&lt;&gt;""),A$1:INDEX(A:A,ROW()-1)))</f>
        <v>PUR-ORD-2026-00049</v>
      </c>
      <c r="B571" s="21" t="str" cm="1">
        <f t="array" ref="B571">LOOKUP(2,1/(B$1:INDEX(B:B,ROW()-1)&lt;&gt;""),B$1:INDEX(B:B,ROW()-1))</f>
        <v>MR MD For Project Management Services EST</v>
      </c>
      <c r="H571" s="7">
        <v>175</v>
      </c>
      <c r="I571" t="s">
        <v>429</v>
      </c>
      <c r="J571" t="s">
        <v>429</v>
      </c>
      <c r="K571" s="9">
        <v>50</v>
      </c>
      <c r="L571" s="9">
        <v>3.5</v>
      </c>
      <c r="M571" s="20">
        <v>46326</v>
      </c>
      <c r="N571" t="s">
        <v>18</v>
      </c>
      <c r="O571" t="s">
        <v>388</v>
      </c>
      <c r="P571">
        <v>1</v>
      </c>
      <c r="Q571" s="7">
        <v>50</v>
      </c>
    </row>
  </sheetData>
  <autoFilter ref="A1:Q571" xr:uid="{3E963733-9B4B-4E9F-B635-CD3A2E61A54F}">
    <sortState xmlns:xlrd2="http://schemas.microsoft.com/office/spreadsheetml/2017/richdata2" ref="A2:Q571">
      <sortCondition ref="C1:C5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Item Fetch Sheet</vt:lpstr>
      <vt:lpstr>Decoding Sheet</vt:lpstr>
      <vt:lpstr>Sheet5</vt:lpstr>
      <vt:lpstr>Main Sheet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2026-10-23T14:17:29Z</dcterms:created>
  <dcterms:modified xsi:type="dcterms:W3CDTF">2026-10-24T08:11:06Z</dcterms:modified>
</cp:coreProperties>
</file>